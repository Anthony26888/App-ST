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Z:\04. KHO\3.TỒN KHO\CHUYỂN PM COMBINE BOM\"/>
    </mc:Choice>
  </mc:AlternateContent>
  <xr:revisionPtr revIDLastSave="0" documentId="13_ncr:1_{0AB60C7F-E57E-49E0-8AAF-A1304EDE9BEC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TỒN KHO" sheetId="2" r:id="rId1"/>
    <sheet name="Sheet2" sheetId="3" state="hidden" r:id="rId2"/>
  </sheets>
  <definedNames>
    <definedName name="_xlnm._FilterDatabase" localSheetId="0" hidden="1">'TỒN KHO'!$A$2:$J$5022</definedName>
  </definedNames>
  <calcPr calcId="181029"/>
</workbook>
</file>

<file path=xl/calcChain.xml><?xml version="1.0" encoding="utf-8"?>
<calcChain xmlns="http://schemas.openxmlformats.org/spreadsheetml/2006/main">
  <c r="B3712" i="2" l="1"/>
  <c r="B3706" i="2"/>
  <c r="J98" i="3" l="1"/>
  <c r="L98" i="3" s="1"/>
  <c r="J97" i="3"/>
  <c r="L97" i="3" s="1"/>
  <c r="J96" i="3"/>
  <c r="L96" i="3" s="1"/>
  <c r="J95" i="3"/>
  <c r="L95" i="3" s="1"/>
  <c r="J94" i="3"/>
  <c r="L94" i="3" s="1"/>
  <c r="J93" i="3"/>
  <c r="L93" i="3" s="1"/>
  <c r="J92" i="3"/>
  <c r="L92" i="3" s="1"/>
  <c r="J91" i="3"/>
  <c r="L91" i="3" s="1"/>
  <c r="J90" i="3"/>
  <c r="L90" i="3" s="1"/>
  <c r="J89" i="3"/>
  <c r="L89" i="3" s="1"/>
  <c r="J88" i="3"/>
  <c r="L88" i="3" s="1"/>
  <c r="J87" i="3"/>
  <c r="L87" i="3" s="1"/>
  <c r="J86" i="3"/>
  <c r="L86" i="3" s="1"/>
  <c r="J85" i="3"/>
  <c r="L85" i="3" s="1"/>
  <c r="J84" i="3"/>
  <c r="L84" i="3" s="1"/>
  <c r="J83" i="3"/>
  <c r="L83" i="3" s="1"/>
  <c r="J82" i="3"/>
  <c r="L82" i="3" s="1"/>
  <c r="J81" i="3"/>
  <c r="L81" i="3" s="1"/>
  <c r="J80" i="3"/>
  <c r="L80" i="3" s="1"/>
  <c r="J79" i="3"/>
  <c r="L79" i="3" s="1"/>
  <c r="J78" i="3"/>
  <c r="L78" i="3" s="1"/>
  <c r="J77" i="3"/>
  <c r="L77" i="3" s="1"/>
  <c r="J76" i="3"/>
  <c r="L76" i="3" s="1"/>
  <c r="J75" i="3"/>
  <c r="L75" i="3" s="1"/>
  <c r="J74" i="3"/>
  <c r="L74" i="3" s="1"/>
  <c r="J73" i="3"/>
  <c r="L73" i="3" s="1"/>
  <c r="J72" i="3"/>
  <c r="L72" i="3" s="1"/>
  <c r="J71" i="3"/>
  <c r="L71" i="3" s="1"/>
  <c r="J70" i="3"/>
  <c r="L70" i="3" s="1"/>
  <c r="J69" i="3"/>
  <c r="L69" i="3" s="1"/>
  <c r="J68" i="3"/>
  <c r="L68" i="3" s="1"/>
  <c r="J67" i="3"/>
  <c r="L67" i="3" s="1"/>
  <c r="J66" i="3"/>
  <c r="L66" i="3" s="1"/>
  <c r="J65" i="3"/>
  <c r="L65" i="3" s="1"/>
  <c r="J64" i="3"/>
  <c r="L64" i="3" s="1"/>
  <c r="J63" i="3"/>
  <c r="L63" i="3" s="1"/>
  <c r="J62" i="3"/>
  <c r="L62" i="3" s="1"/>
  <c r="J61" i="3"/>
  <c r="L61" i="3" s="1"/>
  <c r="J60" i="3"/>
  <c r="L60" i="3" s="1"/>
  <c r="J59" i="3"/>
  <c r="L59" i="3" s="1"/>
  <c r="J58" i="3"/>
  <c r="L58" i="3" s="1"/>
  <c r="J57" i="3"/>
  <c r="L57" i="3" s="1"/>
  <c r="J56" i="3"/>
  <c r="L56" i="3" s="1"/>
  <c r="J55" i="3"/>
  <c r="L55" i="3" s="1"/>
  <c r="J54" i="3"/>
  <c r="L54" i="3" s="1"/>
  <c r="J53" i="3"/>
  <c r="L53" i="3" s="1"/>
  <c r="J52" i="3"/>
  <c r="L52" i="3" s="1"/>
  <c r="J51" i="3"/>
  <c r="L51" i="3" s="1"/>
  <c r="J50" i="3"/>
  <c r="L50" i="3" s="1"/>
  <c r="J49" i="3"/>
  <c r="L49" i="3" s="1"/>
  <c r="J48" i="3"/>
  <c r="L48" i="3" s="1"/>
  <c r="J47" i="3"/>
  <c r="L47" i="3" s="1"/>
  <c r="J46" i="3"/>
  <c r="L46" i="3" s="1"/>
  <c r="J45" i="3"/>
  <c r="L45" i="3" s="1"/>
  <c r="J44" i="3"/>
  <c r="L44" i="3" s="1"/>
  <c r="J43" i="3"/>
  <c r="L43" i="3" s="1"/>
  <c r="J42" i="3"/>
  <c r="L42" i="3" s="1"/>
  <c r="J41" i="3"/>
  <c r="L41" i="3" s="1"/>
  <c r="J40" i="3"/>
  <c r="L40" i="3" s="1"/>
  <c r="J39" i="3"/>
  <c r="L39" i="3" s="1"/>
  <c r="J38" i="3"/>
  <c r="L38" i="3" s="1"/>
  <c r="J37" i="3"/>
  <c r="L37" i="3" s="1"/>
  <c r="J36" i="3"/>
  <c r="L36" i="3" s="1"/>
  <c r="J35" i="3"/>
  <c r="L35" i="3" s="1"/>
  <c r="J34" i="3"/>
  <c r="L34" i="3" s="1"/>
  <c r="J33" i="3"/>
  <c r="L33" i="3" s="1"/>
  <c r="J32" i="3"/>
  <c r="L32" i="3" s="1"/>
  <c r="J31" i="3"/>
  <c r="L31" i="3" s="1"/>
  <c r="J30" i="3"/>
  <c r="L30" i="3" s="1"/>
  <c r="J29" i="3"/>
  <c r="L29" i="3" s="1"/>
  <c r="J28" i="3"/>
  <c r="L28" i="3" s="1"/>
  <c r="J27" i="3"/>
  <c r="L27" i="3" s="1"/>
  <c r="J26" i="3"/>
  <c r="L26" i="3" s="1"/>
  <c r="J25" i="3"/>
  <c r="L25" i="3" s="1"/>
  <c r="J24" i="3"/>
  <c r="L24" i="3" s="1"/>
  <c r="J23" i="3"/>
  <c r="L23" i="3" s="1"/>
  <c r="J22" i="3"/>
  <c r="L22" i="3" s="1"/>
  <c r="J21" i="3"/>
  <c r="L21" i="3" s="1"/>
  <c r="J20" i="3"/>
  <c r="L20" i="3" s="1"/>
  <c r="J19" i="3"/>
  <c r="L19" i="3" s="1"/>
  <c r="J18" i="3"/>
  <c r="L18" i="3" s="1"/>
  <c r="J17" i="3"/>
  <c r="L17" i="3" s="1"/>
  <c r="J16" i="3"/>
  <c r="L16" i="3" s="1"/>
  <c r="J15" i="3"/>
  <c r="L15" i="3" s="1"/>
  <c r="J14" i="3"/>
  <c r="L14" i="3" s="1"/>
  <c r="J13" i="3"/>
  <c r="L13" i="3" s="1"/>
  <c r="J12" i="3"/>
  <c r="L12" i="3" s="1"/>
  <c r="J11" i="3"/>
  <c r="L11" i="3" s="1"/>
  <c r="J10" i="3"/>
  <c r="L10" i="3" s="1"/>
  <c r="J9" i="3"/>
  <c r="L9" i="3" s="1"/>
  <c r="J8" i="3"/>
  <c r="L8" i="3" s="1"/>
  <c r="J7" i="3"/>
  <c r="L7" i="3" s="1"/>
  <c r="J6" i="3"/>
  <c r="L6" i="3" s="1"/>
  <c r="J5" i="3"/>
  <c r="L5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Nguyễn Thị Hồng Cẩm</author>
    <author>SThuat</author>
    <author>Quan Ly Kho</author>
    <author>Nguyen Huynh Thien Minh</author>
  </authors>
  <commentList>
    <comment ref="D2122" authorId="0" shapeId="0" xr:uid="{E74A1E77-3FBF-4715-876D-620D04C6581B}">
      <text>
        <r>
          <rPr>
            <b/>
            <sz val="9"/>
            <color indexed="81"/>
            <rFont val="Tahoma"/>
            <family val="2"/>
          </rPr>
          <t>Nguyễn Thị Hồng Cẩm:</t>
        </r>
        <r>
          <rPr>
            <sz val="9"/>
            <color indexed="81"/>
            <rFont val="Tahoma"/>
            <family val="2"/>
          </rPr>
          <t xml:space="preserve">
PCB NKT-01 MAINBOARD V1.04</t>
        </r>
      </text>
    </comment>
    <comment ref="D2662" authorId="1" shapeId="0" xr:uid="{7CFC27FA-1566-463A-A195-59A2B396AF45}">
      <text>
        <r>
          <rPr>
            <b/>
            <sz val="9"/>
            <color indexed="81"/>
            <rFont val="Tahoma"/>
            <family val="2"/>
          </rPr>
          <t>SThuat:</t>
        </r>
        <r>
          <rPr>
            <sz val="9"/>
            <color indexed="81"/>
            <rFont val="Tahoma"/>
            <family val="2"/>
          </rPr>
          <t xml:space="preserve">
'LED Red 55mW 0805 Light Emitting Diodes</t>
        </r>
      </text>
    </comment>
    <comment ref="E2922" authorId="2" shapeId="0" xr:uid="{BBBDB3EA-3BA6-4C46-9A75-7FFC0957B8AD}">
      <text>
        <r>
          <rPr>
            <b/>
            <sz val="9"/>
            <color indexed="81"/>
            <rFont val="Tahoma"/>
            <family val="2"/>
          </rPr>
          <t>Quan Ly Kho:</t>
        </r>
        <r>
          <rPr>
            <sz val="9"/>
            <color indexed="81"/>
            <rFont val="Tahoma"/>
            <family val="2"/>
          </rPr>
          <t xml:space="preserve">
ECN 9/8/2022 =&gt;NCS20061SN3T1G</t>
        </r>
      </text>
    </comment>
    <comment ref="D3139" authorId="0" shapeId="0" xr:uid="{503DFFD6-B843-49F2-8EC4-8224422AAF8E}">
      <text>
        <r>
          <rPr>
            <b/>
            <sz val="9"/>
            <color indexed="81"/>
            <rFont val="Tahoma"/>
            <family val="2"/>
          </rPr>
          <t>Nguyễn Thị Hồng Cẩm:</t>
        </r>
        <r>
          <rPr>
            <sz val="9"/>
            <color indexed="81"/>
            <rFont val="Tahoma"/>
            <family val="2"/>
          </rPr>
          <t xml:space="preserve">
Part này sai giá trị, đúng 0603
100pf 50V 0201</t>
        </r>
      </text>
    </comment>
    <comment ref="B4301" authorId="1" shapeId="0" xr:uid="{F7CF897D-74EC-4E86-ADAC-499DC63128F0}">
      <text>
        <r>
          <rPr>
            <b/>
            <sz val="9"/>
            <color indexed="81"/>
            <rFont val="Tahoma"/>
            <family val="2"/>
          </rPr>
          <t>SThuat:</t>
        </r>
        <r>
          <rPr>
            <sz val="9"/>
            <color indexed="81"/>
            <rFont val="Tahoma"/>
            <family val="2"/>
          </rPr>
          <t xml:space="preserve">
hàng về kèm theo ốc</t>
        </r>
      </text>
    </comment>
    <comment ref="D4714" authorId="1" shapeId="0" xr:uid="{CB3F4245-A7F7-4A6E-A65F-939C186447A4}">
      <text>
        <r>
          <rPr>
            <b/>
            <sz val="9"/>
            <color indexed="81"/>
            <rFont val="Tahoma"/>
            <family val="2"/>
          </rPr>
          <t>SThuat:</t>
        </r>
        <r>
          <rPr>
            <sz val="9"/>
            <color indexed="81"/>
            <rFont val="Tahoma"/>
            <family val="2"/>
          </rPr>
          <t xml:space="preserve">
cái</t>
        </r>
      </text>
    </comment>
    <comment ref="D4715" authorId="1" shapeId="0" xr:uid="{1867FA2C-48B8-4FEC-9E7B-BF42FDEA3235}">
      <text>
        <r>
          <rPr>
            <b/>
            <sz val="9"/>
            <color indexed="81"/>
            <rFont val="Tahoma"/>
            <family val="2"/>
          </rPr>
          <t>SThuat:</t>
        </r>
        <r>
          <rPr>
            <sz val="9"/>
            <color indexed="81"/>
            <rFont val="Tahoma"/>
            <family val="2"/>
          </rPr>
          <t xml:space="preserve">
đực</t>
        </r>
      </text>
    </comment>
    <comment ref="D7742" authorId="2" shapeId="0" xr:uid="{D4136AA3-AEDD-4FEB-9C87-703A72841D9A}">
      <text>
        <r>
          <rPr>
            <b/>
            <sz val="9"/>
            <color indexed="81"/>
            <rFont val="Tahoma"/>
            <family val="2"/>
          </rPr>
          <t>Quan Ly Kho:</t>
        </r>
        <r>
          <rPr>
            <sz val="9"/>
            <color indexed="81"/>
            <rFont val="Tahoma"/>
            <family val="2"/>
          </rPr>
          <t xml:space="preserve">
C1206C472KCRACTU</t>
        </r>
      </text>
    </comment>
    <comment ref="D7751" authorId="2" shapeId="0" xr:uid="{5281E6BE-5A8A-4AD9-ABBA-50FFF77032AB}">
      <text>
        <r>
          <rPr>
            <b/>
            <sz val="9"/>
            <color indexed="81"/>
            <rFont val="Tahoma"/>
            <family val="2"/>
          </rPr>
          <t>Quan Ly Kho:</t>
        </r>
        <r>
          <rPr>
            <sz val="9"/>
            <color indexed="81"/>
            <rFont val="Tahoma"/>
            <family val="2"/>
          </rPr>
          <t xml:space="preserve">
CHUNG VỚI CC1206KKX7R9BB105</t>
        </r>
      </text>
    </comment>
    <comment ref="D7762" authorId="1" shapeId="0" xr:uid="{548A3AF5-9A70-4CD6-9496-5E64A645FA02}">
      <text>
        <r>
          <rPr>
            <b/>
            <sz val="9"/>
            <color indexed="81"/>
            <rFont val="Tahoma"/>
            <family val="2"/>
          </rPr>
          <t>SThuat:</t>
        </r>
        <r>
          <rPr>
            <sz val="9"/>
            <color indexed="81"/>
            <rFont val="Tahoma"/>
            <family val="2"/>
          </rPr>
          <t xml:space="preserve">
 SD CHUNG UWF1C100MCL1GB</t>
        </r>
      </text>
    </comment>
    <comment ref="D7802" authorId="3" shapeId="0" xr:uid="{7D7A5A03-1C0E-474D-92E9-277A1A2401A7}">
      <text>
        <r>
          <rPr>
            <b/>
            <sz val="9"/>
            <color indexed="81"/>
            <rFont val="Tahoma"/>
            <family val="2"/>
          </rPr>
          <t>Nguyen Huynh Thien Minh:</t>
        </r>
        <r>
          <rPr>
            <sz val="9"/>
            <color indexed="81"/>
            <rFont val="Tahoma"/>
            <family val="2"/>
          </rPr>
          <t xml:space="preserve">
RK73H2BTTD4641F/RC1206FR-074K64L</t>
        </r>
      </text>
    </comment>
    <comment ref="D7916" authorId="2" shapeId="0" xr:uid="{A64C358B-230A-4530-B6A7-802D0DBC7FF8}">
      <text>
        <r>
          <rPr>
            <b/>
            <sz val="9"/>
            <color indexed="81"/>
            <rFont val="Tahoma"/>
            <family val="2"/>
          </rPr>
          <t>Quan Ly Kho:</t>
        </r>
        <r>
          <rPr>
            <sz val="9"/>
            <color indexed="81"/>
            <rFont val="Tahoma"/>
            <family val="2"/>
          </rPr>
          <t xml:space="preserve">
CK45-B3AD471KYVNA</t>
        </r>
      </text>
    </comment>
    <comment ref="D7927" authorId="2" shapeId="0" xr:uid="{1DBB1872-E66B-4B99-A1BD-8627193B82DB}">
      <text>
        <r>
          <rPr>
            <b/>
            <sz val="9"/>
            <color indexed="81"/>
            <rFont val="Tahoma"/>
            <family val="2"/>
          </rPr>
          <t>Quan Ly Kho:</t>
        </r>
        <r>
          <rPr>
            <sz val="9"/>
            <color indexed="81"/>
            <rFont val="Tahoma"/>
            <family val="2"/>
          </rPr>
          <t xml:space="preserve">
F863FL225K310ALW0L</t>
        </r>
      </text>
    </comment>
    <comment ref="D7941" authorId="2" shapeId="0" xr:uid="{EE6F96C3-B0FC-4901-B2FA-5CFA9A881CC8}">
      <text>
        <r>
          <rPr>
            <b/>
            <sz val="9"/>
            <color indexed="81"/>
            <rFont val="Tahoma"/>
            <family val="2"/>
          </rPr>
          <t>Quan Ly Kho:</t>
        </r>
        <r>
          <rPr>
            <sz val="9"/>
            <color indexed="81"/>
            <rFont val="Tahoma"/>
            <family val="2"/>
          </rPr>
          <t xml:space="preserve">
Đổi sn75176BP
</t>
        </r>
      </text>
    </comment>
    <comment ref="D7960" authorId="2" shapeId="0" xr:uid="{2759FFAC-AE77-450C-874F-965DFD7D3656}">
      <text>
        <r>
          <rPr>
            <b/>
            <sz val="9"/>
            <color indexed="81"/>
            <rFont val="Tahoma"/>
            <family val="2"/>
          </rPr>
          <t>Quan Ly Kho:</t>
        </r>
        <r>
          <rPr>
            <sz val="9"/>
            <color indexed="81"/>
            <rFont val="Tahoma"/>
            <family val="2"/>
          </rPr>
          <t xml:space="preserve">
FC4STCBMF8.0-BAG200</t>
        </r>
      </text>
    </comment>
    <comment ref="D8088" authorId="1" shapeId="0" xr:uid="{46CA80DA-7EDB-4EFB-8978-F10D0445342B}">
      <text>
        <r>
          <rPr>
            <b/>
            <sz val="9"/>
            <color indexed="81"/>
            <rFont val="Tahoma"/>
            <family val="2"/>
          </rPr>
          <t>SThuat:</t>
        </r>
        <r>
          <rPr>
            <sz val="9"/>
            <color indexed="81"/>
            <rFont val="Tahoma"/>
            <family val="2"/>
          </rPr>
          <t xml:space="preserve">
panel 5</t>
        </r>
      </text>
    </comment>
    <comment ref="D8102" authorId="2" shapeId="0" xr:uid="{EA5BA8A0-29DC-4F61-9FB6-039FDCB5ECFC}">
      <text>
        <r>
          <rPr>
            <b/>
            <sz val="9"/>
            <color indexed="81"/>
            <rFont val="Tahoma"/>
            <family val="2"/>
          </rPr>
          <t>Quan Ly Kho:</t>
        </r>
        <r>
          <rPr>
            <sz val="9"/>
            <color indexed="81"/>
            <rFont val="Tahoma"/>
            <family val="2"/>
          </rPr>
          <t xml:space="preserve">
MODULE NGUON NGƯNG SD ỐC NÀY </t>
        </r>
      </text>
    </comment>
    <comment ref="D8140" authorId="2" shapeId="0" xr:uid="{E201C6E9-FD58-4876-B33E-FB77967B914F}">
      <text>
        <r>
          <rPr>
            <b/>
            <sz val="9"/>
            <color indexed="81"/>
            <rFont val="Tahoma"/>
            <family val="2"/>
          </rPr>
          <t>Quan Ly Kho:</t>
        </r>
        <r>
          <rPr>
            <sz val="9"/>
            <color indexed="81"/>
            <rFont val="Tahoma"/>
            <family val="2"/>
          </rPr>
          <t xml:space="preserve">
R82EC3100AA70K</t>
        </r>
      </text>
    </comment>
    <comment ref="D8148" authorId="1" shapeId="0" xr:uid="{8899805E-9B40-4ADE-A66E-C612C6F9DE57}">
      <text>
        <r>
          <rPr>
            <b/>
            <sz val="9"/>
            <color indexed="81"/>
            <rFont val="Tahoma"/>
            <family val="2"/>
          </rPr>
          <t>SThuat:</t>
        </r>
        <r>
          <rPr>
            <sz val="9"/>
            <color indexed="81"/>
            <rFont val="Tahoma"/>
            <family val="2"/>
          </rPr>
          <t xml:space="preserve">
PR03000202202JAC00</t>
        </r>
      </text>
    </comment>
    <comment ref="D8269" authorId="2" shapeId="0" xr:uid="{F83F70DE-F33F-45BE-83C3-65BDB5F260E6}">
      <text>
        <r>
          <rPr>
            <b/>
            <sz val="9"/>
            <color indexed="81"/>
            <rFont val="Tahoma"/>
            <family val="2"/>
          </rPr>
          <t>Quan Ly Kho:</t>
        </r>
        <r>
          <rPr>
            <sz val="9"/>
            <color indexed="81"/>
            <rFont val="Tahoma"/>
            <family val="2"/>
          </rPr>
          <t xml:space="preserve">
G5LE-1 DC12
</t>
        </r>
      </text>
    </comment>
    <comment ref="D8270" authorId="2" shapeId="0" xr:uid="{6A40867E-A881-44C5-AD3D-7E97A13034E1}">
      <text>
        <r>
          <rPr>
            <b/>
            <sz val="9"/>
            <color indexed="81"/>
            <rFont val="Tahoma"/>
            <family val="2"/>
          </rPr>
          <t>Quan Ly Kho:</t>
        </r>
        <r>
          <rPr>
            <sz val="9"/>
            <color indexed="81"/>
            <rFont val="Tahoma"/>
            <family val="2"/>
          </rPr>
          <t xml:space="preserve">
J115F11AH12VDCS61.5U</t>
        </r>
      </text>
    </comment>
    <comment ref="D8363" authorId="3" shapeId="0" xr:uid="{DEB86CF5-89A6-411B-BBE6-CD56C4BDBFDF}">
      <text>
        <r>
          <rPr>
            <b/>
            <sz val="9"/>
            <color indexed="81"/>
            <rFont val="Tahoma"/>
            <family val="2"/>
          </rPr>
          <t>Nguyen Huynh Thien Minh:SD THAY THE ULN2803ADWR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8365" authorId="3" shapeId="0" xr:uid="{B97645D4-9196-4F04-BC3D-28BA32586304}">
      <text>
        <r>
          <rPr>
            <b/>
            <sz val="9"/>
            <color indexed="81"/>
            <rFont val="Tahoma"/>
            <family val="2"/>
          </rPr>
          <t>Nguyen Huynh Thien Minh:</t>
        </r>
        <r>
          <rPr>
            <sz val="9"/>
            <color indexed="81"/>
            <rFont val="Tahoma"/>
            <family val="2"/>
          </rPr>
          <t xml:space="preserve">
SD CHUNG BQ3285ES</t>
        </r>
      </text>
    </comment>
    <comment ref="D8383" authorId="2" shapeId="0" xr:uid="{A6FA7028-7B25-4F03-A7C4-D208998AB977}">
      <text>
        <r>
          <rPr>
            <b/>
            <sz val="9"/>
            <color indexed="81"/>
            <rFont val="Tahoma"/>
            <family val="2"/>
          </rPr>
          <t>Quan Ly Kho:</t>
        </r>
        <r>
          <rPr>
            <sz val="9"/>
            <color indexed="81"/>
            <rFont val="Tahoma"/>
            <family val="2"/>
          </rPr>
          <t xml:space="preserve">
LTE</t>
        </r>
      </text>
    </comment>
    <comment ref="D8412" authorId="1" shapeId="0" xr:uid="{E21979D0-D022-489C-979D-BB1413414CD2}">
      <text>
        <r>
          <rPr>
            <b/>
            <sz val="9"/>
            <color indexed="81"/>
            <rFont val="Tahoma"/>
            <family val="2"/>
          </rPr>
          <t>SThuat:</t>
        </r>
        <r>
          <rPr>
            <sz val="9"/>
            <color indexed="81"/>
            <rFont val="Tahoma"/>
            <family val="2"/>
          </rPr>
          <t xml:space="preserve">
Trên PCB là SHI217V2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Nhi Duong Thi Kieu</author>
  </authors>
  <commentList>
    <comment ref="K32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Nhi Duong Thi Kieu:</t>
        </r>
        <r>
          <rPr>
            <sz val="9"/>
            <color indexed="81"/>
            <rFont val="Tahoma"/>
            <family val="2"/>
          </rPr>
          <t xml:space="preserve">
3/1</t>
        </r>
      </text>
    </comment>
    <comment ref="K35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Nhi Duong Thi Kieu:</t>
        </r>
        <r>
          <rPr>
            <sz val="9"/>
            <color indexed="81"/>
            <rFont val="Tahoma"/>
            <family val="2"/>
          </rPr>
          <t xml:space="preserve">
3/1</t>
        </r>
      </text>
    </comment>
    <comment ref="K40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Nhi Duong Thi Kieu:</t>
        </r>
        <r>
          <rPr>
            <sz val="9"/>
            <color indexed="81"/>
            <rFont val="Tahoma"/>
            <family val="2"/>
          </rPr>
          <t xml:space="preserve">
3/1</t>
        </r>
      </text>
    </comment>
    <comment ref="K84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Nhi Duong Thi Kieu:</t>
        </r>
        <r>
          <rPr>
            <sz val="9"/>
            <color indexed="81"/>
            <rFont val="Tahoma"/>
            <family val="2"/>
          </rPr>
          <t xml:space="preserve">
3/1</t>
        </r>
      </text>
    </comment>
    <comment ref="K85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Nhi Duong Thi Kieu:</t>
        </r>
        <r>
          <rPr>
            <sz val="9"/>
            <color indexed="81"/>
            <rFont val="Tahoma"/>
            <family val="2"/>
          </rPr>
          <t xml:space="preserve">
3/1</t>
        </r>
      </text>
    </comment>
    <comment ref="K87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Nhi Duong Thi Kieu:</t>
        </r>
        <r>
          <rPr>
            <sz val="9"/>
            <color indexed="81"/>
            <rFont val="Tahoma"/>
            <family val="2"/>
          </rPr>
          <t xml:space="preserve">
3/1</t>
        </r>
      </text>
    </comment>
    <comment ref="K88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Nhi Duong Thi Kieu:</t>
        </r>
        <r>
          <rPr>
            <sz val="9"/>
            <color indexed="81"/>
            <rFont val="Tahoma"/>
            <family val="2"/>
          </rPr>
          <t xml:space="preserve">
3/1</t>
        </r>
      </text>
    </comment>
    <comment ref="K93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Nhi Duong Thi Kieu:</t>
        </r>
        <r>
          <rPr>
            <sz val="9"/>
            <color indexed="81"/>
            <rFont val="Tahoma"/>
            <family val="2"/>
          </rPr>
          <t xml:space="preserve">
3/1</t>
        </r>
      </text>
    </comment>
  </commentList>
</comments>
</file>

<file path=xl/sharedStrings.xml><?xml version="1.0" encoding="utf-8"?>
<sst xmlns="http://schemas.openxmlformats.org/spreadsheetml/2006/main" count="34434" uniqueCount="15170">
  <si>
    <t>COMP_DEVICE_TYPE</t>
  </si>
  <si>
    <t>COMP_VALUE</t>
  </si>
  <si>
    <t>COMP_PACKAGE</t>
  </si>
  <si>
    <t>NPOL_CAP_C0603_1NF</t>
  </si>
  <si>
    <t>1nF</t>
  </si>
  <si>
    <t>C0603</t>
  </si>
  <si>
    <t>NPOL_CAP_C0805_1UF/0805</t>
  </si>
  <si>
    <t>1uF/0805</t>
  </si>
  <si>
    <t>C0805</t>
  </si>
  <si>
    <t>NPOL_CAP_C0805_10UF/0805</t>
  </si>
  <si>
    <t>10uF/0805</t>
  </si>
  <si>
    <t>NPOL_CAP_C0603_4.7UF</t>
  </si>
  <si>
    <t>4.7uF</t>
  </si>
  <si>
    <t>NPOL_CAP_C0603_0.1UF</t>
  </si>
  <si>
    <t>0.1uF</t>
  </si>
  <si>
    <t>NPOL_CAP_C0603_10PF</t>
  </si>
  <si>
    <t>10pF</t>
  </si>
  <si>
    <t>NPOL_CAP_C0603_12PF</t>
  </si>
  <si>
    <t>12pF</t>
  </si>
  <si>
    <t>NPOL_CAP_C0603_10NF</t>
  </si>
  <si>
    <t>10nF</t>
  </si>
  <si>
    <t>NPOL_CAP_C0603_1UF</t>
  </si>
  <si>
    <t>1uF</t>
  </si>
  <si>
    <t>NPOL_CAP_CC1206_10UF</t>
  </si>
  <si>
    <t>10uF</t>
  </si>
  <si>
    <t>CC1206</t>
  </si>
  <si>
    <t>NPOL_CAP_CC1206_47UF</t>
  </si>
  <si>
    <t>47uF</t>
  </si>
  <si>
    <t>NPOL_CAP_C0805_0.1UF/0805</t>
  </si>
  <si>
    <t>0.1uF/0805</t>
  </si>
  <si>
    <t>VARISTOR_TVS0805_V30MLA0805LH</t>
  </si>
  <si>
    <t>V30MLA0805LH</t>
  </si>
  <si>
    <t>TVS0805</t>
  </si>
  <si>
    <t>DIODE_DO_214AB_MBRS340T3</t>
  </si>
  <si>
    <t>MBRS340T3</t>
  </si>
  <si>
    <t>DO_214AB</t>
  </si>
  <si>
    <t>LED_D0805_0805</t>
  </si>
  <si>
    <t>D0805</t>
  </si>
  <si>
    <t>ESDA6V1_SOT_23_6_ESDA6V1-5SC6</t>
  </si>
  <si>
    <t>ESDA6V1-5SC6</t>
  </si>
  <si>
    <t>SOT_23_6</t>
  </si>
  <si>
    <t>DIODE SCHOTTKY21_0_SOT_23_3_BAT</t>
  </si>
  <si>
    <t>BAT54-7-F</t>
  </si>
  <si>
    <t>SOT_23_3</t>
  </si>
  <si>
    <t>DIODE SCHOTTKY21_0_SOD-323_NSR0</t>
  </si>
  <si>
    <t>NSR0530HT1G</t>
  </si>
  <si>
    <t>SOD-323</t>
  </si>
  <si>
    <t>ZENER_SOD_123_BZT52C15</t>
  </si>
  <si>
    <t>BZT52C15</t>
  </si>
  <si>
    <t>SOD_123</t>
  </si>
  <si>
    <t>FUSE_F1812_MF-MSMF250/16</t>
  </si>
  <si>
    <t>MF-MSMF250/16</t>
  </si>
  <si>
    <t>F1812</t>
  </si>
  <si>
    <t>USB_MINI_TYPE_B_VER_1_USBA_R_TH</t>
  </si>
  <si>
    <t>87520-0010BLF</t>
  </si>
  <si>
    <t>USBA_R_TH</t>
  </si>
  <si>
    <t>MICRO_SD_CARD_3_GCT_MEM2075-00-</t>
  </si>
  <si>
    <t>MEM2075-00-140-01-A</t>
  </si>
  <si>
    <t>GCT_MEM2075-00-140-01-A</t>
  </si>
  <si>
    <t>BATTERY_HOLDER_BK_912_BATSMD</t>
  </si>
  <si>
    <t>BatSMD</t>
  </si>
  <si>
    <t>BK_912</t>
  </si>
  <si>
    <t>HEADER2X7_HEADER2X7_HEADER2X7</t>
  </si>
  <si>
    <t>HEADER2X7</t>
  </si>
  <si>
    <t>HEADER2X14_HEADER2X14_HEADER2X1</t>
  </si>
  <si>
    <t>HEADER2X14</t>
  </si>
  <si>
    <t>HEADER1X2_DOMINONGANG2_DOMINO2P</t>
  </si>
  <si>
    <t>Domino2Pin</t>
  </si>
  <si>
    <t>DOMINONGANG2</t>
  </si>
  <si>
    <t>HEADER1X5_HEADER1X5_HEADER1X5</t>
  </si>
  <si>
    <t>HEADER1X5</t>
  </si>
  <si>
    <t>BEAD_L0805_BLM21PG221SN1D</t>
  </si>
  <si>
    <t>BLM21PG221SN1D</t>
  </si>
  <si>
    <t>L0805</t>
  </si>
  <si>
    <t>IND_FERRITE_IND_8MMX8MM_SRN8040</t>
  </si>
  <si>
    <t>SRN8040-2R2Y</t>
  </si>
  <si>
    <t>IND_8MMX8MM</t>
  </si>
  <si>
    <t>CONNECTOR DB9_1_DB9_R_RS232_MAL</t>
  </si>
  <si>
    <t>RS232_Male Connector</t>
  </si>
  <si>
    <t>DB9_R</t>
  </si>
  <si>
    <t>CONNECTOR DB9_1_DB9_R_RS232_FEM</t>
  </si>
  <si>
    <t>RS232_Female_Connector</t>
  </si>
  <si>
    <t>CONNECTOR DB9_1_DB9_R_LD09S13A4</t>
  </si>
  <si>
    <t>LD09S13A4GV00LF_Male Connector</t>
  </si>
  <si>
    <t>BJT_NPN_SOT_23_MMBT2222</t>
  </si>
  <si>
    <t>MMBT2222</t>
  </si>
  <si>
    <t>SOT_23</t>
  </si>
  <si>
    <t>BJT_NPN_SOT_23_BC847CLT1G</t>
  </si>
  <si>
    <t>BC847CLT1G</t>
  </si>
  <si>
    <t>2N2904_0_SOT_23_BC857CLT1G</t>
  </si>
  <si>
    <t>BC857CLT1G</t>
  </si>
  <si>
    <t>R0603</t>
  </si>
  <si>
    <t>RES_R0603_47K</t>
  </si>
  <si>
    <t>47K</t>
  </si>
  <si>
    <t>RES_R0603_330</t>
  </si>
  <si>
    <t>RES_R0603_10K</t>
  </si>
  <si>
    <t>10K</t>
  </si>
  <si>
    <t>RES_R0603_0</t>
  </si>
  <si>
    <t>RES_R0603_1.5K</t>
  </si>
  <si>
    <t>1.5K</t>
  </si>
  <si>
    <t>RES_R0603_33K/1%</t>
  </si>
  <si>
    <t>33K/1%</t>
  </si>
  <si>
    <t>RES_R0603_10K/1%</t>
  </si>
  <si>
    <t>10K/1%</t>
  </si>
  <si>
    <t>RES_R0603_33</t>
  </si>
  <si>
    <t>RES_R0603_10</t>
  </si>
  <si>
    <t>RES_R0603_47</t>
  </si>
  <si>
    <t>RES_R0603_100K</t>
  </si>
  <si>
    <t>100K</t>
  </si>
  <si>
    <t>RES_R0603_22K</t>
  </si>
  <si>
    <t>22K</t>
  </si>
  <si>
    <t>RES_R0603_33K</t>
  </si>
  <si>
    <t>33K</t>
  </si>
  <si>
    <t>RES_R0603_5.1K</t>
  </si>
  <si>
    <t>5.1K</t>
  </si>
  <si>
    <t>RES_R0603_100</t>
  </si>
  <si>
    <t>STM32F303VET6_2_LQFP100P1600X16</t>
  </si>
  <si>
    <t>STM32F303VET6</t>
  </si>
  <si>
    <t>LQFP100P1600X1600-100</t>
  </si>
  <si>
    <t>DIODE TVS_0_DO-214AB_SM30T19CAY</t>
  </si>
  <si>
    <t>SM30T19CAY</t>
  </si>
  <si>
    <t>DO-214AB</t>
  </si>
  <si>
    <t>USBLC6-2P6_SOT_666_USBLC6-2P6</t>
  </si>
  <si>
    <t>USBLC6-2P6</t>
  </si>
  <si>
    <t>SOT_666</t>
  </si>
  <si>
    <t>TPS562200_SOT_23_6_TPS562208DDC</t>
  </si>
  <si>
    <t>TPS562208DDCT</t>
  </si>
  <si>
    <t>TRS3232E_Q1_2_SOIC_16_MAX232ACS</t>
  </si>
  <si>
    <t>MAX232ACSE</t>
  </si>
  <si>
    <t>SOIC_16</t>
  </si>
  <si>
    <t>LM1117X_4P_SOT_223_3_LM1117X_4P</t>
  </si>
  <si>
    <t>LM1117X_4P</t>
  </si>
  <si>
    <t>SOT_223_3</t>
  </si>
  <si>
    <t>AT24C64_SOIC8_AT24C64</t>
  </si>
  <si>
    <t>AT24C64</t>
  </si>
  <si>
    <t>SOIC8</t>
  </si>
  <si>
    <t>SPARK_GAP_SPARKGAP_SPARK GAP</t>
  </si>
  <si>
    <t>SPARK GAP</t>
  </si>
  <si>
    <t>SPARKGAP</t>
  </si>
  <si>
    <t>CRYSTAL_4_CRYTAL5032_ABM3B-8.00</t>
  </si>
  <si>
    <t>ABM3B-8.000MHZ-10-1-U-T</t>
  </si>
  <si>
    <t>CRYTAL5032</t>
  </si>
  <si>
    <t>CRYSTAL_ABS07_32KHZ_32.768KHZ</t>
  </si>
  <si>
    <t>32.768kHz</t>
  </si>
  <si>
    <t>ABS07_32KHZ</t>
  </si>
  <si>
    <t>GSM_Module</t>
  </si>
  <si>
    <t>LCD</t>
  </si>
  <si>
    <t>NPOL_CAP_C0603_33PF</t>
  </si>
  <si>
    <t>33pF</t>
  </si>
  <si>
    <t>POL_CAP_REC_SIZE_E_470UF</t>
  </si>
  <si>
    <t>470uF</t>
  </si>
  <si>
    <t>REC_SIZE_E</t>
  </si>
  <si>
    <t>NPOL_CAP_C0603_47PF</t>
  </si>
  <si>
    <t>47pF</t>
  </si>
  <si>
    <t>NPOL_CAP_C0603_10UF/10V</t>
  </si>
  <si>
    <t>10uF/10V</t>
  </si>
  <si>
    <t>NPOL_CAP_C0805_47UF/0805</t>
  </si>
  <si>
    <t>47uF/0805</t>
  </si>
  <si>
    <t>LED_LED3MM_RED_3MM</t>
  </si>
  <si>
    <t>RED_3mm</t>
  </si>
  <si>
    <t>LED3MM</t>
  </si>
  <si>
    <t>LED_LED3MM_GREEN_3MM</t>
  </si>
  <si>
    <t>GREEN_3mm</t>
  </si>
  <si>
    <t>ZENER_SOD_323F_BZX84J-C3V3,115</t>
  </si>
  <si>
    <t>BZX84J-C3V3,115</t>
  </si>
  <si>
    <t>SOD_323F</t>
  </si>
  <si>
    <t>FMS006_FMS006_FMS006</t>
  </si>
  <si>
    <t>FMS006</t>
  </si>
  <si>
    <t>SMA_EDGE_F_SMA_5-1814832-1_SMA</t>
  </si>
  <si>
    <t>SMA</t>
  </si>
  <si>
    <t>SMA_5-1814832-1</t>
  </si>
  <si>
    <t>HEADER1X3_PW_TH_DC JACK</t>
  </si>
  <si>
    <t>DC JACK</t>
  </si>
  <si>
    <t>PW_TH</t>
  </si>
  <si>
    <t>SRN8040-3R3</t>
  </si>
  <si>
    <t>RES_R0603_33R</t>
  </si>
  <si>
    <t>33R</t>
  </si>
  <si>
    <t>RES_R0603_4.7K</t>
  </si>
  <si>
    <t>4.7K</t>
  </si>
  <si>
    <t>RES_R0603_56.2K/1%</t>
  </si>
  <si>
    <t>56.2K/1%</t>
  </si>
  <si>
    <t>RES_R0603_124K/1%</t>
  </si>
  <si>
    <t>124K/1%</t>
  </si>
  <si>
    <t>RES_R0603_56K/1%</t>
  </si>
  <si>
    <t>56K/1%</t>
  </si>
  <si>
    <t>RES_R0805_470R</t>
  </si>
  <si>
    <t>470R</t>
  </si>
  <si>
    <t>R0805</t>
  </si>
  <si>
    <t>RES_R0603_1K</t>
  </si>
  <si>
    <t>1K</t>
  </si>
  <si>
    <t>RES_R0603_3K3</t>
  </si>
  <si>
    <t>3K3</t>
  </si>
  <si>
    <t>SW PUSHBUTTON-SPST_PUSHBUTTON_R</t>
  </si>
  <si>
    <t>PUSHBUTTON_RS-BT-01</t>
  </si>
  <si>
    <t>QUECTEL_M95_M95_40_QUECTEL_M95</t>
  </si>
  <si>
    <t>QUECTEL_M95</t>
  </si>
  <si>
    <t>M95_40</t>
  </si>
  <si>
    <t>PESD5V0X1BT_0_SOT_23_PESD5V0X1B</t>
  </si>
  <si>
    <t>PESD5V0X1BT,215</t>
  </si>
  <si>
    <t>MIC29302WU_0_TO_263_5_MIC29302W</t>
  </si>
  <si>
    <t>MIC29302WU</t>
  </si>
  <si>
    <t>TO_263_5</t>
  </si>
  <si>
    <t>LED_LED3MM_3MM</t>
  </si>
  <si>
    <t>3mm</t>
  </si>
  <si>
    <t>HEADER1X17_0_NHD-C12832A1Z-FSW-</t>
  </si>
  <si>
    <t>NHD-C12832A1Z-FSW-FBW-3V3</t>
  </si>
  <si>
    <t>NHD-C12832A1Z-FSW-FBW</t>
  </si>
  <si>
    <t>RES_R0805_100K</t>
  </si>
  <si>
    <t>RES_R0805_10K</t>
  </si>
  <si>
    <t>SW_PB_SPST_0_SW12X12_BUTTON</t>
  </si>
  <si>
    <t>Button</t>
  </si>
  <si>
    <t>SW12X12</t>
  </si>
  <si>
    <t>MOSFET-N_0_SOT_23_DMN65D8L-7</t>
  </si>
  <si>
    <t>DMN65D8L-7</t>
  </si>
  <si>
    <t>MOSFET-P_0_SOT_23_DMG2307L-7</t>
  </si>
  <si>
    <t>DMG2307L-7</t>
  </si>
  <si>
    <t>Part number</t>
  </si>
  <si>
    <t>CC0603JRNPO8BN102</t>
  </si>
  <si>
    <t>Description</t>
  </si>
  <si>
    <t>CAP CER 1000PF 25V C0G/NPO 0603</t>
  </si>
  <si>
    <t>PCB RAINGAUGE</t>
  </si>
  <si>
    <t>PCB GSM_MODULE</t>
  </si>
  <si>
    <t>PCB LCD</t>
  </si>
  <si>
    <t>Tổng sản xuất</t>
  </si>
  <si>
    <t>Thiếu</t>
  </si>
  <si>
    <t>CC0805KKX7R8BB105</t>
  </si>
  <si>
    <t>CAP CER 1UF 25V X7R 0805</t>
  </si>
  <si>
    <t>CAP CER 10UF 25V X5R 0805</t>
  </si>
  <si>
    <t>CC0805KKX5R8BB106</t>
  </si>
  <si>
    <t>CAP CER 4.7UF 25V X5R 0603</t>
  </si>
  <si>
    <t>TMK107BBJ475MA-T</t>
  </si>
  <si>
    <t>CAP CER 0.1UF 25V Y5V 0603</t>
  </si>
  <si>
    <t>CC0603ZRY5V8BB104</t>
  </si>
  <si>
    <t>Capacitors MLCC - SMD/SMT 10pF 25V 5%</t>
  </si>
  <si>
    <t>CC0603JRNPO8BN100</t>
  </si>
  <si>
    <t>CAP CER 12PF 50V C0G/NP0 0603</t>
  </si>
  <si>
    <t>C0603C120K5GACTU</t>
  </si>
  <si>
    <t>CAP CER 1UF 50V X5R 0603</t>
  </si>
  <si>
    <t>GRT188R61H105KE13D</t>
  </si>
  <si>
    <t>CAP CER 10UF 25V X5R 1206</t>
  </si>
  <si>
    <t>TMK316BJ106KL-T</t>
  </si>
  <si>
    <t>CAP CER 47UF 25V X5R 1206</t>
  </si>
  <si>
    <t>GRM31CR61E476ME44K</t>
  </si>
  <si>
    <t>CAP CER 0.1UF 25V X7R 0805</t>
  </si>
  <si>
    <t>CC0805MRX7R8BB104</t>
  </si>
  <si>
    <t>VARISTOR 41.5V 30A 0805</t>
  </si>
  <si>
    <t>DIODE SCHOTTKY 40V 4A SMC</t>
  </si>
  <si>
    <t>MBRS340T3G</t>
  </si>
  <si>
    <t>LED BLUE DIFFUSED SMD</t>
  </si>
  <si>
    <t>VCDB1112H-5AY3B-TR</t>
  </si>
  <si>
    <t>TVS DIODE 3V SOT23-6</t>
  </si>
  <si>
    <t>DIODE SCHOTTKY 30V 200MA SOT23-3</t>
  </si>
  <si>
    <t>DIODE SCHOTTKY 30V 500MA SOD323</t>
  </si>
  <si>
    <t>PTC RESET FUSE 16V 2.5A 1812</t>
  </si>
  <si>
    <t>MF-MSMF250/16X-2</t>
  </si>
  <si>
    <t>DIODE ZENER 15V 500MW SOD123</t>
  </si>
  <si>
    <t>BZT52C15-7-F</t>
  </si>
  <si>
    <t>CONN RCPT USB2.0 TYPEA 4POS R/A</t>
  </si>
  <si>
    <t>FERRITE BEAD 220 OHM 0805 1LN</t>
  </si>
  <si>
    <t>FIXED IND 3.3UH 5.6A 21 MOHM SMD</t>
  </si>
  <si>
    <t>SRN8040-3R3Y</t>
  </si>
  <si>
    <t>TRANS NPN 45V 0.1A SOT23</t>
  </si>
  <si>
    <t>TRANS PNP 45V 0.1A SOT23</t>
  </si>
  <si>
    <t>RES SMD 47K OHM 5% 1/10W 0603</t>
  </si>
  <si>
    <t>RC0603JR-0747KL</t>
  </si>
  <si>
    <t>RES SMD 330 OHM 5% 1/10W 0603</t>
  </si>
  <si>
    <t>RC0603JR-07330RL</t>
  </si>
  <si>
    <t>RES SMD 10K OHM 1% 1/10W 0603</t>
  </si>
  <si>
    <t>RC0603FR-0710KL</t>
  </si>
  <si>
    <t>RES SMD 0 OHM JUMPER 1/10W 0603</t>
  </si>
  <si>
    <t>RC0603JR-070RL</t>
  </si>
  <si>
    <t>RES SMD 1.5K OHM 5% 1/10W 0603</t>
  </si>
  <si>
    <t>RC0603JR-071K5L</t>
  </si>
  <si>
    <t>RES SMD 33K OHM 1% 1/10W 0603</t>
  </si>
  <si>
    <t>RC0603FR-0733KL</t>
  </si>
  <si>
    <t>RES SMD 33 OHM 5% 1/10W 0603</t>
  </si>
  <si>
    <t>RC0603JR-0733RL</t>
  </si>
  <si>
    <t>RES SMD 10 OHM 5% 1/10W 0603</t>
  </si>
  <si>
    <t>RC0603JR-0710RL</t>
  </si>
  <si>
    <t>RES SMD 47 OHM 5% 1/10W 0603</t>
  </si>
  <si>
    <t>RC0603JR-0747RL</t>
  </si>
  <si>
    <t>RES SMD 100K OHM 5% 1/10W 0603</t>
  </si>
  <si>
    <t>RC0603JR-07100KL</t>
  </si>
  <si>
    <t>RES SMD 22K OHM 5% 1/10W 0603</t>
  </si>
  <si>
    <t>RC0603JR-0722KL</t>
  </si>
  <si>
    <t>RES SMD 100 OHM 5% 1/10W 0603</t>
  </si>
  <si>
    <t>RC0603JR-07100RL</t>
  </si>
  <si>
    <t>IC MCU 32BIT 512KB FLASH 100LQFP</t>
  </si>
  <si>
    <t>TVS DIODE 16V 26V SMC</t>
  </si>
  <si>
    <t>TVS DIODE 5.25V 17V SOT666</t>
  </si>
  <si>
    <t>IC REG BUCK ADJ 2A TSOT23-6</t>
  </si>
  <si>
    <t>IC TRANSCEIVER FULL 2/2 16SOIC</t>
  </si>
  <si>
    <t>MAX232ACSE+T</t>
  </si>
  <si>
    <t>1.7-5.5V 1MHZ IND TMP 8-UDFN</t>
  </si>
  <si>
    <t>AT24C64D-MAHM-E</t>
  </si>
  <si>
    <t>CRYSTAL 8.0000MHZ 10PF SMD</t>
  </si>
  <si>
    <t>CRYSTAL 32.7680KHZ 12.5PF SMD</t>
  </si>
  <si>
    <t>ABS07-32.768KHZ-T</t>
  </si>
  <si>
    <t>CAP CER 33PF 50V C0G/NP0 0603</t>
  </si>
  <si>
    <t>C0603C330K5GACTU</t>
  </si>
  <si>
    <t>CAP TANT 470UF 10% 10V 2917</t>
  </si>
  <si>
    <t>293D477X9010E2TE3</t>
  </si>
  <si>
    <t>CAP CER 47PF 100V C0G/NP0 0603</t>
  </si>
  <si>
    <t>C0603C470J1GACAUTO</t>
  </si>
  <si>
    <t>CAP CER 10000PF 50V X7R 0603</t>
  </si>
  <si>
    <t>C0603C103M5RACTU</t>
  </si>
  <si>
    <t>CAP CERAMIC 10UF 25V X5R 10% SMD</t>
  </si>
  <si>
    <t>GRM188R61E106KA73D</t>
  </si>
  <si>
    <t>CAP CER 47UF 10V X5R 0805</t>
  </si>
  <si>
    <t>LMK212BBJ476MG-T</t>
  </si>
  <si>
    <t>DIODE ZENER 3.3V 550MW SOD323F</t>
  </si>
  <si>
    <t>TRANS NPN 40V 0.6A SOT23</t>
  </si>
  <si>
    <t>MMBT2222A-TP</t>
  </si>
  <si>
    <t>RES SMD 4.7K OHM 5% 1/10W 0603</t>
  </si>
  <si>
    <t>RC0603JR-074K7L</t>
  </si>
  <si>
    <t>RES SMD 56.2K OHM 1% 1/10W 0603</t>
  </si>
  <si>
    <t>RC0603FR-0756K2L</t>
  </si>
  <si>
    <t>RES SMD 124K OHM 1% 1/10W 0603</t>
  </si>
  <si>
    <t>RC0603FR-07124KL</t>
  </si>
  <si>
    <t>RES SMD 1K OHM 5% 1/10W 0603</t>
  </si>
  <si>
    <t>RC0603JR-071KL</t>
  </si>
  <si>
    <t>RES SMD 3.3K OHM 5% 1/10W 0603</t>
  </si>
  <si>
    <t>RC0603JR-073K3L</t>
  </si>
  <si>
    <t>TVS DIODE 5V SOT23</t>
  </si>
  <si>
    <t>IC REG LINEAR POS ADJ 3A TO263-5</t>
  </si>
  <si>
    <t>LCD COG GRAPHIC 128X32</t>
  </si>
  <si>
    <t>RES SMD 10K OHM 5% 1/10W 0603</t>
  </si>
  <si>
    <t>RC0603JR-0710KL</t>
  </si>
  <si>
    <t>MOSFET N-CH 60V 310MA SOT23</t>
  </si>
  <si>
    <t>MICRO SD PUSH-PUSH, SMT, 1.40MM</t>
  </si>
  <si>
    <t>ok</t>
  </si>
  <si>
    <t>TN</t>
  </si>
  <si>
    <t>RES SMD 470 OHM 5% 1/10W 0603</t>
  </si>
  <si>
    <t>RC0603JR-07470RL</t>
  </si>
  <si>
    <t>PHIẾU XUẤT LINH KIỆN</t>
  </si>
  <si>
    <t>Số lượng
 xuất kho</t>
  </si>
  <si>
    <t>Rain
Gauge</t>
  </si>
  <si>
    <t>Người soạn</t>
  </si>
  <si>
    <t>Người nhận</t>
  </si>
  <si>
    <t>Thủ kho</t>
  </si>
  <si>
    <t>Ghi chú</t>
  </si>
  <si>
    <t>D6F-PH0505AD3</t>
  </si>
  <si>
    <t>VỊ TRÍ</t>
  </si>
  <si>
    <t>T1-Z1</t>
  </si>
  <si>
    <t>T1-Z2</t>
  </si>
  <si>
    <t>T1-Z3</t>
  </si>
  <si>
    <t>PN1</t>
  </si>
  <si>
    <t>RES SMD 680 OHM 1% 1/8W 0805</t>
  </si>
  <si>
    <t>CRG0805F680R</t>
  </si>
  <si>
    <t>IC MOSFET DVR 1.5A DUAL HS 8SOIC</t>
  </si>
  <si>
    <t>TC4428EOA</t>
  </si>
  <si>
    <t>TC4428AEOA</t>
  </si>
  <si>
    <t>CAP ALUM 10UF 20% 50V SMD</t>
  </si>
  <si>
    <t>EEE-FK1H100UR</t>
  </si>
  <si>
    <t>TERM BLOCK PCB 2POS 5.08MM</t>
  </si>
  <si>
    <t>KF301-2-V</t>
  </si>
  <si>
    <t>TERM BLOCK PCB 2POS 5.08MM BLACK</t>
  </si>
  <si>
    <t>PCB, FR-4 ,2Layer,T=1.6mm
Green Solder mask,White silkscreen
Finished copper: 1OZ, HASL Lead free
fly probe test
Piece size (mm): 82 x 82.34 
Array: 2
Panel size (mm): 92 x 166.3</t>
  </si>
  <si>
    <t>PCB Boitier Fente Circuit+881a115046
wf(1)</t>
  </si>
  <si>
    <t>PCB Boitier Fente</t>
  </si>
  <si>
    <t>xanh dương</t>
  </si>
  <si>
    <t>đen</t>
  </si>
  <si>
    <t>ACPR</t>
  </si>
  <si>
    <t>K1</t>
  </si>
  <si>
    <t>CAP-CER,SMD;10µF,20%,0603,10V,X5R</t>
  </si>
  <si>
    <t>GRM188R61A106ME69D</t>
  </si>
  <si>
    <t>Integrated Circuit</t>
  </si>
  <si>
    <t>Transient Voltage Suppressor diode, SOD-123FL, 6.40V .. 7.00V, 200W</t>
  </si>
  <si>
    <t>SMF5.0CA</t>
  </si>
  <si>
    <t>IC REG LIN POS ADJ 150MA SOT23-5</t>
  </si>
  <si>
    <t>RES SMD 160 OHM 1% 1/4W 0603</t>
  </si>
  <si>
    <t>ERJ-PA3F1600V</t>
  </si>
  <si>
    <t>XMC1404Q064X0200AAXUMA1</t>
  </si>
  <si>
    <t>PCB AMRELEASE_MP_V6</t>
  </si>
  <si>
    <t xml:space="preserve">PCB ATM1301_V6.8 </t>
  </si>
  <si>
    <t>PCB ATM1301_V6.8.1</t>
  </si>
  <si>
    <t>CAP CER 0.1UF 50V X7R 0603</t>
  </si>
  <si>
    <t>GRM155R61H104KE19D</t>
  </si>
  <si>
    <t>MKM14Z64ACHH5</t>
  </si>
  <si>
    <t>IC EEPROM 4KBIT 400KHZ SOT23-5</t>
  </si>
  <si>
    <t>24AA04T-I/OT</t>
  </si>
  <si>
    <t>Crystal 32.7680kHz 20ppm 12.5pF 70 kOhm -40°C - 85°C Surface Mount 2-SMD</t>
  </si>
  <si>
    <t>ECS-.327-12.5-16-TR</t>
  </si>
  <si>
    <t>SHIELD</t>
  </si>
  <si>
    <t>AMBO_TONY_SHIELD</t>
  </si>
  <si>
    <t>RC0402FR-07750KL</t>
  </si>
  <si>
    <t>RC0402FR-07300KL</t>
  </si>
  <si>
    <t>SG73P1EWTTP4R7J</t>
  </si>
  <si>
    <t>ABO</t>
  </si>
  <si>
    <t>HEADER 23x2x2_54 THROUGH HOLE</t>
  </si>
  <si>
    <t>68491-446HLF</t>
  </si>
  <si>
    <t>GRM21BR61E106KA73L</t>
  </si>
  <si>
    <t>TMK212BBJ106KG-T</t>
  </si>
  <si>
    <t>CAP CER 100UF 10V 20% X5R 1206</t>
  </si>
  <si>
    <t>CAP CER 22UF 16V 20% X6S 0805</t>
  </si>
  <si>
    <t>CAP CER 0.22UF 50V X7R 0603</t>
  </si>
  <si>
    <t>47pF ±10% 50V C0G, NP0 Ceramic Capacitor -55°C ~ 125°C Surface Mount, MLCC 0402 (1005 Metric) 0.039" L x 0.020" W (1.00mm x 0.50mm)</t>
  </si>
  <si>
    <t>LED GREEN DIFFUSED 8MM</t>
  </si>
  <si>
    <t>LED 8MM RND 627NM HERED DIFF</t>
  </si>
  <si>
    <t>DIODE SCHOTTKY 30V 200MA SOD523</t>
  </si>
  <si>
    <t>TVS DIODE 3.5VWM SOD523</t>
  </si>
  <si>
    <t>DIODE SCHOTTKY N-CH 30V SOD-323</t>
  </si>
  <si>
    <t>FERRITE CHIP BEAD 600 OHM SMD</t>
  </si>
  <si>
    <t>POLYSWITCH 3.00A RESET FUSE SMD</t>
  </si>
  <si>
    <t>BERGSTIK II .100" SR STRAIGHT</t>
  </si>
  <si>
    <t>CONN PWR JACK 2.1X5.5MM HIGH CUR</t>
  </si>
  <si>
    <t>Connector Receptacle 6 Position 0.100" (2.54mm) Tin Through Hole</t>
  </si>
  <si>
    <t>CONN HEADER 20POS .100 VERT GOLD</t>
  </si>
  <si>
    <t>CONN RECEPT 6POS .100 VERT GOLD</t>
  </si>
  <si>
    <t>CONN D-SUB PLUG R/A 9POS GOLD/FL</t>
  </si>
  <si>
    <t>Connector Receptacle USB micro AB 5 Position Surface Mount, Right Angle, Horizontal</t>
  </si>
  <si>
    <t>FIXED IND 2.2UH 4.7A 35 MOHM SMD</t>
  </si>
  <si>
    <t>FIXED IND 10UH 680MA 468 MOHM</t>
  </si>
  <si>
    <t>MOSFET N-CH 60V 115MA SOT23-3</t>
  </si>
  <si>
    <t>RES SMD 10.2K OHM 1% 1/10W 0402</t>
  </si>
  <si>
    <t>RES ZER 0 OHM 1/16W 5% 0402 SMD</t>
  </si>
  <si>
    <t>RES 220 OHM 1/16W 5% 0402 SMD</t>
  </si>
  <si>
    <t>RES SMD 220 OHM 5% 1/10W 0603</t>
  </si>
  <si>
    <t>RES 27 OHM 1/16W 5% 0402 SMD</t>
  </si>
  <si>
    <t>SWITCH TACT SPST-NO 0.025A 50V</t>
  </si>
  <si>
    <t>IC REG BUCK SYNC ADJ 2A 16QFN</t>
  </si>
  <si>
    <t>IC I2C BUS REPEATER 8-TSSOP</t>
  </si>
  <si>
    <t>DC Buzzer Single Tone 3.5kHz Piezo 2 ~ 5V 100dB @ 3V, 10cm</t>
  </si>
  <si>
    <t>IC INVERT SCHMITT 2CH 2IN SC70-6</t>
  </si>
  <si>
    <t>IC TXRX RS232 DUAL 16-SSOP</t>
  </si>
  <si>
    <t>IC ESD SOLUTION 2CH SOT3</t>
  </si>
  <si>
    <t>IC USB SERIAL BASIC UART 16SSOP</t>
  </si>
  <si>
    <t>SKYLARK_SLT_CONTROL_PANEL_Re
v02_26Feb18_1000_
QA_FAB</t>
  </si>
  <si>
    <t>RES SMD 0 OHM JUMPER 1/16W 0402</t>
  </si>
  <si>
    <t>C3216X5R1A107M160AC</t>
  </si>
  <si>
    <t>C3216JB1A107M160AC</t>
  </si>
  <si>
    <t>GRM219R61C226ME15L</t>
  </si>
  <si>
    <t>GCM188R71H224KA64J</t>
  </si>
  <si>
    <t>C0402C470K5GACTU</t>
  </si>
  <si>
    <t>WP793GD</t>
  </si>
  <si>
    <t>WP793ID</t>
  </si>
  <si>
    <t>RB521S30T1G</t>
  </si>
  <si>
    <t>RSB6.8STE61</t>
  </si>
  <si>
    <t>BAS3010A03WE6327HTSA1</t>
  </si>
  <si>
    <t>MPZ1608S601ATA00</t>
  </si>
  <si>
    <t>MINISMDC300F-2</t>
  </si>
  <si>
    <t>68001-403HLF</t>
  </si>
  <si>
    <t>PJ-102AH</t>
  </si>
  <si>
    <t>PJ-037AH</t>
  </si>
  <si>
    <t>PPPC061LFBN-RC</t>
  </si>
  <si>
    <t>0702462002</t>
  </si>
  <si>
    <t>5-535541-4</t>
  </si>
  <si>
    <t>182-009-113R561</t>
  </si>
  <si>
    <t>CBC2518T100M</t>
  </si>
  <si>
    <t>2N7002-7-F</t>
  </si>
  <si>
    <t>ERJ-2RKF1022X</t>
  </si>
  <si>
    <t>RC0402JR-070R</t>
  </si>
  <si>
    <t>CRCW0402220RJNED</t>
  </si>
  <si>
    <t>RC0603JR-07220RL</t>
  </si>
  <si>
    <t>RC0402JR-0727RL</t>
  </si>
  <si>
    <t>320.02E11.08BLU</t>
  </si>
  <si>
    <t>320.02E11.08WHT</t>
  </si>
  <si>
    <t>320.02E11.08GRY</t>
  </si>
  <si>
    <t>320.02E11.08BLK</t>
  </si>
  <si>
    <t>TPS62140ARGTT</t>
  </si>
  <si>
    <t>PCA9617ADPJ</t>
  </si>
  <si>
    <t>AI-3035-TWT-3V-R</t>
  </si>
  <si>
    <t>SN74LVC2G14DCKR</t>
  </si>
  <si>
    <t>LTC2804CGN-1#PBF</t>
  </si>
  <si>
    <t>TPD2EUSB30DRTR</t>
  </si>
  <si>
    <t>FT230XS-R</t>
  </si>
  <si>
    <t>PCB</t>
  </si>
  <si>
    <t>CR0402-J/-000GLF</t>
  </si>
  <si>
    <t>AMC</t>
  </si>
  <si>
    <t>ERJ-6ENF1003V</t>
  </si>
  <si>
    <t>C0805C104M4RACTU</t>
  </si>
  <si>
    <t>CGA4J2X8R1H104K125AA</t>
  </si>
  <si>
    <t>ERJ-6ENF1002V</t>
  </si>
  <si>
    <t>GRM21BR61C106ME15L</t>
  </si>
  <si>
    <t>ERJ-6ENF1500V</t>
  </si>
  <si>
    <t>ERJ-6ENF1004V</t>
  </si>
  <si>
    <t>1N4007</t>
  </si>
  <si>
    <t>1N4007-M7</t>
  </si>
  <si>
    <t>M7</t>
  </si>
  <si>
    <t>ERJ-6ENF3303V</t>
  </si>
  <si>
    <t>ERJ-6ENF51R0V</t>
  </si>
  <si>
    <t>AMS1117-1V8</t>
  </si>
  <si>
    <t>AMS1117-1.8</t>
  </si>
  <si>
    <t>AMS1117-3V3</t>
  </si>
  <si>
    <t>AMS1117-3.3</t>
  </si>
  <si>
    <t>150080BS75000</t>
  </si>
  <si>
    <t>150080VS75000</t>
  </si>
  <si>
    <t>LN2302LT1G</t>
  </si>
  <si>
    <t>150080RS75000</t>
  </si>
  <si>
    <t>PCB ATS-FT3-v2.0</t>
  </si>
  <si>
    <t>MAX14589EEWL+T</t>
  </si>
  <si>
    <t>PCB adapter_MAX14589E</t>
  </si>
  <si>
    <t>PCB Cable</t>
  </si>
  <si>
    <t>AXN</t>
  </si>
  <si>
    <t>CAP CER 4.7UF 6.3V X5R 0402</t>
  </si>
  <si>
    <t>CAP CER 10UF 10V X5R 0402</t>
  </si>
  <si>
    <t>CL05A106MP5NUNC</t>
  </si>
  <si>
    <t>GRM155D81A475ME15D</t>
  </si>
  <si>
    <t>No Description Available</t>
  </si>
  <si>
    <t>TPSB107K006R0250</t>
  </si>
  <si>
    <t>BBN</t>
  </si>
  <si>
    <t>CAP FILM 0.22UF 5% 250VDC RADIAL</t>
  </si>
  <si>
    <t>B32521C3224J289</t>
  </si>
  <si>
    <t>CMC 18mH 300MA 2LN TH</t>
  </si>
  <si>
    <t>744862180</t>
  </si>
  <si>
    <t>10W AC/DC-CONVERTER 'POWERLINE'</t>
  </si>
  <si>
    <t>RAC10E-24SK/277</t>
  </si>
  <si>
    <t>VARISTOR 320VAC  DISC 20MM</t>
  </si>
  <si>
    <t>TMOV20RP320E</t>
  </si>
  <si>
    <t>VARISTOR 470V 1.75KA DISC 7MM</t>
  </si>
  <si>
    <t>V07E300P</t>
  </si>
  <si>
    <t>RES SMD 46.4K OHM 1% 1/10W 0603</t>
  </si>
  <si>
    <t>ERJ-3EKF4642V</t>
  </si>
  <si>
    <t>RES SMD 10 OHM 1% 1/10W 0402</t>
  </si>
  <si>
    <t>ERJ-2RKF10R0X</t>
  </si>
  <si>
    <t>RES SMD 56K OHM 1% 1/8W 0805</t>
  </si>
  <si>
    <t>ERJ-6ENF5602V</t>
  </si>
  <si>
    <t>RES SMD 4.64K OHM 1% 1/10W 0603</t>
  </si>
  <si>
    <t>ERJ-3EKF4641V</t>
  </si>
  <si>
    <t>RES SMD 20K OHM 1% 1/10W 0603</t>
  </si>
  <si>
    <t>ERJ-3EKF2002V</t>
  </si>
  <si>
    <t>RES 22.1K OHM 1% 1/10W 0603</t>
  </si>
  <si>
    <t>RK73H1JTTD2212F</t>
  </si>
  <si>
    <t>Rectifiers REC SMB 2A TR</t>
  </si>
  <si>
    <t>NRVUS230T3G</t>
  </si>
  <si>
    <t>CAP CER SMD 10PF/50V 5% 0402</t>
  </si>
  <si>
    <t>RES SMD 91K OHM 1% 1/8W 0805</t>
  </si>
  <si>
    <t>MCR10EZPF9102</t>
  </si>
  <si>
    <t>RES SMD 10 OHM 1% 1/16W 0402</t>
  </si>
  <si>
    <t>MCR01MZPF10R0</t>
  </si>
  <si>
    <t>RES SMD 33K OHM 1% 1/8W 0805</t>
  </si>
  <si>
    <t>MCR10EZPF3302</t>
  </si>
  <si>
    <t>CERAMIC RES 4.0000MHZ 39PF SMD</t>
  </si>
  <si>
    <t>CSTNR4M00GH5C000R0</t>
  </si>
  <si>
    <t>Delay PCB</t>
  </si>
  <si>
    <t>BSH</t>
  </si>
  <si>
    <t>0.1 µF ±20% 50V Ceramic Capacitor X7R 0402 (1005 Metric)</t>
  </si>
  <si>
    <t>GCM155R71H104ME02D</t>
  </si>
  <si>
    <t>885012205086</t>
  </si>
  <si>
    <t>1 µF ±10% 25V Ceramic Capacitor X5R 0402 (1005 Metric)</t>
  </si>
  <si>
    <t>04023D105KAT2A</t>
  </si>
  <si>
    <t>22 pF ±10% 50V Ceramic Capacitor C0G, NP0 0402 (1005 Metric)</t>
  </si>
  <si>
    <t>885012005057</t>
  </si>
  <si>
    <t>220 µF 35 V Aluminum Electrolytic Capacitors Radial, Can - SMD 2000 Hrs @ 105°C</t>
  </si>
  <si>
    <t>865080553014</t>
  </si>
  <si>
    <t>10 µF ±20% 50V Ceramic Capacitor X5R 1206 (3216 Metric)</t>
  </si>
  <si>
    <t>CL31A106MBHNNNE</t>
  </si>
  <si>
    <t>150 pF ±5% 50V Ceramic Capacitor C0G, NP0 0402 (1005 Metric)</t>
  </si>
  <si>
    <t>CL05C151JB5NNNC</t>
  </si>
  <si>
    <t>22 µF ±10% 10V Ceramic Capacitor X7R 1206 (3216 Metric)</t>
  </si>
  <si>
    <t>885012208019</t>
  </si>
  <si>
    <t>47 pF ±20% 10V Ceramic Capacitor X8R 0402 (1005 Metric)</t>
  </si>
  <si>
    <t>885012005011</t>
  </si>
  <si>
    <t>4.7 µF ±20% 10V Ceramic Capacitor X6T 0402 (1005 Metric)</t>
  </si>
  <si>
    <t>10000 pF ±10% 16V Ceramic Capacitor X7R 0402 (1005 Metric)</t>
  </si>
  <si>
    <t>885012205031</t>
  </si>
  <si>
    <t>Green 558nm LED Indication - Discrete 2.1V 0603 (1608 Metric)</t>
  </si>
  <si>
    <t>BG1111C-TR</t>
  </si>
  <si>
    <t>48.4V Clamp 8.26A Ipp Tvs Diode Surface Mount</t>
  </si>
  <si>
    <t>824500301</t>
  </si>
  <si>
    <t>60 Ohms 1 Ferrite Bead 0805 (2012 Metric) 3A 30mOhm</t>
  </si>
  <si>
    <t>742792063</t>
  </si>
  <si>
    <t>Connector Header Through Hole 6 position 0.100" (2.54mm)</t>
  </si>
  <si>
    <t>Connector Header Through Hole 3 position 0.098" (2.50mm)</t>
  </si>
  <si>
    <t>B3B-XH-A-LF-S</t>
  </si>
  <si>
    <t>Connector Header Through Hole 4 position 0.079" (2.00mm)</t>
  </si>
  <si>
    <t>B4B-PH-K-S</t>
  </si>
  <si>
    <t>Connector Header Through Hole 5 position 0.079" (2.00mm)</t>
  </si>
  <si>
    <t>B5B-PH-K-S</t>
  </si>
  <si>
    <t>Connector Header Through Hole 8 position 0.098" (2.50mm)</t>
  </si>
  <si>
    <t>B8B-XH-A-LF-S</t>
  </si>
  <si>
    <t>Connector Header Through Hole 9 position 0.098" (2.50mm)</t>
  </si>
  <si>
    <t>B9B-XH-A-LF-S</t>
  </si>
  <si>
    <t>Connector Header Through Hole 20 position 0.100" (2.54mm)</t>
  </si>
  <si>
    <t>2 Position Header Connector 0.079" (2.00mm) Through Hole Gold</t>
  </si>
  <si>
    <t>61300211821</t>
  </si>
  <si>
    <t>Connector Header Through Hole 5 position 0.100" (2.54mm)</t>
  </si>
  <si>
    <t>61300911821</t>
  </si>
  <si>
    <t>8 Position Header Connector 0.079" (2.00mm) Through Hole Gold</t>
  </si>
  <si>
    <t>61301611821</t>
  </si>
  <si>
    <t>RS PRO Right Angle DC Socket Rated At 1A, 12.0 V, PCB Mount, length 14.5mm, Nickel</t>
  </si>
  <si>
    <t>694106301002</t>
  </si>
  <si>
    <t>18 µH Shielded Inductor 3.9 A 39.2mOhm Max Nonstandard</t>
  </si>
  <si>
    <t>744770118</t>
  </si>
  <si>
    <t>4.7 kOhms ±5% 0.063W, 1/16W Chip Resistor 0402 (1005 Metric) Thick Film</t>
  </si>
  <si>
    <t>RC0402JR-074K7P</t>
  </si>
  <si>
    <t>330 Ohms ±5% 0.063W, 1/16W Chip Resistor 0402 (1005 Metric) Thick Film</t>
  </si>
  <si>
    <t>RC0402JR-13330RL</t>
  </si>
  <si>
    <t>15 kOhms ±1% 0.063W, 1/16W Chip Resistor 0402 (1005 Metric) Thick Film</t>
  </si>
  <si>
    <t>RC0402FR-1315KL</t>
  </si>
  <si>
    <t>39 kOhms ±1% 0.063W, 1/16W Chip Resistor 0402 (1005 Metric) Moisture Resistant Thick Film</t>
  </si>
  <si>
    <t>RC0402FR-0739KL</t>
  </si>
  <si>
    <t>1 MOhms ±5% 0.063W, 1/16W Chip Resistor 0402 (1005 Metric) Moisture Resistant Thick Film</t>
  </si>
  <si>
    <t>RC0402JR-071ML</t>
  </si>
  <si>
    <t>27 Ohms ±5% 0.063W, 1/16W Chip Resistor 0402 (1005 Metric) Moisture Resistant Thick Film</t>
  </si>
  <si>
    <t>1 kOhms ±5% 0.063W, 1/16W Chip Resistor 0402 (1005 Metric) Thick Film</t>
  </si>
  <si>
    <t>RC0402JR-071KP</t>
  </si>
  <si>
    <t>8.5V Clamp Ipp Tvs Diode Surface Mount SOT-143-4</t>
  </si>
  <si>
    <t>SP0503BAHTG</t>
  </si>
  <si>
    <t>8-bit Microcontroller with 16/32/64KB In-System Programmable Flash</t>
  </si>
  <si>
    <t>ATMEGA2560-16AU</t>
  </si>
  <si>
    <t>Linear Voltage Regulator IC Positive Fixed 1 Output 800mA SOT-223-4</t>
  </si>
  <si>
    <t>TLV1117-33CDCYR</t>
  </si>
  <si>
    <t>Buck Switching Regulator IC Positive Adjustable 0.8V 1 Output 3A 8-SOIC (0.154", 3.90mm Width) Exposed Pad</t>
  </si>
  <si>
    <t>MP1584EN-LF-Z</t>
  </si>
  <si>
    <t>Transceiver, Non-Inverting 1 Element 8 Bit per Element 3-State Output 20-SO</t>
  </si>
  <si>
    <t>74LVC245AD,118</t>
  </si>
  <si>
    <t>Digital Potentiometer 10k Ohm 2 Circuit 256 Taps SPI Interface 14-SOIC</t>
  </si>
  <si>
    <t>MCP42010-I/SL</t>
  </si>
  <si>
    <t>USB Bridge, USB to UART USB 2.0 UART Interface 20-QFN (4x4)</t>
  </si>
  <si>
    <t>FT231XQ-T</t>
  </si>
  <si>
    <t>16 MHz ±30ppm Crystal 18pF 100 Ohms 4-SMD, No Lead</t>
  </si>
  <si>
    <t>830055951</t>
  </si>
  <si>
    <t>HITBOX_MEGA2560_
COMBINE_REV01A_
230911_2400_FAB</t>
  </si>
  <si>
    <t>CTA</t>
  </si>
  <si>
    <t>Battery 3VDC</t>
  </si>
  <si>
    <t>CNS-02</t>
  </si>
  <si>
    <t>CNS-21-01</t>
  </si>
  <si>
    <t>Polarized Capacitor (Radial), 100uF-16V</t>
  </si>
  <si>
    <t>UUA1C101MCL1GS</t>
  </si>
  <si>
    <t>Polarized Capacitor (Radial), 220uF-16V</t>
  </si>
  <si>
    <t>EMZR160ARA221MF61G</t>
  </si>
  <si>
    <t>0805 0.1 uF 50 V ±10% Tolerance X7R Surface Mount Multilayer Ceramic Capacitor</t>
  </si>
  <si>
    <t>DIODE SCHOTTKY 40V 3A SMC</t>
  </si>
  <si>
    <t>Inductor</t>
  </si>
  <si>
    <t>CD127-150UH Inductor</t>
  </si>
  <si>
    <t>Connector 4</t>
  </si>
  <si>
    <t>HEADER 4P</t>
  </si>
  <si>
    <t>Module MFRC522</t>
  </si>
  <si>
    <t>RES SMD 10K OHM 5% 1/8W 0805</t>
  </si>
  <si>
    <t>VISHAY - CRCW08052K20FKEA - SMD Chip Resistor, 0805 [2012 Metric], 2.2 kohm, CRCW e3 Series, 150 V, Thick Film, 125 mW</t>
  </si>
  <si>
    <t>SMD Relay 5V 2A</t>
  </si>
  <si>
    <t>TX2SA-5V-1</t>
  </si>
  <si>
    <t>IC REG BUCK ADJ 3A TO263-5</t>
  </si>
  <si>
    <t>LM2596SX-ADJ</t>
  </si>
  <si>
    <t>LM2596SX-ADJ/NOPB</t>
  </si>
  <si>
    <t>IC RTC CLK/CALENDAR I2C 16-SOIC</t>
  </si>
  <si>
    <t>DS3231SN#</t>
  </si>
  <si>
    <t>Orange Pi Zero H2+ RAM 512MB LTS version</t>
  </si>
  <si>
    <t>Orange Pi Zero LTS 512</t>
  </si>
  <si>
    <t>Stencil OrangePiAC - V2_Y20</t>
  </si>
  <si>
    <t>CNS-09</t>
  </si>
  <si>
    <t>Mạch Giao Tiếp LCD Ký Tự 1602 1604 2004 Sang I2C</t>
  </si>
  <si>
    <t>CNS-04</t>
  </si>
  <si>
    <t>Trụ đồng HEX-M3 Đực-Cái Dài 16mm</t>
  </si>
  <si>
    <t>CNS-06</t>
  </si>
  <si>
    <t>Hàng Rào Đực Đơn 2.54mm 40 Chân 1 Hàng Cao 17mm Xuyên Lỗ</t>
  </si>
  <si>
    <t>CNS</t>
  </si>
  <si>
    <t>GRM21BR71H104KA01L</t>
  </si>
  <si>
    <t>Typical LED</t>
  </si>
  <si>
    <t>Led 3mm - ĐỎ</t>
  </si>
  <si>
    <t>NPN Bipolar Transistor</t>
  </si>
  <si>
    <t>2SC1815</t>
  </si>
  <si>
    <t>Resistor</t>
  </si>
  <si>
    <t>10K-1% 0603</t>
  </si>
  <si>
    <t>330R-1% 0603</t>
  </si>
  <si>
    <t>0R 5% 0603</t>
  </si>
  <si>
    <t>ANTENNA CHIP 2.4GHZ</t>
  </si>
  <si>
    <t>2450AT18A100E</t>
  </si>
  <si>
    <t>CAP CER 0.1UF 10V X7R 0402</t>
  </si>
  <si>
    <t>CC0402KRX7R6BB104</t>
  </si>
  <si>
    <t>DIODE SBR 40V 1A SOD123F</t>
  </si>
  <si>
    <t>1N5819HW1-7-F</t>
  </si>
  <si>
    <t>TVS DIODE 5V SOD923</t>
  </si>
  <si>
    <t>ESD9B5.0ST5G</t>
  </si>
  <si>
    <t>FERRITE BEAD 10 OHM 0402 1LN</t>
  </si>
  <si>
    <t>BKP1005HS100-T</t>
  </si>
  <si>
    <t>IMU ACCEL/GYRO I2C/SPI 14LGA</t>
  </si>
  <si>
    <t>BMI160</t>
  </si>
  <si>
    <t>IC ADC 10BIT SAR 32VQFN</t>
  </si>
  <si>
    <t>ADS7956SRHBT</t>
  </si>
  <si>
    <t>FIXED IND 10UH 300MA 600 MOHM</t>
  </si>
  <si>
    <t>MLZ1608N100LT000</t>
  </si>
  <si>
    <t>FIXED IND 15NH 400MA 550 MOHM</t>
  </si>
  <si>
    <t>MLG1005S15NJTD25</t>
  </si>
  <si>
    <t>FIXED IND 3.9NH 300MA 220 MOHM</t>
  </si>
  <si>
    <t>L-07C3N9SV6T</t>
  </si>
  <si>
    <t>CONN FFC BOTTOM 14POS 0.50MM R/A</t>
  </si>
  <si>
    <t>FH19SC-14S-0.5SH(09)</t>
  </si>
  <si>
    <t>TRANS PREBIAS NPN/PNP 6TSSOP</t>
  </si>
  <si>
    <t>PUMD9,115</t>
  </si>
  <si>
    <t>RES SMD 2.2K OHM 1% 1/16W 0402</t>
  </si>
  <si>
    <t>AC0402FR-072K2L</t>
  </si>
  <si>
    <t>RES SMD 10K OHM 1% 1/16W 0402</t>
  </si>
  <si>
    <t>RC0402FR-0710KP</t>
  </si>
  <si>
    <t>RC0402FR-070RL</t>
  </si>
  <si>
    <t>IC FLASH 1G SPI 104MHZ 8WSON</t>
  </si>
  <si>
    <t>W25N01GVZEIG TR</t>
  </si>
  <si>
    <t>Miniature Single-Cell, Fully Integrated Li-Ion, Li-Polymer Charge Management Controllers</t>
  </si>
  <si>
    <t>MCP73832T-2ACI/OT</t>
  </si>
  <si>
    <t>IC REG LINEAR 3V 250MA 4XDFN</t>
  </si>
  <si>
    <t>NCP163AMX300TBG</t>
  </si>
  <si>
    <t>CRYSTAL 32.7680 KHZ 9.0PF SMD</t>
  </si>
  <si>
    <t>ECS-.327-9-12-C-TR</t>
  </si>
  <si>
    <t>CRYSTAL 32MHZ 8PF SMD</t>
  </si>
  <si>
    <t>FA-20H 32.0000MF12Y-W3</t>
  </si>
  <si>
    <t xml:space="preserve"> FA-20H 32.0000MF20X-K3</t>
  </si>
  <si>
    <t>CRYSTAL 32.0000MHZ 10PF SMD</t>
  </si>
  <si>
    <t>CAP CER 0.33UF 50V 10% X7R 0805</t>
  </si>
  <si>
    <t>CGA4J2X7R1H334K125AA</t>
  </si>
  <si>
    <t>LED 3.2X2.4MM 574NM GRN CLR SMD</t>
  </si>
  <si>
    <t>APD3224CGCK-F01</t>
  </si>
  <si>
    <t>CONN HEADER VERT 3POS .100 TIN</t>
  </si>
  <si>
    <t>640456-3</t>
  </si>
  <si>
    <t>CONN HEADER VERT 2POS .100 TIN</t>
  </si>
  <si>
    <t>640456-2</t>
  </si>
  <si>
    <t>640454-2</t>
  </si>
  <si>
    <t>HDR 3x3</t>
  </si>
  <si>
    <t>PRPC040SAAN-RC</t>
  </si>
  <si>
    <t>MOSFET 2N-CH 60V 5A 8SO</t>
  </si>
  <si>
    <t>DMN6040SSD-13</t>
  </si>
  <si>
    <t>MOSFET 2P-CH 60V 4.8A 8-SO</t>
  </si>
  <si>
    <t>DMP6050SSD-13</t>
  </si>
  <si>
    <t>RES SMD 1.47K OHM 1% 1/10W 0603</t>
  </si>
  <si>
    <t>ERJ-3EKF1471V</t>
  </si>
  <si>
    <t>RES SMD 470 OHM 1% 1/10W 0603</t>
  </si>
  <si>
    <t>ERJ-3EKF4700V</t>
  </si>
  <si>
    <t>IC REG LDO 5V 0.5A TO220AB</t>
  </si>
  <si>
    <t>L78M05CV</t>
  </si>
  <si>
    <t>IC HEX INVERTER 14-SOIC</t>
  </si>
  <si>
    <t>SN74ALS04BDR</t>
  </si>
  <si>
    <t>100nF+/-10% 50V X7R 0805 ·</t>
  </si>
  <si>
    <t>CL21B104KBCNFNC</t>
  </si>
  <si>
    <t>22uF ±20% 16V X5R</t>
  </si>
  <si>
    <t>CL21A226MOCLRNC</t>
  </si>
  <si>
    <t>3.3nF ±5% 50V NP0 </t>
  </si>
  <si>
    <t>CC0603JRNPO9BN332</t>
  </si>
  <si>
    <t>CC0603JRNPO9BN220</t>
  </si>
  <si>
    <t>33nF ±10% 50V X7R</t>
  </si>
  <si>
    <t>CC0603KRX7R9BB333</t>
  </si>
  <si>
    <t>1uF ±10% 100V X7R</t>
  </si>
  <si>
    <t>CL31B105KCHSFNE</t>
  </si>
  <si>
    <t>Capacitors MLCC - SMD/SMT 200V 0.01uF X7R 1206 10%</t>
  </si>
  <si>
    <t>C1206C103K2RECTU</t>
  </si>
  <si>
    <t>1nF ±5% 500V NP0</t>
  </si>
  <si>
    <t>CC1206JKNPOBBN102</t>
  </si>
  <si>
    <t>400V 1A 1.1V @ 1A SMA(DO-214AC)</t>
  </si>
  <si>
    <t>MRA4004T3G</t>
  </si>
  <si>
    <t>PNP 200mA 40V 200mW</t>
  </si>
  <si>
    <t>MMST3906-7-F</t>
  </si>
  <si>
    <t>470Ω ±1% 0.1W ±100ppm/℃</t>
  </si>
  <si>
    <t>RC0603FR-07470RL</t>
  </si>
  <si>
    <t>2.2kΩ ±1% 0.1W ±100ppm/℃</t>
  </si>
  <si>
    <t>RC0603FR-072K2L</t>
  </si>
  <si>
    <t>3.3Ω ±1% 0.125W ±200ppm/℃</t>
  </si>
  <si>
    <t>RC0805FR-073R3L</t>
  </si>
  <si>
    <t>100 kOhms ±1% 0.1W, 1/10W Chip Resistor 0603</t>
  </si>
  <si>
    <t>RMCF0603FT100K</t>
  </si>
  <si>
    <t>100kΩ ±1% 0.1W ±100ppm/℃</t>
  </si>
  <si>
    <t>RC0603FR-07100KL</t>
  </si>
  <si>
    <t xml:space="preserve">	
49.9kΩ ±1% 0.1W ±100ppm/℃ </t>
  </si>
  <si>
    <t>RC0603FR-0749K9L</t>
  </si>
  <si>
    <t>3.3Ω ±1% 0.25W ±200ppm/℃</t>
  </si>
  <si>
    <t>RC1206FR-073R3L</t>
  </si>
  <si>
    <t>Simple Reset/Power-On Reset 1 2.93V Active Low Push-Pull</t>
  </si>
  <si>
    <t>MAX809STRG</t>
  </si>
  <si>
    <t>24C16 	
Non-Volatile 64Kb (8K x 8) I2C 1.7V ~ 5.5V</t>
  </si>
  <si>
    <t>AT24C64D-SSHM-T</t>
  </si>
  <si>
    <t>https://www.thegioiic.com/products/at24c64d-sshm-t</t>
  </si>
  <si>
    <t>SWITCH PUSH SPST-NO 0.4VA 28V</t>
  </si>
  <si>
    <t>FP11SPA1B1TP01</t>
  </si>
  <si>
    <t>Switching Voltage Regulators DCDC Conv HV Buck TSOT26 T&amp;R 3K</t>
  </si>
  <si>
    <t>AP63301WU-7</t>
  </si>
  <si>
    <t>IC AMP D MONO/STER 105W 44HTSSOP</t>
  </si>
  <si>
    <t>TPA3220DDWR</t>
  </si>
  <si>
    <t>CONN JACK STEREO 3.5MM R/A</t>
  </si>
  <si>
    <t>SJ1-3535NG</t>
  </si>
  <si>
    <t>CAP TANT 47UF 10% 16V 2312</t>
  </si>
  <si>
    <t>T491C476K016AT</t>
  </si>
  <si>
    <t>https://www.thegioiic.com/products/tu-tantalum-47uf-16v-2312-tajc476k016rnj</t>
  </si>
  <si>
    <t>CAP ALUM 1000UF 20% 50V RADIAL</t>
  </si>
  <si>
    <t>ECA-1HM102B</t>
  </si>
  <si>
    <t>CAP FILM 1UF 5% 250VDC RADIAL</t>
  </si>
  <si>
    <t>890273325009CS</t>
  </si>
  <si>
    <t>CONN HEADER VERT 10POS 2.54MM</t>
  </si>
  <si>
    <t>5103308-1</t>
  </si>
  <si>
    <t>10uF ±10% 10V X5R</t>
  </si>
  <si>
    <t>C1608X5R1A106K080AC</t>
  </si>
  <si>
    <t>CAP ALUM 100UF 20% 35V RADIAL</t>
  </si>
  <si>
    <t>T491C106K016AT</t>
  </si>
  <si>
    <t>0.056UF X7R 0603</t>
  </si>
  <si>
    <t>C0603X563K5RACAUTO</t>
  </si>
  <si>
    <t>cap 50V 0603 10%</t>
  </si>
  <si>
    <t>RT0603DRE0756RL</t>
  </si>
  <si>
    <t>1µF ±10% 4V Ceramic Capacitor X5R 0603 (1608 Metric)</t>
  </si>
  <si>
    <t>C0603C105K7PAC7867</t>
  </si>
  <si>
    <t>22 Ohms ±1% 0.1W, 1/10W Chip Resistor 0603 (1608 Metric)  Thin Film</t>
  </si>
  <si>
    <t>RT0603FRD0722RL</t>
  </si>
  <si>
    <t>Common Mode Filter with ESD Protection, -40 to 85 degC, 10-Pin WDFN, Pb-Free, Tape and Reel</t>
  </si>
  <si>
    <t>EMI4182MTTAG</t>
  </si>
  <si>
    <t>Common Mode Filter with ESD Protection, -40 to 85 degC, 16-Pin WDFN, Pb-Free, Tape and Reel</t>
  </si>
  <si>
    <t>EMI4183MTTAG</t>
  </si>
  <si>
    <t xml:space="preserve">PCB IMX_Camera					</t>
  </si>
  <si>
    <t>USB Interface IC</t>
  </si>
  <si>
    <t>CP2102NP1174GM</t>
  </si>
  <si>
    <t>2.21 kOhms ±1% 0.1W, 1/10W Chip Resistor 0603</t>
  </si>
  <si>
    <t>ERJ-3EKF2211V</t>
  </si>
  <si>
    <t>DIODE GEN PURP 75V 150MA 0603</t>
  </si>
  <si>
    <t>TS4148C RZG</t>
  </si>
  <si>
    <t>FERRITE BEAD 30 OHM 0805 1LN</t>
  </si>
  <si>
    <t>ILHB0805ER300V</t>
  </si>
  <si>
    <t>DIODE GEN PURP 600V 3A SMC</t>
  </si>
  <si>
    <t>ES3J</t>
  </si>
  <si>
    <t>FERRITE BEAD 600 OHM 0603 1LN</t>
  </si>
  <si>
    <t>MMZ1608R601ATD25</t>
  </si>
  <si>
    <t>NÚT NHẤN 3.5X6MM CAO 2.5MM SMD ĐẦU TRẮNG</t>
  </si>
  <si>
    <t>STSWITCH2PSMD</t>
  </si>
  <si>
    <t>CAP CER 10UF 10V X6S 0603</t>
  </si>
  <si>
    <t>C1608X6S1A106M080AC</t>
  </si>
  <si>
    <t>DIP SWITCH, SPST, 2.54 PITCH, RA</t>
  </si>
  <si>
    <t>DS01C-254-L-04BE</t>
  </si>
  <si>
    <t>SWITCH SLIDE DIP SPST 25MA 24V</t>
  </si>
  <si>
    <t>KAE04LGGR</t>
  </si>
  <si>
    <t>CONN U.FL RCPT STR 50 OHM SMD</t>
  </si>
  <si>
    <t>U.FL-R-SMT(10)</t>
  </si>
  <si>
    <t>FERRITE BEAD 100 OHM 0805 1LN</t>
  </si>
  <si>
    <t>BK2125HS101-T</t>
  </si>
  <si>
    <t>RES 390 OHM 1% 1/10W 0603</t>
  </si>
  <si>
    <t>RC0603FR-07390RL</t>
  </si>
  <si>
    <t>RES SMD 47K OHM 0.1% 1/10W 0603</t>
  </si>
  <si>
    <t>RT0603BRD0747KL</t>
  </si>
  <si>
    <t>NEXPERIA BZV55-C5V1 - 5.1V, 0.4W</t>
  </si>
  <si>
    <t>BZV55-C5V1,115</t>
  </si>
  <si>
    <t>RES ARRAY 4 RES 10K OHM 1206</t>
  </si>
  <si>
    <t>YC164-JR-0710KL</t>
  </si>
  <si>
    <t>CAP CER 0.47UF 10V X7R 0603</t>
  </si>
  <si>
    <t>CC0603KRX7R6BB474</t>
  </si>
  <si>
    <t>RES 0 OHM JUMPER 1/10W 0603</t>
  </si>
  <si>
    <t>IC REG LINEAR 3.3V 800MA SOT223</t>
  </si>
  <si>
    <t>LM1117MP-3.3/NOPB</t>
  </si>
  <si>
    <t>CRYSTAL 32.7680KHZ 12.5PF TH</t>
  </si>
  <si>
    <t>AB26TRB-32.768KHZ-T</t>
  </si>
  <si>
    <t>IC REG LINEAR POS ADJ 1A SOT223</t>
  </si>
  <si>
    <t>MCP1826T-ADJE/DC</t>
  </si>
  <si>
    <t>TRANS NPN 25V 1.5A SOT23</t>
  </si>
  <si>
    <t>MMSS8050-H-TP</t>
  </si>
  <si>
    <t xml:space="preserve"> 
IC AMP CLASS D STEREO 3W 16SOP</t>
  </si>
  <si>
    <t>PAM8403DR</t>
  </si>
  <si>
    <t>RF ANT 1.575GHZ CER PATCH PIN</t>
  </si>
  <si>
    <t xml:space="preserve"> 
GP.1575.15.4.B.02</t>
  </si>
  <si>
    <t>RES 12K OHM 5% 1/20W 0201</t>
  </si>
  <si>
    <t>RC0201JR-0712KL</t>
  </si>
  <si>
    <t>CAP CER 24PF 50V C0G/NPO 0603</t>
  </si>
  <si>
    <t>CC0603JRNPO9BN240</t>
  </si>
  <si>
    <t>CC0603KRX5R9BB105</t>
  </si>
  <si>
    <t>RES 22 OHM 1% 1/10W 0603</t>
  </si>
  <si>
    <t>RC0603FR-0722RL</t>
  </si>
  <si>
    <t>TRANS PREBIAS NPN 50V 0.1A SMT3</t>
  </si>
  <si>
    <t>DTC113ZKAT146</t>
  </si>
  <si>
    <t>860020573008</t>
  </si>
  <si>
    <t>Header 4 pin cong</t>
  </si>
  <si>
    <t>Header, 5-Pin màu đen</t>
  </si>
  <si>
    <t xml:space="preserve">PCB Bitis prototye </t>
  </si>
  <si>
    <t>PCB PWRAmp</t>
  </si>
  <si>
    <t>1209 DIP Buzzer 12x9mm</t>
  </si>
  <si>
    <t>1209 DIP Buzzer</t>
  </si>
  <si>
    <t>CAP CER 1UF 16V X7R 0603</t>
  </si>
  <si>
    <t>CC0603KRX7R7BB105</t>
  </si>
  <si>
    <t>CAP TANT 470UF 10V 20% 2917</t>
  </si>
  <si>
    <t>TAJE477M010RNJ</t>
  </si>
  <si>
    <t>CAP CER 10pF 50V NPO 0603</t>
  </si>
  <si>
    <t>CC0603KRNPO9BN100</t>
  </si>
  <si>
    <t>CAP CER 100pF 50V 10% X7R 0603</t>
  </si>
  <si>
    <t>CC0603JRNPO9BN101</t>
  </si>
  <si>
    <t>CAP, MLCC</t>
  </si>
  <si>
    <t>GRM188C81C225KA12D</t>
  </si>
  <si>
    <t>LED RED CLEAR 0805 SMD, SMD-0805 High Bright Red Chip LED</t>
  </si>
  <si>
    <t>HT17-2102SURC</t>
  </si>
  <si>
    <t>Diode Zener 3.3V 500mW</t>
  </si>
  <si>
    <t>MMSZ3V3CW</t>
  </si>
  <si>
    <t>LED GREEN CLEAR 0805 SMD</t>
  </si>
  <si>
    <t>HT17-2102SYGC</t>
  </si>
  <si>
    <t>TVS DIODE 24V 38.9V SMB</t>
  </si>
  <si>
    <t>SMBJ24CA-E3/52</t>
  </si>
  <si>
    <t>TVS DIODE 3V SC88A</t>
  </si>
  <si>
    <t>MSQA6V1W5T2G</t>
  </si>
  <si>
    <t>SMD-0805 High Bright Blue Chip LED</t>
  </si>
  <si>
    <t>HT17-2102UBC</t>
  </si>
  <si>
    <t>DIODE GEN PURP 1KV 3A SMC</t>
  </si>
  <si>
    <t>S3MFSCT-ND</t>
  </si>
  <si>
    <t>LM1084ISX-ADJ/NOPB</t>
  </si>
  <si>
    <t>FIXED IND 100UH 50MA 4 OHM SMD</t>
  </si>
  <si>
    <t>LBR2012T101KV</t>
  </si>
  <si>
    <t>MOSFET (N-Channel)</t>
  </si>
  <si>
    <t>SI2302CDS-T1-E3</t>
  </si>
  <si>
    <t>TRANS 2PNP 150V 0.2A SOT26</t>
  </si>
  <si>
    <t>DMMT5401-7-F</t>
  </si>
  <si>
    <t>RES SMD 5.6K OHM 1% 1/10W 0603</t>
  </si>
  <si>
    <t>RC0603FR-075K6L</t>
  </si>
  <si>
    <t>RES SMD 12K OHM 1% 1/10W 0603</t>
  </si>
  <si>
    <t>RC0603FR-0712KL</t>
  </si>
  <si>
    <t>RES SMD 47K OHM 1% 1/10W 0603</t>
  </si>
  <si>
    <t>RC0603FR-0747KL</t>
  </si>
  <si>
    <t>RES SMD 200R OHM 1% 1/10W 0603</t>
  </si>
  <si>
    <t>RC0603FR-07200RL</t>
  </si>
  <si>
    <t>Khe cắm</t>
  </si>
  <si>
    <t>Khe cam Microsim 6Pin Open-Lock V2</t>
  </si>
  <si>
    <t>-</t>
  </si>
  <si>
    <t>IC REG BUCK 5V 3A TO263-5</t>
  </si>
  <si>
    <t>LM2596S-5.0</t>
  </si>
  <si>
    <t>Programmable Controllers_x000D_
DC−Output Module_x000D_
Telecommunication</t>
  </si>
  <si>
    <t>EL357N(C)(TA)-VG</t>
  </si>
  <si>
    <t>IC REG LINEAR 3.3V 500MA SOT23-5</t>
  </si>
  <si>
    <t>MIC5219-3V3</t>
  </si>
  <si>
    <t>PCB SantaPocket_Rev1.0.1</t>
  </si>
  <si>
    <t>CAP TANT 10UF 10% 10V 1206</t>
  </si>
  <si>
    <t>TAJA106K010RNJV</t>
  </si>
  <si>
    <t>CAP CER 22PF 50V C0G/NP0 0603</t>
  </si>
  <si>
    <t>0603N220G500CT</t>
  </si>
  <si>
    <t>MOSFET P-CH 30V 5.3A TO236AB</t>
  </si>
  <si>
    <t>PMV35EPER</t>
  </si>
  <si>
    <t>CL10B104KB8NNWC</t>
  </si>
  <si>
    <t>TRANS PREBIAS NPN 50V 0.1A SC59</t>
  </si>
  <si>
    <t>MUN2211T1G</t>
  </si>
  <si>
    <t>Nút nhấn SMT</t>
  </si>
  <si>
    <t>EXB-V8V103JV</t>
  </si>
  <si>
    <t>CAP CER 0.022UF 50V X7R 0603</t>
  </si>
  <si>
    <t>CL10B223K8BNNNC</t>
  </si>
  <si>
    <t>T1-Z5</t>
  </si>
  <si>
    <t>T1-Z4</t>
  </si>
  <si>
    <t>CBS</t>
  </si>
  <si>
    <t>47uF ±20% 10V X5R 0805 Multilayer Ceramic Capacitors MLCC - SMD/SMT RoHS</t>
  </si>
  <si>
    <t>GRM21BR61A476ME15L</t>
  </si>
  <si>
    <t>10PF 50V 0603 ROHS</t>
  </si>
  <si>
    <t>CL10C100JB8NNNC</t>
  </si>
  <si>
    <t>10NF 50V 0603 ROHS</t>
  </si>
  <si>
    <t>0603B103K500NT</t>
  </si>
  <si>
    <t>10uF 10V 0603 Multilayer Ceramic Capacitors MLCC - SMD/SMT ROHS</t>
  </si>
  <si>
    <t>CL10A106KP8NNNC</t>
  </si>
  <si>
    <t>1nF ±5% 1kV NP0 1206 Multilayer Ceramic Capacitors MLCC - SMD/SMT RoHS</t>
  </si>
  <si>
    <t>CC1206JKNPOCBN102</t>
  </si>
  <si>
    <t>C2012X5R1A476M125AC</t>
  </si>
  <si>
    <t>4.7nF 100V X7R ±10% 0603  Multilayer Ceramic Capacitors MLCC - SMD/SMT ROHS</t>
  </si>
  <si>
    <t>0603B472K101NT</t>
  </si>
  <si>
    <t>470nF 25V 0603 ROHS</t>
  </si>
  <si>
    <t>CL10B474KA8NNNC</t>
  </si>
  <si>
    <t>33pF 50V C0G ±5% 0603 Multilayer Ceramic Capacitors MLCC - SMD/SMT ROHS</t>
  </si>
  <si>
    <t>CL10C330JB8NNNC</t>
  </si>
  <si>
    <t>DIODE SCHOTTKY 40V 3A DO214AB</t>
  </si>
  <si>
    <t>SS34</t>
  </si>
  <si>
    <t>Bidirectional 6.8V SMA(DO-214AC) TVS RoHS</t>
  </si>
  <si>
    <t>SMAJ6.8CA</t>
  </si>
  <si>
    <t>1812 PTC RESETTABLE FUSES ROHS 24V</t>
  </si>
  <si>
    <t>mSMD075-33V</t>
  </si>
  <si>
    <t>HDR 10X2 Female 2.54mm 双排 Gold 3A Brass -40℃~+105℃ 250V 260℃ Straight 2x10P 8.5mm Top 20 Square Holes Plugin,P=2.54mm Female Headers ROHS</t>
  </si>
  <si>
    <t>X6521FV-2x10-C85D32</t>
  </si>
  <si>
    <t>USB-B02 USB 2.0 250mA 1 Straight 4 Female -35℃~+75℃ Type-B Plugin USB Connectors ROHS</t>
  </si>
  <si>
    <t>USB-B02</t>
  </si>
  <si>
    <t>Header 2.54-1*7 Plugin,P=2.54mm  Pin Headers ROHS</t>
  </si>
  <si>
    <t>2.54-1*7 Male</t>
  </si>
  <si>
    <t>1x8P, Brass Plugin,P=2.54mm Wire To Board / Wire To Wire Connector ROHS</t>
  </si>
  <si>
    <t>XHB-8A 2.54 Pitch=2.54</t>
  </si>
  <si>
    <t>1x4P, Brass Plugin,P=2.54mm Wire To Board / Wire To Wire Connector ROHS</t>
  </si>
  <si>
    <t>XHB-4A 2.54</t>
  </si>
  <si>
    <t>22uH ±20% SMD Power Inductors ROHS</t>
  </si>
  <si>
    <t>SLO0630H220MTT</t>
  </si>
  <si>
    <t>600Ω @ 100MHz 1 200mA 450mΩ 0603 Ferrite Beads ROHS</t>
  </si>
  <si>
    <t>GZ1608D601TF</t>
  </si>
  <si>
    <t>MMBT3904 TRANSISTORS (NPN/PNP) NPN 200MA 40V SOT-23(SOT-23-3) ROHS</t>
  </si>
  <si>
    <t>MMBT3904</t>
  </si>
  <si>
    <t>MMBT3906 TRANSISTORS (NPN/PNP) PNP 200MA 40V SOT-23(SOT-23-3) ROHS</t>
  </si>
  <si>
    <t>MMBT3906-7-F</t>
  </si>
  <si>
    <t>10.2kΩ 0603 Chip Resistor - Surface Mount ROHS 
±1% 1/10W Thick Film Resistors 75V ±100ppm/℃ -55℃~+155℃</t>
  </si>
  <si>
    <t>0603WAF1022T5E</t>
  </si>
  <si>
    <t>6.04kΩ 0603 Chip Resistor - Surface Mount ROHS</t>
  </si>
  <si>
    <t>0603WAF6041T5E</t>
  </si>
  <si>
    <t>1.96kΩ 0603 Chip Resistor - Surface Mount ROHS 
±1% 1/10W Thick Film Resistors 75V ±100ppm/℃ -55℃~+155℃</t>
  </si>
  <si>
    <t>0603WAF1961T5E</t>
  </si>
  <si>
    <t>100KOHMS ±1% 1/10W 0603 ROHS</t>
  </si>
  <si>
    <t>0603WAF1003T5E</t>
  </si>
  <si>
    <t>330OHMS ±1% 1/10W 0603 ROHS</t>
  </si>
  <si>
    <t>0603WAF3300T5E</t>
  </si>
  <si>
    <t>10KOHMS ±1% 1/10W 0603 ROHS</t>
  </si>
  <si>
    <t>0603WAF1002T5E</t>
  </si>
  <si>
    <t>100mW Thick Film Resistors ±100ppm/℃ ±1% 22Ω 0603 Chip Resistor - Surface Mount ROHS</t>
  </si>
  <si>
    <t>0603WAF220JT5E</t>
  </si>
  <si>
    <t>100OHMS ±1% 1/8W 0805 ROHS</t>
  </si>
  <si>
    <t>0805W8F1000T5E</t>
  </si>
  <si>
    <t>10OHMS ±1% 1/8W 0805 ROHS</t>
  </si>
  <si>
    <t>0805W8F100JT5E</t>
  </si>
  <si>
    <t>120OHMS ±1% 1/10W 0603 ROHS</t>
  </si>
  <si>
    <t>0603WAF1200T5E</t>
  </si>
  <si>
    <t>3.9K OHMS ±1% 1/10W 0603 ROHS</t>
  </si>
  <si>
    <t>RC0603FR-073K9L</t>
  </si>
  <si>
    <t>0R ±1% 0R 0603 100mW Chip Resistor - Surface Mount ROHS</t>
  </si>
  <si>
    <t>0603WAF0000T5E</t>
  </si>
  <si>
    <t>12kΩ ±5% 0.1W ±100ppm/℃ 0603 Chip Resistor - Surface Mount RoHS</t>
  </si>
  <si>
    <t>RS-03K123JT</t>
  </si>
  <si>
    <t>47K 0603 1/10W Thick Film Resistors 75V ±1% ±100ppm/℃ -55℃~+155℃ 47kΩ 0603 Chip Resistor - Surface Mount ROHS</t>
  </si>
  <si>
    <t>0603WAF4702T5E</t>
  </si>
  <si>
    <t>453k 0603 1% 100mW 50V Chip Resistor</t>
  </si>
  <si>
    <t>RS-03K4533FT</t>
  </si>
  <si>
    <t>33KOHMS ±1% 1/10W 0603 ROHS</t>
  </si>
  <si>
    <t>0603WAF3302T5E</t>
  </si>
  <si>
    <t>2.2k ±1% 1/8W 0805 ROHS</t>
  </si>
  <si>
    <t>0805W8F2201T5E</t>
  </si>
  <si>
    <t>470K 250mW ±100ppm/℃ ±1% 470kΩ 1206  Chip Resistor - Surface Mount ROHS</t>
  </si>
  <si>
    <t>RS-06K4703FT</t>
  </si>
  <si>
    <t>2.2K 1206 1/4W Thick Film Resistors 200V ±1% ±100ppm/℃ -55℃~+155℃ 2.2kΩ 1206 Chip Resistor - Surface Mount ROHS</t>
  </si>
  <si>
    <t>1206W4F2201T5E</t>
  </si>
  <si>
    <t>15K 0603 1/10W Thick Film Resistors 75V ±1% ±100ppm/℃ -55℃~+155℃ 47kΩ 0603 Chip Resistor - Surface Mount ROHS</t>
  </si>
  <si>
    <t>0603WAF1502T5E</t>
  </si>
  <si>
    <t>390K 100mW Thick Film Resistors ±100ppm/℃ ±1% 390kΩ 0603  Chip Resistor - Surface Mount ROHS</t>
  </si>
  <si>
    <t>AC0603FR-07390KL</t>
  </si>
  <si>
    <t>22Ω 1206 ±1% 1/4W Thick Film Resistors 200V ±100ppm/℃ -55℃~+155℃</t>
  </si>
  <si>
    <t>1206W4F220JT5E</t>
  </si>
  <si>
    <t>6.8KOHMS ±1% 1/10W 0603 ROHS</t>
  </si>
  <si>
    <t>0603WAD6801T5E</t>
  </si>
  <si>
    <t>RJ45 RJReceptacle 1 no LED</t>
  </si>
  <si>
    <t>R-RJ45R08P-B000</t>
  </si>
  <si>
    <t>TS-1145A-B-A No NO 50mA 4.2mm 100mΩ 100000 260gf 12V -30℃~+85℃ 3.2mm 2.5mm White Oval button Brick nogging SPST SMD  Tactile Switches ROHS</t>
  </si>
  <si>
    <t>TS-1145A-B-A</t>
  </si>
  <si>
    <t>5.5V 300mV @ 300mA - - Fixed 3.3V SOT-23-5 Linear Voltage Regulators (LDO) ROHS</t>
  </si>
  <si>
    <t>RT9193-33GB</t>
  </si>
  <si>
    <t>PCA9515ADP Buffer,ReDriver 2-WireBus 2-WireBus 400kbps I²C TSSOP-8 Signal Buffers</t>
  </si>
  <si>
    <t>PCA9515ADP</t>
  </si>
  <si>
    <t>IC OCT D-TYPE LATCH 20-SOIC</t>
  </si>
  <si>
    <t>SN74HC573APWR</t>
  </si>
  <si>
    <t>LM324AM/NOPB GENERAL PURPOSE AMPLIFIERS SOIC-14 ROHS</t>
  </si>
  <si>
    <t>LM324PWR</t>
  </si>
  <si>
    <t>1 200uA 5ns@5V,50pF 1.65V~5.5V SOT-353  Inverters ROHS</t>
  </si>
  <si>
    <t>74LVC1G14SE-7</t>
  </si>
  <si>
    <t>ADUM1201BRZ-RL7 2 Unidirectional 2500Vrms 10Mbps General Purpose Magnetic Coupling SOIC-8_150mil Digital Isolators ROHS</t>
  </si>
  <si>
    <t>ADUM1201BRZ-RL7</t>
  </si>
  <si>
    <t>74 SERIES AND GATE 1 2V ~ 5.5V SOT-353 ROHS</t>
  </si>
  <si>
    <t>74AHC1G08GW,125</t>
  </si>
  <si>
    <t>RS-485 &amp; RS-422 1/1 1MBPS 3.15V ~ 5.5V SOIC-8_150MIL ROHS</t>
  </si>
  <si>
    <t>SP485EEN-L/TR</t>
  </si>
  <si>
    <t>5V 200mA 1 4.5V~5.5V Isolated Unregulated 1W DC-DC Short-Circuit Protection 82% Plugin  Power Modules ROHS</t>
  </si>
  <si>
    <t>B0505S-1WR3</t>
  </si>
  <si>
    <t>LAN9500AI USB 2.0 to 10/100 Ethernet Controller</t>
  </si>
  <si>
    <t>LAN9500AI-ABZJ</t>
  </si>
  <si>
    <t>SY6280AAC SOT-23-5 Power Distribution Switches ROHS</t>
  </si>
  <si>
    <t>SY6280AAC</t>
  </si>
  <si>
    <t>8Mhz 3225 SMD CRYSTAL RESONATORS 8MHZ SMD-3225-4P ROHS</t>
  </si>
  <si>
    <t>1C208000CE0Q</t>
  </si>
  <si>
    <t>32.768K SMD CRYSTAL RESONATORS 32.768KHZ ±20PPM SMD-3215_2P ROHS</t>
  </si>
  <si>
    <t>Q13FC1350000400</t>
  </si>
  <si>
    <t>MMBT3904LT1G</t>
  </si>
  <si>
    <t>10K ±10% ±100ppm/℃ 3362P Precision Potentiometer RoHS</t>
  </si>
  <si>
    <t>3362P-1-103LF</t>
  </si>
  <si>
    <t>Magnetic YES 2300±400Hz 85dB @ 5V, 10cm 5V Φ12mm Through Hole 7.62 Buzzers RoHS</t>
  </si>
  <si>
    <t>TMB12A05</t>
  </si>
  <si>
    <t>1x2P -40℃~+105℃ 65A 300V Gray 6~26 Straight pin 10.16mm 10 1 2 Plugin,P=10.16mm  Screw terminal ROHS</t>
  </si>
  <si>
    <t>KFA-1016-10.16-2P</t>
  </si>
  <si>
    <t>2000:1 0.02KHz~10KHz 40A Plugin  Current Transformers ROHS</t>
  </si>
  <si>
    <t>ZHT123A-CP</t>
  </si>
  <si>
    <t>AgSnO2 50A@277VAC 12V Normal Open:1A(SPST-Normal Open) Plugin,15x39mm  Magnetic Latching Relays ROHS</t>
  </si>
  <si>
    <t>HFE10-1/12-HST-L2</t>
  </si>
  <si>
    <t>CAP CER,4.7UF,10%,16V,X5R,0603,SMD</t>
  </si>
  <si>
    <t>EMK107ABJ475KA-T</t>
  </si>
  <si>
    <t>CAP CER,22UF,20%,10V,X5R,0603,SMD</t>
  </si>
  <si>
    <t>CL10A226MP8NUNE</t>
  </si>
  <si>
    <t>CAP TANT 100UF 20% 6.3V 0805</t>
  </si>
  <si>
    <t>298D107X06R3P2T</t>
  </si>
  <si>
    <t>CAP CER,0.1UF,10%,50V,X5R,0402,SMD</t>
  </si>
  <si>
    <t>UMK105BJ104KV-F</t>
  </si>
  <si>
    <t>CAP CER,10PF,0.5PF,25V,C0G/NP0,0201,SMD</t>
  </si>
  <si>
    <t>CL03C100DA3GNNC</t>
  </si>
  <si>
    <t>CAP CER,0.1UF,10%,10V,X5R,0402,SMD</t>
  </si>
  <si>
    <t>0402ZD104KAT4A</t>
  </si>
  <si>
    <t>CAP CER,33PF,5%,50V,C0G/NP0,0402,SMD</t>
  </si>
  <si>
    <t>CGA2B2C0G1H330J050BA</t>
  </si>
  <si>
    <t>SRP3212-1R0M</t>
  </si>
  <si>
    <t>IND,47NH,5%,300MA,0.72R,0402,SMD</t>
  </si>
  <si>
    <t>LQG15HS47NJ02D</t>
  </si>
  <si>
    <t>RES,0R,JUMPER,50MW,0201,SMD</t>
  </si>
  <si>
    <t>RMCF0201ZT0R00</t>
  </si>
  <si>
    <t>RES,22R,1%,50MW,0201,SMD</t>
  </si>
  <si>
    <t>RMCF0201FT22R0</t>
  </si>
  <si>
    <t>RES,649KR,1%,62.5MW,0402,SMD</t>
  </si>
  <si>
    <t>RMCF0402FT649K</t>
  </si>
  <si>
    <t>RC0402FR-071ML</t>
  </si>
  <si>
    <t>RES,4.7KR,1%,50MW,0201,SMD</t>
  </si>
  <si>
    <t>ERJ-1GNF4701C</t>
  </si>
  <si>
    <t>RES,10KR,1%,50MW,0201,SMD</t>
  </si>
  <si>
    <t>RMCF0201FT10K0</t>
  </si>
  <si>
    <t>RES,15R,1%,62.5MW,0402,SMD</t>
  </si>
  <si>
    <t>CRCW040215R0FKEDC</t>
  </si>
  <si>
    <t>RES,0R,,100MW,0603,SMD</t>
  </si>
  <si>
    <t>RES,15KR,5%,200MW,0402,SMD</t>
  </si>
  <si>
    <t>CRCW040215K0JNEDHP</t>
  </si>
  <si>
    <t>RES,1KR,1%,62.5MW,0402,SMD</t>
  </si>
  <si>
    <t>RC0402FR-071KL</t>
  </si>
  <si>
    <t>IC REG BOOST ADJ 3.8A 8TDFN</t>
  </si>
  <si>
    <t>MIC2876-AYMT-TR</t>
  </si>
  <si>
    <t>PCB Board Relay OM-BTS 2.1</t>
  </si>
  <si>
    <t>PCB Main board OM-BTS 2.1</t>
  </si>
  <si>
    <t>PCB Module LCD OM-BTS 2.1</t>
  </si>
  <si>
    <t>Nano pi Neo core</t>
  </si>
  <si>
    <t>Power Supply DC/DC 12V 30W Input 48Vdc, output1.5A</t>
  </si>
  <si>
    <t>DOM-48D35S12</t>
  </si>
  <si>
    <t xml:space="preserve">PCB Module LCD1604 OM-BTS 2.1 </t>
  </si>
  <si>
    <t>XH2.54 8P 20cm</t>
  </si>
  <si>
    <t>XH2.54 4P 20cm</t>
  </si>
  <si>
    <t>XH2.54 8P 30cm</t>
  </si>
  <si>
    <t>Đầu cosse rỗng E508</t>
  </si>
  <si>
    <t>E0508 Orange</t>
  </si>
  <si>
    <t>Tactile 12x12mm, 3.6mm balck</t>
  </si>
  <si>
    <t xml:space="preserve">PCB Module 4G </t>
  </si>
  <si>
    <t>CC0603JRNPO9BN330</t>
  </si>
  <si>
    <t>PPTC102LFBN-RC</t>
  </si>
  <si>
    <t>MMBT3904-TP</t>
  </si>
  <si>
    <t>RC0805FR-07100RL</t>
  </si>
  <si>
    <t>RC0805FR-0710RL</t>
  </si>
  <si>
    <t>CRCW060333K0FKEAC</t>
  </si>
  <si>
    <t>RC1206JR-0722RL</t>
  </si>
  <si>
    <t>EMK107ABJ475MA-T</t>
  </si>
  <si>
    <t>C1608X5R1A226M080AC</t>
  </si>
  <si>
    <t>CC0402JRNPO9BN330</t>
  </si>
  <si>
    <t>RC0201FR-0722RL</t>
  </si>
  <si>
    <t>ERJ-1GEF4701C</t>
  </si>
  <si>
    <t>RC0201FR-0710KL</t>
  </si>
  <si>
    <t>RCG040215K0FKED</t>
  </si>
  <si>
    <t>T1-Z6</t>
  </si>
  <si>
    <t>T1-Z7</t>
  </si>
  <si>
    <t>T1</t>
  </si>
  <si>
    <t>T1-Z8</t>
  </si>
  <si>
    <t>Ghi chú xuất</t>
  </si>
  <si>
    <t>CLG</t>
  </si>
  <si>
    <t>R0402/1K</t>
  </si>
  <si>
    <t>RC0402FR-7D1KL</t>
  </si>
  <si>
    <t>32.768 KHz</t>
  </si>
  <si>
    <t>ECS-327-9-34B-TR</t>
  </si>
  <si>
    <t>Module Lora 868Mhz</t>
  </si>
  <si>
    <t>RAK4200</t>
  </si>
  <si>
    <t>ISL60002DIH330Z-TK</t>
  </si>
  <si>
    <t>ISL60002DAH333Z-TK</t>
  </si>
  <si>
    <t>MC3635</t>
  </si>
  <si>
    <t>R0402/0R</t>
  </si>
  <si>
    <t>AC0402FR-070RL</t>
  </si>
  <si>
    <t>R0402/267K</t>
  </si>
  <si>
    <t>AC0402FR-07267KL</t>
  </si>
  <si>
    <t>R0402/100R/1%</t>
  </si>
  <si>
    <t>SFR01MZPF1000</t>
  </si>
  <si>
    <t>R0402/300R/1%</t>
  </si>
  <si>
    <t>CRCW0402300RFKEDC</t>
  </si>
  <si>
    <t>L0402/10nH</t>
  </si>
  <si>
    <t>PE-0402CL100JTT</t>
  </si>
  <si>
    <t>L0603/10uH</t>
  </si>
  <si>
    <t>LQM18FN100M00D</t>
  </si>
  <si>
    <t>Conn_Coaxial</t>
  </si>
  <si>
    <t>LFB182G45SG9A213</t>
  </si>
  <si>
    <t>FBMH2021HM331-T</t>
  </si>
  <si>
    <t>LED_STATUS</t>
  </si>
  <si>
    <t>LTST-C190KFKT</t>
  </si>
  <si>
    <t>PMEG3010CEH,115</t>
  </si>
  <si>
    <t>PMEG3010EH,115</t>
  </si>
  <si>
    <t>C0402/3.3pF</t>
  </si>
  <si>
    <t>C0402/1.2pF</t>
  </si>
  <si>
    <t>AC0402CRNP09BN1R2</t>
  </si>
  <si>
    <t>C0402/1uF</t>
  </si>
  <si>
    <t>CL05A105K05NNNC</t>
  </si>
  <si>
    <t>L0805/10uH</t>
  </si>
  <si>
    <t>74479777310A</t>
  </si>
  <si>
    <t>S1M-13-F</t>
  </si>
  <si>
    <t>C0402/0.1uF</t>
  </si>
  <si>
    <t>0402B104K500CT</t>
  </si>
  <si>
    <t>L0603/2.2uH</t>
  </si>
  <si>
    <t>PE-0603CLH2R2STS</t>
  </si>
  <si>
    <t>L80-M39</t>
  </si>
  <si>
    <t>L80RE-M37</t>
  </si>
  <si>
    <t>R0402/4K7</t>
  </si>
  <si>
    <t>RC0402FR-074K7L</t>
  </si>
  <si>
    <t>R0402/1M</t>
  </si>
  <si>
    <t>RC0402FR-101ML</t>
  </si>
  <si>
    <t>AC0402CRNPO9BN3R3</t>
  </si>
  <si>
    <t>LQG15HS10NH02D</t>
  </si>
  <si>
    <t>ACCELEROMETER 2-8G I2C 10DFN</t>
  </si>
  <si>
    <t>MMA8652FCR1</t>
  </si>
  <si>
    <t>GPS-14A</t>
  </si>
  <si>
    <t>MOSFET P-CH 20V 590MA SOT523</t>
  </si>
  <si>
    <t>DMP21D0UT-7</t>
  </si>
  <si>
    <t>TRANS NPN 45V 0.1A SOT523</t>
  </si>
  <si>
    <t>BC847BT-7-F</t>
  </si>
  <si>
    <t>AT24CS08-at24cs08</t>
  </si>
  <si>
    <t>AT24C08D-XHM-T</t>
  </si>
  <si>
    <t>PCB GS1_RAK_Production-26.07.2021</t>
  </si>
  <si>
    <t>C1005JB1E105M050BC</t>
  </si>
  <si>
    <t>DYP-A01-V2.0</t>
  </si>
  <si>
    <t xml:space="preserve">HY-2.0 4pin 
</t>
  </si>
  <si>
    <t>C0402/0.3pF</t>
  </si>
  <si>
    <t>UVK105CH0R3BW-F</t>
  </si>
  <si>
    <t>AP22913W6-7</t>
  </si>
  <si>
    <t>150060YS75000</t>
  </si>
  <si>
    <t>MLZ1608E100MT</t>
  </si>
  <si>
    <t>RK73Z1ETTP</t>
  </si>
  <si>
    <t>ECS-320-12-33B-7KM-TR</t>
  </si>
  <si>
    <t>ECS-320-10-33-AGM-TR</t>
  </si>
  <si>
    <t>R2512/10R</t>
  </si>
  <si>
    <t>CR2512AFX-10R0EAS</t>
  </si>
  <si>
    <t>PCB PSS</t>
  </si>
  <si>
    <t>RES SMD 1M OHM 5% 1/16W 0402</t>
  </si>
  <si>
    <t>RES SMD 300 OHM 1% 1/16W 0402</t>
  </si>
  <si>
    <t>RC0402FR-07300RL</t>
  </si>
  <si>
    <t>IC EEPROM 2KBIT I2C 1MHZ 4WLCSP</t>
  </si>
  <si>
    <t>AT24CSW020-UUM0B-T</t>
  </si>
  <si>
    <t>CAP CER 0.1UF 6.3V X7R 0402</t>
  </si>
  <si>
    <t>0402B104K6R3CT</t>
  </si>
  <si>
    <t>Capacitors MLCC - SMD/SMT 10uF 20% 6.3 Volts 0402</t>
  </si>
  <si>
    <t>0402X106M6R3CT</t>
  </si>
  <si>
    <t>RC0402JR-07300RL</t>
  </si>
  <si>
    <t>04025A330JAT2A</t>
  </si>
  <si>
    <t>MLG1005S10NHT000</t>
  </si>
  <si>
    <t>0402N3R3C500CT</t>
  </si>
  <si>
    <t>L0402/2.4nH</t>
  </si>
  <si>
    <t>LQG15HS2N4B02D</t>
  </si>
  <si>
    <t>CL05A106MP6NUN8</t>
  </si>
  <si>
    <t>AC0402FR-071KL</t>
  </si>
  <si>
    <t>L0402/5.6nH</t>
  </si>
  <si>
    <t>LQG15HZ5N6C02D</t>
  </si>
  <si>
    <t>C0402/2.4pF</t>
  </si>
  <si>
    <t>CC0402CRNPO9BN2R4</t>
  </si>
  <si>
    <t>2337019-1</t>
  </si>
  <si>
    <t>YC0017BA</t>
  </si>
  <si>
    <t>YC0013AA</t>
  </si>
  <si>
    <t>L0402/24nH</t>
  </si>
  <si>
    <t>LQG15WZ24NJ02D</t>
  </si>
  <si>
    <t>R0402/10K</t>
  </si>
  <si>
    <t>R0402/5.1K</t>
  </si>
  <si>
    <t>AC0402FR-075K1L</t>
  </si>
  <si>
    <t>SW_Push</t>
  </si>
  <si>
    <t>FSM14JSMAS</t>
  </si>
  <si>
    <t>Conn_01x13</t>
  </si>
  <si>
    <t>2.54mm 13 pin Female Header (single row)</t>
  </si>
  <si>
    <t>Conn_01x02</t>
  </si>
  <si>
    <t>2.0 mm 2 pin male header (single row)</t>
  </si>
  <si>
    <t>Shorting Cap</t>
  </si>
  <si>
    <t>2.0 mm Shorting Jumper</t>
  </si>
  <si>
    <t>104/275VAC</t>
  </si>
  <si>
    <t>HCBB62X2-Q3104K40C000</t>
  </si>
  <si>
    <t>BC817-25,235</t>
  </si>
  <si>
    <t>CP/100uF/10V</t>
  </si>
  <si>
    <t>860010272005</t>
  </si>
  <si>
    <t>CP/470uF/10V</t>
  </si>
  <si>
    <t>860010273011</t>
  </si>
  <si>
    <t>2P_5.08 mm_Terminal</t>
  </si>
  <si>
    <t>691351500002</t>
  </si>
  <si>
    <t>691313510002</t>
  </si>
  <si>
    <t>3P_5.08 mm_Terminal</t>
  </si>
  <si>
    <t>691351500003</t>
  </si>
  <si>
    <t>691313510003</t>
  </si>
  <si>
    <t>PCB RSO_V1.0</t>
  </si>
  <si>
    <t>PCB Lamp_Ctrl_V2.0</t>
  </si>
  <si>
    <t>PCB Lamp_Ctrl_V2</t>
  </si>
  <si>
    <t>Conn_01x14</t>
  </si>
  <si>
    <t>2.54mm 14 pin Female Header (single row)</t>
  </si>
  <si>
    <t>RC0402FR-7D10KL</t>
  </si>
  <si>
    <t>GRJ155R60J106ME11D</t>
  </si>
  <si>
    <t>TS04-66-95-BK-160-SMT</t>
  </si>
  <si>
    <t>Nút nhấn 6x6x13mm 4 chân xuyên lỗ</t>
  </si>
  <si>
    <t>Nút nhấn 6x6x13mm</t>
  </si>
  <si>
    <t>CONN UMC RCPT STR 50 OHM SMD</t>
  </si>
  <si>
    <t>321A-331251</t>
  </si>
  <si>
    <t>Tan/100uF/6.3V</t>
  </si>
  <si>
    <t>C0402/0.01uF</t>
  </si>
  <si>
    <t>C0402C103K4PACTU</t>
  </si>
  <si>
    <t>SLG59M1557V(TR)</t>
  </si>
  <si>
    <t>SLG59M1557VTR</t>
  </si>
  <si>
    <t>CRCW040210K0FKEDC
RC0402FR-7D10KL</t>
  </si>
  <si>
    <t>R0402/8K2</t>
  </si>
  <si>
    <t>RC0402FR-078K2L</t>
  </si>
  <si>
    <t>SI2301DS</t>
  </si>
  <si>
    <t>SI2301BDS-T1-GE3</t>
  </si>
  <si>
    <t>C0402/10pF</t>
  </si>
  <si>
    <t>CL05C100JB5NNNC</t>
  </si>
  <si>
    <t>32 MHz</t>
  </si>
  <si>
    <t>FC-135 32.7680KA-A0</t>
  </si>
  <si>
    <t>TLV76733DGNR</t>
  </si>
  <si>
    <t>CBMF1608T100K</t>
  </si>
  <si>
    <t>PCB RSO_V1.3</t>
  </si>
  <si>
    <t>PCB LITE V1.4</t>
  </si>
  <si>
    <t>PCB RSO_LITE_RF</t>
  </si>
  <si>
    <t>PCB_RSO_V1.4_ctrl</t>
  </si>
  <si>
    <t>PCB GS1_REV6.1A</t>
  </si>
  <si>
    <t>MCU ARM Cortex-M3 32-bit 40 MHz 128 kB MCU</t>
  </si>
  <si>
    <t>EFM32JG1B100F128GM32
EFM32JG1B100F128GM32</t>
  </si>
  <si>
    <t>Lò xo</t>
  </si>
  <si>
    <t>FIXED IND 2.2UH 1.05A 250MOHM SM</t>
  </si>
  <si>
    <t>LQM21PN2R2MCAD</t>
  </si>
  <si>
    <t>TRANS NPN 50V 0.15A SOT23-3</t>
  </si>
  <si>
    <t>TMBT3904</t>
  </si>
  <si>
    <t>Switching Voltage Regulators 3-17V 0.5A 2.5MHZ SD Converter</t>
  </si>
  <si>
    <t>TPS62740DSST</t>
  </si>
  <si>
    <t>CAP CER 1UF 6.3V X5R 0402</t>
  </si>
  <si>
    <t>0402X105K6R3CT</t>
  </si>
  <si>
    <t>Multilayer Ceramic Capacitors MLCC - SMD/SMT 12pF +-5% 50V</t>
  </si>
  <si>
    <t>0402N120J500CT</t>
  </si>
  <si>
    <t>MOSFET N-CH 20V 2.3A SOT-23-3</t>
  </si>
  <si>
    <t>XL1276-P01</t>
  </si>
  <si>
    <t>AT25SF321B-SSHB</t>
  </si>
  <si>
    <t>BG770A-GL</t>
  </si>
  <si>
    <t>BG770AGLAA-N06-SGNSA</t>
  </si>
  <si>
    <t>CC0402KRX7R9BB103</t>
  </si>
  <si>
    <t>CC0402KRX5R9BB104</t>
  </si>
  <si>
    <t>C0402/4.3pF</t>
  </si>
  <si>
    <t>CC0402CRNPO9BN4R3</t>
  </si>
  <si>
    <t>DTD113Z</t>
  </si>
  <si>
    <t>IN-PI554FCH</t>
  </si>
  <si>
    <t>L0402/1.5nH</t>
  </si>
  <si>
    <t>LQG15HN1N5C02D</t>
  </si>
  <si>
    <t>LSF0204DRGYR</t>
  </si>
  <si>
    <t>MH2029-101Y</t>
  </si>
  <si>
    <t>ST_LINK_WB55</t>
  </si>
  <si>
    <t>ZH 1.25mm 7pin</t>
  </si>
  <si>
    <t>SMA_EdgeMount</t>
  </si>
  <si>
    <t>HFLX1-SMA-KYHE-2</t>
  </si>
  <si>
    <t>Conn_01x10</t>
  </si>
  <si>
    <t>2.54mm 10 pin Female Header (single row)</t>
  </si>
  <si>
    <t>2A/300VAC</t>
  </si>
  <si>
    <t>HCBB62X2/Q3104K40C000</t>
  </si>
  <si>
    <t>1nF/400VAC</t>
  </si>
  <si>
    <t>VY2102M29Y5US6TV5</t>
  </si>
  <si>
    <t>4.7uH/3A</t>
  </si>
  <si>
    <t>CP/10uF/450V</t>
  </si>
  <si>
    <t>450BXC10MEFC10X20</t>
  </si>
  <si>
    <t>LS05-13B05R3</t>
  </si>
  <si>
    <t xml:space="preserve">V07E300P </t>
  </si>
  <si>
    <t>SMF7.0A</t>
  </si>
  <si>
    <t>Conn_01x03</t>
  </si>
  <si>
    <t>Conn-01x03</t>
  </si>
  <si>
    <t>Conn-01x10 L14.8</t>
  </si>
  <si>
    <t>BAV99</t>
  </si>
  <si>
    <t>BAV99,235</t>
  </si>
  <si>
    <t>BC817W</t>
  </si>
  <si>
    <t>0.22uF/310VAC</t>
  </si>
  <si>
    <t>HCBB62X2/Q31224K60C350</t>
  </si>
  <si>
    <t>4K7/1W</t>
  </si>
  <si>
    <t>FMP100JR-52-4K7</t>
  </si>
  <si>
    <t>LED_Small</t>
  </si>
  <si>
    <t>WP710A10GD</t>
  </si>
  <si>
    <t>M4x12mm</t>
  </si>
  <si>
    <t>Conn-01x03 19mm</t>
  </si>
  <si>
    <t>636101111001</t>
  </si>
  <si>
    <t>RES SMD 5.1K OHM 1% 1/16W 0402</t>
  </si>
  <si>
    <t>RES SMD 1K OHM 1% 1/16W 0402</t>
  </si>
  <si>
    <t>Plastic case 7'60"36mm without top glass ( Including cut holes and lasers)</t>
  </si>
  <si>
    <t>BRT80001-A 1</t>
  </si>
  <si>
    <t>RES 10 OHM 5% 1/10W 0402</t>
  </si>
  <si>
    <t>RK73B1ETTP100J</t>
  </si>
  <si>
    <t>PCB RSO-Lite-V1.3</t>
  </si>
  <si>
    <t>PCB RSO-Ctl-V1.1-Power</t>
  </si>
  <si>
    <t>YE0008AA</t>
  </si>
  <si>
    <t>SMA-KY+SMA-J-160</t>
  </si>
  <si>
    <t>RC0402JR-07100RL</t>
  </si>
  <si>
    <t>MMBT5551-TP</t>
  </si>
  <si>
    <t>T1-Z15</t>
  </si>
  <si>
    <t>T1-Z9</t>
  </si>
  <si>
    <t>T1-Z10</t>
  </si>
  <si>
    <t>T1-Z16</t>
  </si>
  <si>
    <t>T1-Z14</t>
  </si>
  <si>
    <t>T1-Z11</t>
  </si>
  <si>
    <t>T1-Z12</t>
  </si>
  <si>
    <t>T1-Z13</t>
  </si>
  <si>
    <t>T2-Z1</t>
  </si>
  <si>
    <t>T2</t>
  </si>
  <si>
    <t>T2-Z2</t>
  </si>
  <si>
    <t>T3</t>
  </si>
  <si>
    <t>T4</t>
  </si>
  <si>
    <t>DFM</t>
  </si>
  <si>
    <t>CAP CER SMD 0.1uF 16V 10% X7R 0402</t>
  </si>
  <si>
    <t>EMK105B7104KV-F</t>
  </si>
  <si>
    <t>CAP CER SMD 47uF 16V 20% X5R 1206</t>
  </si>
  <si>
    <t>C3216X5R1C476M160AB</t>
  </si>
  <si>
    <t>CAP CER SMD 1000pF 100V 10% X7R 0603</t>
  </si>
  <si>
    <t>HMK107B7102KA-T</t>
  </si>
  <si>
    <t>CAP CER SMD 10uF 16V 20% X5R 0603</t>
  </si>
  <si>
    <t>GRM188R61C106MAALD</t>
  </si>
  <si>
    <t>CAP CER SMD 10uF 6.3V 20% X5R 0603</t>
  </si>
  <si>
    <t>JMK107BJ106MA-T</t>
  </si>
  <si>
    <t>CAP CER SMD 1uF 10V 10% X5R 0603</t>
  </si>
  <si>
    <t>LMK107BJ105KK-T</t>
  </si>
  <si>
    <t>FPC 1.0D WTX 20P 1.0mm Pitch Horizontal SMT ZIF Type Upper Top Down Contact H2.5 FPC FFC connector</t>
  </si>
  <si>
    <t>1.0D-WTX-20P</t>
  </si>
  <si>
    <t>TVS DIODE BIDIRECTIONAL 5VWM 9.2VC DO-214AC</t>
  </si>
  <si>
    <t>SMAJ5.0CA</t>
  </si>
  <si>
    <t>Red 621nm LED Indication - Discrete 2V 0603 (1608 Metric)</t>
  </si>
  <si>
    <t>LTST-C190EKT</t>
  </si>
  <si>
    <t>PTC RESET FUSE 30V 200MA 1812</t>
  </si>
  <si>
    <t>MINISMDC020F-2</t>
  </si>
  <si>
    <t>HEADER MALE 6X1 0.1" STRAIGHT SMD</t>
  </si>
  <si>
    <t>68000-406HLF</t>
  </si>
  <si>
    <t>1:1 350 35 1.2 -1 -16 SMD,16PIN RJ45 Transformer RoHS</t>
  </si>
  <si>
    <t>BT16A07</t>
  </si>
  <si>
    <t>General Purpose Relays SPST-NO Flux-Tight 12VDC High-Capacity</t>
  </si>
  <si>
    <t>G5NB-1A-E-DC12</t>
  </si>
  <si>
    <t>RES SMD 2K OHM 1% 1/10W 0603</t>
  </si>
  <si>
    <t>RC0603FR-072KL</t>
  </si>
  <si>
    <t>RES SMD 75 OHM 5% 1/10W 0603</t>
  </si>
  <si>
    <t>RC0603JR-0775RL</t>
  </si>
  <si>
    <t>RES SMD 4.7K OHM 1% 1/10W 0603</t>
  </si>
  <si>
    <t>RC0603FR-074K7L</t>
  </si>
  <si>
    <t>RES SMD 330 OHM 1% 1/4W 1206</t>
  </si>
  <si>
    <t>RC1206FR-07330RL</t>
  </si>
  <si>
    <t>RES SMD 22 OHM 1% 1/10W 0603</t>
  </si>
  <si>
    <t>VARISTOR 560V 2.5KA DISC 10MM</t>
  </si>
  <si>
    <t>MOV-10D561K</t>
  </si>
  <si>
    <t>SWITCH TACTILE SPST-NO</t>
  </si>
  <si>
    <t>B3U-1000P</t>
  </si>
  <si>
    <t>5 8P8C Female RJ45 Connector 8Pin With LED 16x16mm</t>
  </si>
  <si>
    <t>RJ45_8P8C_LED_TGIC_16MX16M</t>
  </si>
  <si>
    <t>Transistor Output Optocouplers Optocoupler</t>
  </si>
  <si>
    <t>LTV-816S-TA1</t>
  </si>
  <si>
    <t>CRYSTAL 32.768kHz 20PPM 12.5PF 70 KOHM</t>
  </si>
  <si>
    <t>3mm Base LED Green</t>
  </si>
  <si>
    <t>HT204GD</t>
  </si>
  <si>
    <t>Standard LEDs - Through Hole LED Thru-Hole 3mm Bi-Color HE Red/Grn</t>
  </si>
  <si>
    <t>3BC-3-CA-F</t>
  </si>
  <si>
    <t>SMD Tact Switch 6x6x3 mm RED</t>
  </si>
  <si>
    <t>KAN0647-0312B</t>
  </si>
  <si>
    <t>VIBRATION DETECTTING SWITCHStraight 100mA SPDT 8mm 12V PCPin 10000 Rectangular columnar -30?~+70? Plugin Slide Switches ROHS</t>
  </si>
  <si>
    <t>OS102011MS2QN1</t>
  </si>
  <si>
    <t>-30℃~+120℃ 17A 1.5 250V Blue 5mm 1 14~22 3 P=5mm Screw terminal ROHS</t>
  </si>
  <si>
    <t>KF332K-5.0-3P</t>
  </si>
  <si>
    <t>-30℃~+120℃ 17A 1.5 250V Blue 5mm 1 14~22 2 P=5mm Screw terminal ROHS</t>
  </si>
  <si>
    <t>KF332K-5.0-2P</t>
  </si>
  <si>
    <t>24 Position Terminal Block Header, Male Pins, Unshrouded 0.197" (5.00mm) Vertical  Solder</t>
  </si>
  <si>
    <t>KF332J-5.0-24P</t>
  </si>
  <si>
    <t>ELH</t>
  </si>
  <si>
    <t>CL10C101JB8NNNC</t>
  </si>
  <si>
    <t>KTP</t>
  </si>
  <si>
    <t>GRM188R60J106ME47D</t>
  </si>
  <si>
    <t>CAP CER 100PF 50V C0G/NP0 0603</t>
  </si>
  <si>
    <t>AC0603JR-07100KL</t>
  </si>
  <si>
    <t>CC0603JPX7R9BB104</t>
  </si>
  <si>
    <t>GJM1555C1H1R5BB01D</t>
  </si>
  <si>
    <t>CAP CER 10UF 6.3V X5R 20% 0603</t>
  </si>
  <si>
    <t>CAP CER 1.5PF 50V C0G/NP0 0402</t>
  </si>
  <si>
    <t>TVS DIODE 3.3V SOD323</t>
  </si>
  <si>
    <t>PTVSUC3D3V3B</t>
  </si>
  <si>
    <t>Inductor RF Chip Multi-Layer 0.0039uH 0.3nH 100MHz 8Q-Factor Air 0.75A 0.14Ohm DCR 0402 Automotive T/R</t>
  </si>
  <si>
    <t>FHW0402UC3N9JST</t>
  </si>
  <si>
    <t>Inductor with Inductance: 10uH Tol. +/-20%, Package: 0603 _1608_</t>
  </si>
  <si>
    <t>MLZ1608M100WT000</t>
  </si>
  <si>
    <t>MOSFET N-CH 30V 4.0A SOT23</t>
  </si>
  <si>
    <t>AO3402</t>
  </si>
  <si>
    <t>Trans MOSFET P-CH 20V 2.3A 3-Pin SOT-23 T/R</t>
  </si>
  <si>
    <t>Thick Film Resistors - SMD 0603 100 mW (1/10 W) 1% 10K</t>
  </si>
  <si>
    <t xml:space="preserve">Chip Resistor 100mW  75V ±100ppm/℃ ±1% 4.7kΩ 0603 </t>
  </si>
  <si>
    <t xml:space="preserve">Chip Resistor 100kΩ 100mW 75V Thick Film Resistors ±1% ±100ppm/℃ 0603 </t>
  </si>
  <si>
    <t>IC MCU 8BIT 18KB FLASH 20QFN</t>
  </si>
  <si>
    <t>N76E003AQ20</t>
  </si>
  <si>
    <t>IC REG LINEAR 3.3V 250MA SOT23-3</t>
  </si>
  <si>
    <t>MCP1700T-3302E/TT</t>
  </si>
  <si>
    <t>SX25Y032000BA1T001</t>
  </si>
  <si>
    <t>Magnetic Sensors Low-power linear Hall-effect sensor with enable pin in ultrasmall X2SON package 4-X2SON -40 to 125</t>
  </si>
  <si>
    <t>TMAG5253BA4IQDMRR</t>
  </si>
  <si>
    <t>Diode</t>
  </si>
  <si>
    <t>SI2301</t>
  </si>
  <si>
    <t>PCB Main V3.3</t>
  </si>
  <si>
    <t>Thick Film Resistors 5.1k 0805 1/8W 1% T/R-5000</t>
  </si>
  <si>
    <t>0805W8F5101T5E</t>
  </si>
  <si>
    <t>MODULE ZPM0053</t>
  </si>
  <si>
    <t>Connector 7P 2A 1 2mm P=2mm</t>
  </si>
  <si>
    <t>S7B-PH-K-S(LF)(SN)</t>
  </si>
  <si>
    <t>Connector6P 2A 1 2mm P=2mm</t>
  </si>
  <si>
    <t>S6B-PH-K-S(LF)(SN)</t>
  </si>
  <si>
    <t>CONN HEADER R/A 5POS 2MM</t>
  </si>
  <si>
    <t>S5B-PH-K-S(LF)(SN)</t>
  </si>
  <si>
    <t>RES 392K OHM 1% 1/10W 0603</t>
  </si>
  <si>
    <t>RC0603FR-07392KL</t>
  </si>
  <si>
    <t>CONN HEADER R/A 8POS 2MM</t>
  </si>
  <si>
    <t>S8B-PH-K-S(LF)(SN)</t>
  </si>
  <si>
    <t>dau-xh2-54mm-8-chan-cong-xuyen-lo</t>
  </si>
  <si>
    <t>ZX-XH2.54-8PWZ</t>
  </si>
  <si>
    <t>VCm 1x1.5 - Dây điện đơn mềm (450V/750V)</t>
  </si>
  <si>
    <t>VCM1x1.5</t>
  </si>
  <si>
    <t xml:space="preserve"> 
RES 1K OHM 1% 1/16W 0402</t>
  </si>
  <si>
    <t xml:space="preserve"> 
RES 15K OHM 1% 1/16W 0402</t>
  </si>
  <si>
    <t>RES 10 OHM 5% 1/10W 0603</t>
  </si>
  <si>
    <t>Module PCB Fail</t>
  </si>
  <si>
    <t>Hàng Rào Đực Đơn 2.0mm 40 Chân 1 Hàng Xuyên Lỗ</t>
  </si>
  <si>
    <t>Connector 8P 1 2.5mm P=2.5mm</t>
  </si>
  <si>
    <t>XH-8A</t>
  </si>
  <si>
    <t>CONN TERM WTB 22-26AWG TIN</t>
  </si>
  <si>
    <t>172782-5</t>
  </si>
  <si>
    <t>SCREW TERMINAL 2PIN 2.54MM</t>
  </si>
  <si>
    <t>Đầu cose  xanh</t>
  </si>
  <si>
    <t>RV2-3.2</t>
  </si>
  <si>
    <t>Connector 5P 12mm P=2mm</t>
  </si>
  <si>
    <t xml:space="preserve">PH-5A </t>
  </si>
  <si>
    <t>CONN-TH_7P-P2.00_PH-7A</t>
  </si>
  <si>
    <t>PH-7A</t>
  </si>
  <si>
    <t xml:space="preserve">Connector 8P 2A Push-Pull P=2mm </t>
  </si>
  <si>
    <t>Connector 7P 2A Push-Pull P=2mm</t>
  </si>
  <si>
    <t>Connector 5P 2A Push-Pull P=2mm</t>
  </si>
  <si>
    <t>Connector 6P 2A Push-Pull P=2mm</t>
  </si>
  <si>
    <t>KHCC</t>
  </si>
  <si>
    <t>CTA-24-08 MUA SAI</t>
  </si>
  <si>
    <t>K2-T3</t>
  </si>
  <si>
    <t>ĐANG SD</t>
  </si>
  <si>
    <t>STT</t>
  </si>
  <si>
    <t>A TUẤN</t>
  </si>
  <si>
    <t>Mô tả</t>
  </si>
  <si>
    <t>- LMK107BBJ106MALT
- AB.SC0.00053 dùng abo-22-02
- CL10A106MP8NNNC</t>
  </si>
  <si>
    <t>- XMC1302-T038X0032 AB
- XMC1302T038X0032ABXUMA1</t>
  </si>
  <si>
    <t xml:space="preserve">XC6209F422MR-G
</t>
  </si>
  <si>
    <t>XC6204B452MR-G</t>
  </si>
  <si>
    <t xml:space="preserve">
CC0402X7R102K500
CL05A104KB5NNNC</t>
  </si>
  <si>
    <t>PCB ATM1301_V6.8</t>
  </si>
  <si>
    <t>1338 FAIL, 649 FAIL CẦN LỰA LẠI SD</t>
  </si>
  <si>
    <t>General purpose resistor</t>
  </si>
  <si>
    <t>22¬µF ceramic capacitors</t>
  </si>
  <si>
    <t>General purpose capacitor</t>
  </si>
  <si>
    <t>NPN General-Purpose Amplifier</t>
  </si>
  <si>
    <t>Fixed 5.0V/3V3/2V5/1V8/1V5 1A Low dropout (LDO) Voltage Regulator</t>
  </si>
  <si>
    <t>General purpose LED</t>
  </si>
  <si>
    <t>MOSFET N-Channel 20V 2.8A SOT23-3</t>
  </si>
  <si>
    <t>Buck Switching Regulator IC Positive Adjustable 0.6V 1 Output 5A 32-PowerVQFN</t>
  </si>
  <si>
    <t>MIC28515T-E/PHA</t>
  </si>
  <si>
    <t>DIODE SCHOTTKY 60V 5A DO214AC</t>
  </si>
  <si>
    <t>ACDBA560-HF</t>
  </si>
  <si>
    <t>FIXED IND 2.2UH 1A 120 MOHM SMD</t>
  </si>
  <si>
    <t>AMDLA4020S-2R2MT</t>
  </si>
  <si>
    <t>RES 430K OHM 1% 1/10W 0402 SMD</t>
  </si>
  <si>
    <t>CAP CER 47UF 16V X5R 1210</t>
  </si>
  <si>
    <t>EMK325ABJ476KMHP</t>
  </si>
  <si>
    <t>LDO Voltage Regulators 1 A ultra low-dropout LDO with bias</t>
  </si>
  <si>
    <t>LD57100J330R</t>
  </si>
  <si>
    <t>CAP CER 2.2UF 10V X5R 0402</t>
  </si>
  <si>
    <t>CL05A225KP5NSNC</t>
  </si>
  <si>
    <t>RES 1.37K OHM 1% 1/10W 0603</t>
  </si>
  <si>
    <t>RC0603FR-071K37L</t>
  </si>
  <si>
    <t>2000mAh 3.7V</t>
  </si>
  <si>
    <t>33 µH Shielded Molded Inductor 3 A 204mOhm Max</t>
  </si>
  <si>
    <t>CSAB0750-330M</t>
  </si>
  <si>
    <t>DIODE SCHOTTKY 30V 3A SMA</t>
  </si>
  <si>
    <t>B330A-13-F</t>
  </si>
  <si>
    <t>CAP CER 4.7UF 25V X5R 0805</t>
  </si>
  <si>
    <t>CAP CER 1UF 10V X5R 0402</t>
  </si>
  <si>
    <t>CC0402KRX5R6BB105</t>
  </si>
  <si>
    <t>connector cái 8 (2x4) pin</t>
  </si>
  <si>
    <t>connector cái 6 (2x3) pin</t>
  </si>
  <si>
    <t>CAP TANT 100UF 10% 6.3V 1411</t>
  </si>
  <si>
    <t xml:space="preserve">Conector MX3.0mm Male 24 (2x12) pin </t>
  </si>
  <si>
    <t>43025-24Y</t>
  </si>
  <si>
    <t>Kim Bấm Dây Đầu Đực 3.0mm Mạ Thiếc Dây 22AWG</t>
  </si>
  <si>
    <t>PCB Tracker_v2</t>
  </si>
  <si>
    <t>PCB Tracker_v2.2</t>
  </si>
  <si>
    <t>PCB TRACKER VER2.3</t>
  </si>
  <si>
    <t>RES SMD 16.2K OHM 1% 1/10W 0603</t>
  </si>
  <si>
    <t>ERJ-3EKF1622V</t>
  </si>
  <si>
    <t>CAP CER 0.1UF 25V X7R 0402</t>
  </si>
  <si>
    <t>GRM155R71E104KE14D</t>
  </si>
  <si>
    <t>RES 1.6K OHM 1% 1/10W 0603</t>
  </si>
  <si>
    <t>RC0603FR-071K6L</t>
  </si>
  <si>
    <t>RES SMD 500 OHM 0.1% 1/20W 0402</t>
  </si>
  <si>
    <t>PNM0402E5000BST1</t>
  </si>
  <si>
    <t>Connector Header Surface Mount 2 position 0.079 (2.00mm)</t>
  </si>
  <si>
    <t>B2B-PH-SM4-TB</t>
  </si>
  <si>
    <t>CAP CER 10000PF 50V X7R 0402</t>
  </si>
  <si>
    <t>GRM155R71H103KA88D</t>
  </si>
  <si>
    <t>43045-0401</t>
  </si>
  <si>
    <t>CAP CER 1UF 100V X7S 0805</t>
  </si>
  <si>
    <t>CGA4J3X7S2A105K125AB</t>
  </si>
  <si>
    <t>CAP CER 10PF 50V C0G 0603</t>
  </si>
  <si>
    <t>SURFACE MOUNT TRANSDUCER 3.6 V0-P</t>
  </si>
  <si>
    <t>SMT-0830-T-HT-R</t>
  </si>
  <si>
    <t xml:space="preserve">MX 3.0 Male Housing 8 Pin </t>
  </si>
  <si>
    <t>CAP CER 1000PF 100V X7R 0603</t>
  </si>
  <si>
    <t>C1608X7R2A102K080AA</t>
  </si>
  <si>
    <t>RES SMD 680 OHM 1% 1/2W 0805</t>
  </si>
  <si>
    <t>ERJ-P06F6800V</t>
  </si>
  <si>
    <t>2x32P 32 2.54mm Horn buckle 2 Plugin,P=2.54mm IDC Connectors</t>
  </si>
  <si>
    <t>DS1011-64SBSiB7-B</t>
  </si>
  <si>
    <t>Đế Banana 4mm Cái CAT3 Chống Giật Có Đai Ốc Màu Đỏ</t>
  </si>
  <si>
    <t>RED Banana Socket</t>
  </si>
  <si>
    <t>Đế Banana 4mm Cái CAT3 Chống Giật Có Đai Ốc Màu xanh Blue</t>
  </si>
  <si>
    <t>BLUE Banana Socket</t>
  </si>
  <si>
    <t>Đế Banana 4mm Cái CAT3 Chống Giật Có Đai Ốc Màu xanh lá</t>
  </si>
  <si>
    <t>GREEN Banana Socket</t>
  </si>
  <si>
    <t>Đế Banana 4mm Cái Dài 29mm Màu Vàng</t>
  </si>
  <si>
    <t>YELLOW Banana Socket</t>
  </si>
  <si>
    <t>Đế Banana 4mm Cái Dài 29mm Màu Đen</t>
  </si>
  <si>
    <t>BLACK Banana Socket</t>
  </si>
  <si>
    <t xml:space="preserve">Đèn báo 220V màu đỏ </t>
  </si>
  <si>
    <t>Indicator AC Red light</t>
  </si>
  <si>
    <t>Sensors Magnetic  Low-power linear Hall-effect sensor with enable pin in ultrasmall X2SON package 4-X2SON -40 to 125</t>
  </si>
  <si>
    <t>PMBT2222A215</t>
  </si>
  <si>
    <t>RC0805JR-1310KL</t>
  </si>
  <si>
    <t>CRCW08052K20FKEA</t>
  </si>
  <si>
    <t>2.4GHz Bluetooth, WLAN, Zigbee™ Chip RF Antenna 2.4GHz ~ 2.5GHz 2.5dBi Solder Surface Mount</t>
  </si>
  <si>
    <t>WLA.01</t>
  </si>
  <si>
    <t>3.3pF ±5% 50V Ceramic Capacitor C0G, NP0 0402 (1005 Metric)</t>
  </si>
  <si>
    <t>UVK105CG3R3JW-F</t>
  </si>
  <si>
    <t>17V Clamp 5A (8/20µs) Ipp Tvs Diode Surface Mount SOT-666</t>
  </si>
  <si>
    <t>Type C, USB 3.1 Gen 2, 5 A, Right Angle, Mid Mount _SMT_,  Waterproof, USB Receptacle</t>
  </si>
  <si>
    <t>UJ31-CH-3-MSMT-TR-67</t>
  </si>
  <si>
    <t>17V Clamp 5A (8/20µs) Ipp Tvs Diode Surface Mount SOT-23-6</t>
  </si>
  <si>
    <t>U.FL-R-SMT-1(10)</t>
  </si>
  <si>
    <t>TXB0106 6-Bit Bidirectional Voltage-Level Translator for Open-Drain and Push-Pull Application</t>
  </si>
  <si>
    <t>TXB0106RGYR</t>
  </si>
  <si>
    <t>Linear Voltage Regulator IC  1 Output  500mA 6-WSON (2x2)</t>
  </si>
  <si>
    <t>TPS74533PCQWDRVRQ1</t>
  </si>
  <si>
    <t>TPS72325DBVR</t>
  </si>
  <si>
    <t>Buck Switching Regulator IC Positive Adjustable (Fixed) 1.8V (1.8V) 1 Output 1A 6-XFBGA, DSBGA</t>
  </si>
  <si>
    <t>TPS62802YKAR</t>
  </si>
  <si>
    <t>Power Switch/Driver 1:1 P-Channel 500mA 4-DSBGA (0.8x0.8)</t>
  </si>
  <si>
    <t>TPS22902YFPR</t>
  </si>
  <si>
    <t>13V (Typ) Clamp 5A (8/20µs) Ipp Tvs Diode Surface Mount 4-X2SON (0.8x0.8)</t>
  </si>
  <si>
    <t>TPD4E110DPWR</t>
  </si>
  <si>
    <t>USB Overvoltage Protection Controller PMIC 12-DSBGA (2x2.5)</t>
  </si>
  <si>
    <t>TPD1S514-1YZR</t>
  </si>
  <si>
    <t>Audio Amp Speaker 2-CH Stereo 1.72W Class-D 16-Pin DSBGA T/R</t>
  </si>
  <si>
    <t>TPA2026D2YZHR</t>
  </si>
  <si>
    <t>2.2µF ±20% 25V Ceramic Capacitor X7R 0805 (2012 Metric)</t>
  </si>
  <si>
    <t>TMK212B7225MGHT</t>
  </si>
  <si>
    <t>CAP CER 10000PF 25V X7R 0201</t>
  </si>
  <si>
    <t>TMK063B7103KP-F</t>
  </si>
  <si>
    <t>1.0 A Load Switch IC with Slew Rate Control Driver in Ultra Small Package Vin 1.1V - 5.5V</t>
  </si>
  <si>
    <t>TCK107AG,LF</t>
  </si>
  <si>
    <t>TCK106AG</t>
  </si>
  <si>
    <t>TCK106AG,LF</t>
  </si>
  <si>
    <t>Arm® Cortex®-M7 32b MCU+FPU, 462DMIPS, up to 2MB Flash/
512+16+4KB RAM, USB OTG HS/FS</t>
  </si>
  <si>
    <t>STM32F765IGK6</t>
  </si>
  <si>
    <t>IC, DIGITAL MIC, BOTTOM PORT, SPH1644LM4H-1, 3.50x2.65MM</t>
  </si>
  <si>
    <t>SPH0644LM4H-1</t>
  </si>
  <si>
    <t>SBH11-PBPC-D10-ST-BK</t>
  </si>
  <si>
    <t>Connector Header Through Hole 10 position 0.100" (2.54mm)</t>
  </si>
  <si>
    <t>SBH11-PBPC-D05-ST-BK</t>
  </si>
  <si>
    <t>1 MOhms ±5% 0.05W, 1/20W Chip Resistor 0201 (0603 Metric) Moisture Resistant Thick Film</t>
  </si>
  <si>
    <t>RC0201JR-071ML</t>
  </si>
  <si>
    <t>RC0201JR-0710KL</t>
  </si>
  <si>
    <t>536 kOhms ±1% 0.05W, 1/20W Chip Resistor 0201 (0603 Metric) Moisture Resistant Thick Film</t>
  </si>
  <si>
    <t>RC0201FR-07536KL</t>
  </si>
  <si>
    <t>RES SMD 3.74K OHM 1% 1/20W 0201</t>
  </si>
  <si>
    <t>RC0201FR-073K74L</t>
  </si>
  <si>
    <t>1K OHM 1% SMD</t>
  </si>
  <si>
    <t>RC0201FR-071KL</t>
  </si>
  <si>
    <t>100 kOhms ±1% 0.05W, 1/20W Chip Resistor 0201 (0603 Metric) Moisture Resistant Thick Film</t>
  </si>
  <si>
    <t>RC0201FR-07100KL</t>
  </si>
  <si>
    <t>PRPC005SAAN-RC</t>
  </si>
  <si>
    <t>PRPC005DFAN-RC</t>
  </si>
  <si>
    <t>PREC006SFAN-RC</t>
  </si>
  <si>
    <t>Connector Header Through Hole 3 position 0.100" (2.54mm)</t>
  </si>
  <si>
    <t>PREC003SFAN-RC</t>
  </si>
  <si>
    <t>Connector Header Through Hole 2 position 0.100" (2.54mm)</t>
  </si>
  <si>
    <t>PREC002SFAN-RC</t>
  </si>
  <si>
    <t>PCB Volume&amp;LED</t>
  </si>
  <si>
    <t>PCB PPG</t>
  </si>
  <si>
    <t>PCB EB1+EB2_PPG_Board</t>
  </si>
  <si>
    <t>PCB PE-EB1-CM2_ Mainboard</t>
  </si>
  <si>
    <t>PCB LED&amp;Microphone</t>
  </si>
  <si>
    <t>PCB Electrode_Speaker_Right</t>
  </si>
  <si>
    <t>PCB Electrode_Speaker_Left</t>
  </si>
  <si>
    <t>PCB EB1_EP2_Mainboard</t>
  </si>
  <si>
    <t>PCB EB1_EP2_AFE</t>
  </si>
  <si>
    <t>PCB EB1_BrassBoard_JUL202020_OK2FAB</t>
  </si>
  <si>
    <t>OPA376AIDCKT</t>
  </si>
  <si>
    <t>CRYSTAL 16MHZ 10PF 80Ohm ±10ppm SMD 2520</t>
  </si>
  <si>
    <t>NX2520SA 16M EXS00A-CS09224</t>
  </si>
  <si>
    <t>CX2520DB16000H0FLJC1</t>
  </si>
  <si>
    <t>NTC Thermistor 100k 0201 (0603 Metric)</t>
  </si>
  <si>
    <t>NCP03WF104J05RL</t>
  </si>
  <si>
    <t>SDRAM - Mobile LPSDR Memory IC 512Mb (16M x 32) Parallel 166MHz 5ns 90-VFBGA (8x13)</t>
  </si>
  <si>
    <t>MT48H16M32LFB5-6 IT:C TR</t>
  </si>
  <si>
    <t>FLASH - NAND Memory IC 2Gb (2G x 1) SPI 8-U-PDFN (8x6)</t>
  </si>
  <si>
    <t>MT29F2G01ABBGDWB-IT:G TR</t>
  </si>
  <si>
    <t>1 kOhms @ 100MHz 1 Power Line Ferrite Bead 0603 (1608 Metric) 800mA 300mOhm</t>
  </si>
  <si>
    <t>MPZ1608S102ATA00</t>
  </si>
  <si>
    <t>Ferrite Bead 1k_100MHz 0201(0603)</t>
  </si>
  <si>
    <t>MMZ0603S102ET000</t>
  </si>
  <si>
    <t>MAXM86161EFD+T</t>
  </si>
  <si>
    <t>Audio Interface 16 b Serial 24-TQFN (4x4)</t>
  </si>
  <si>
    <t>MAX9860ETG+T</t>
  </si>
  <si>
    <t>FIXED IND 3NH 450MA 250 MOHM SMD</t>
  </si>
  <si>
    <t>LQP03TN3N0B02D</t>
  </si>
  <si>
    <t>3nH Unshielded Multilayer Inductor 800mA 125mOhm Max 0402 (1005 Metric)</t>
  </si>
  <si>
    <t>LQG15HS3N0S02D</t>
  </si>
  <si>
    <t>LED Driver IC 4 Output Linear  I²C Dimming 25.5mA 12-DSBGA</t>
  </si>
  <si>
    <t>LP5562TMX/NOPB</t>
  </si>
  <si>
    <t>IC LED DRIVER</t>
  </si>
  <si>
    <t>LP5012RUKR</t>
  </si>
  <si>
    <t>LP2992IM5-2.5/NOPB</t>
  </si>
  <si>
    <t>Charge Pump Switching Regulator IC Positive and Negative (Dual Rail) Adjustable -5V, 1.5V 2 - Dual Output 250mA 12-WFDFN Exposed Pad</t>
  </si>
  <si>
    <t>LM27762DSSR</t>
  </si>
  <si>
    <t>LM2664M6X/NOPB</t>
  </si>
  <si>
    <t xml:space="preserve">1.8nH Unshielded Multilayer Inductor 300mA 140mOhm Max 0402 (1005 Metric) </t>
  </si>
  <si>
    <t>L-07C1N8SV6T</t>
  </si>
  <si>
    <t>KRTBEILQ51.3A-5B5C-0112-0-R18</t>
  </si>
  <si>
    <t>Red, Green, Blue (RGB) 624nm Red, 525nm Green, 468nm Blue LED Indication - Discrete 2.2V Red, 3.2V Green, 3.2V Blue 0606 (1616 Metric)</t>
  </si>
  <si>
    <t>IN-S66TATRGB</t>
  </si>
  <si>
    <t>Red, Green, Blue (RGB)  LED Indication - Discrete 1.6V Red, 2.8V Green, 2.8V Blue 4-SMD</t>
  </si>
  <si>
    <t>IN-S126TASRGB</t>
  </si>
  <si>
    <t>INMP621ACEZ-R7</t>
  </si>
  <si>
    <t>4.7µF ±20% 6.3V Ceramic Capacitor X5R 0201 (0603 Metric)</t>
  </si>
  <si>
    <t>GRM035R60J475ME15D</t>
  </si>
  <si>
    <t>CM03X5R475M06AH055</t>
  </si>
  <si>
    <t>1000pF ±10% 16V Ceramic Capacitor X7R 0201 (0603 Metric)</t>
  </si>
  <si>
    <t>GRM033R71C102KA01D</t>
  </si>
  <si>
    <t>CAP CER 4.7nF 6.3V X7R 0201</t>
  </si>
  <si>
    <t>GRM033R71A472KA01D</t>
  </si>
  <si>
    <t>2.2µF ±20% 10V Ceramic Capacitor X5R 0201 (0603 Metric)</t>
  </si>
  <si>
    <t>GRM033R61A225ME47D</t>
  </si>
  <si>
    <t>CM03X5R225M10AH</t>
  </si>
  <si>
    <t>CAP CER 0.1UF 10V 20% X5R 0201</t>
  </si>
  <si>
    <t>GRM033R61A104ME15D</t>
  </si>
  <si>
    <t>CL03A104MP3NNNC</t>
  </si>
  <si>
    <t>CAP CER 1UF 6.3V 20% X5R 0201</t>
  </si>
  <si>
    <t>GRM033R60J105MEA2D</t>
  </si>
  <si>
    <t>CL03A105MQ3CSNC</t>
  </si>
  <si>
    <t>3.9pF ±0.25pF 50V Ceramic Capacitor C0G, NP0 0201 (0603 Metric)</t>
  </si>
  <si>
    <t>GRM0335C1H3R9CA01D</t>
  </si>
  <si>
    <t>3pF ±0.1pF 50V Ceramic Capacitor C0G, NP0 0201 (0603 Metric)</t>
  </si>
  <si>
    <t>GRM0335C1H3R0BA01D</t>
  </si>
  <si>
    <t>GJM0335C1H3R0BB01D</t>
  </si>
  <si>
    <t>9pF ±0.5pF 25V Ceramic Capacitor C0G, NP0 0201 (0603 Metric)</t>
  </si>
  <si>
    <t>GRM0335C1E9R0DA01D</t>
  </si>
  <si>
    <t>15pF ±5% 25V Ceramic Capacitor C0G, NP0 0201 (0603 Metric)</t>
  </si>
  <si>
    <t>GRM0335C1E150JA01D</t>
  </si>
  <si>
    <t>12pF ±5% 25V Ceramic Capacitor C0G, NP0 0201 (0603 Metric)</t>
  </si>
  <si>
    <t>GRM0335C1E120JA01D</t>
  </si>
  <si>
    <t>C0201C120J3GACTU</t>
  </si>
  <si>
    <t>CAP CER 10UF 10V 20% X5R 0402</t>
  </si>
  <si>
    <t>Tactile Switch SPST-NO Side Actuated Surface Mount, Right Angle</t>
  </si>
  <si>
    <t>EVQ-P7J01P</t>
  </si>
  <si>
    <t>Tactile Switch SPST-NO Top Actuated Surface Mount</t>
  </si>
  <si>
    <t>EVP-AWBD4A</t>
  </si>
  <si>
    <t>Tactile Switch SPST-NO Side Actuated Edge Mount, Right Angle</t>
  </si>
  <si>
    <t>EVP-AVAA1A</t>
  </si>
  <si>
    <t>11V Clamp 10A (8/20µs) Ipp Tvs Diode Surface Mount 0201</t>
  </si>
  <si>
    <t>ESDA5-1BF4</t>
  </si>
  <si>
    <t>8.4V (Typ) Clamp 2.5A (8/20µs) Ipp Tvs Diode Surface Mount 3-X2SON (1x0.6)</t>
  </si>
  <si>
    <t>ESD122DMXR</t>
  </si>
  <si>
    <t>470 Ohms ±5% 0.05W, 1/20W Chip Resistor 0201 (0603 Metric) Automotive AEC-Q200 Thick Film</t>
  </si>
  <si>
    <t>ERJ-1GNJ471C</t>
  </si>
  <si>
    <t>RES 33 OHM 1/20W 5% 0201 SMD</t>
  </si>
  <si>
    <t>ERJ-1GNJ330C</t>
  </si>
  <si>
    <t>ERJ-1GNJ101C</t>
  </si>
  <si>
    <t>10 Ohms ±5% 0.05W, 1/20W Chip Resistor 0201 (0603 Metric) Automotive AEC-Q200 Thick Film</t>
  </si>
  <si>
    <t>ERJ-1GNJ100C</t>
  </si>
  <si>
    <t>5.11 kOhms ±1% 0.05W, 1/20W Chip Resistor 0201 (0603 Metric) Automotive AEC-Q200 Thick Film</t>
  </si>
  <si>
    <t>ERJ-1GNF5111C</t>
  </si>
  <si>
    <t>RES 4.99K OHM 1/20W 1% 0201 SMD</t>
  </si>
  <si>
    <t>ERJ-1GNF4991C</t>
  </si>
  <si>
    <t>RES 392K OHM 1/20W 1% 0201 SMD</t>
  </si>
  <si>
    <t>ERJ-1GNF3923C</t>
  </si>
  <si>
    <t>1 MOhms ±5% 0.05W, 1/20W Chip Resistor 0201 (0603 Metric)  Thick Film</t>
  </si>
  <si>
    <t>ERJ-1GEJ105C</t>
  </si>
  <si>
    <t>ERJ-1GNF1004C</t>
  </si>
  <si>
    <t>100 kOhms ±5% 0.05W, 1/20W Chip Resistor 0201 (0603 Metric)  Thick Film</t>
  </si>
  <si>
    <t>ERJ-1GEJ104C</t>
  </si>
  <si>
    <t>51 kOhms ±1% 0.05W, 1/20W Chip Resistor 0201 (0603 Metric)  Thick Film</t>
  </si>
  <si>
    <t>ERJ-1GEF5102C</t>
  </si>
  <si>
    <t>RES SMD 5.1K OHM 1% 1/20W 0201</t>
  </si>
  <si>
    <t>ERJ-1GEF5101C</t>
  </si>
  <si>
    <t>RES SMD 0 OHM JUMPER 1/20W 0201</t>
  </si>
  <si>
    <t>ERJ-1GE0R00C</t>
  </si>
  <si>
    <t>ERJ-1GN0R00C</t>
  </si>
  <si>
    <t>ECS-2520MVLC-020.48-BN-TR</t>
  </si>
  <si>
    <t>25MHz ±30ppm Crystal 10pF 100 Ohms 4-SMD, No Lead</t>
  </si>
  <si>
    <t>ECS-250-10-37Q-ES-TR</t>
  </si>
  <si>
    <t>25MHz ±20ppm Crystal 10pF 80 Ohms 4-SMD, No Lead 2016</t>
  </si>
  <si>
    <t>ECS-250-10-37-JTN-TR</t>
  </si>
  <si>
    <t>25MHz ±10ppm Crystal 10pF 50 Ohms 4-SMD, No Lead 2520</t>
  </si>
  <si>
    <t>ECS-250-10-36B-CTN-TR</t>
  </si>
  <si>
    <t>25MHz XO (Standard) HCMOS Oscillator 1.8V Enable/Disable 4-SMD, No Lead</t>
  </si>
  <si>
    <t>ECS-2018-250-BN</t>
  </si>
  <si>
    <t>16MHz ±10ppm Crystal 9pF 100 Ohms 4-SMD, No Lead 2016</t>
  </si>
  <si>
    <t>ECS-160-9-37-CKM-TR</t>
  </si>
  <si>
    <t>16MHz ±10ppm Crystal 8pF 100 Ohms 4-SMD, No Lead</t>
  </si>
  <si>
    <t>ECS-160-8-37-CWY-TR</t>
  </si>
  <si>
    <t>32.768kHz ±10ppm Crystal 7pF 90 kOhms 2-SMD, No Lead</t>
  </si>
  <si>
    <t>ECS-.327-9-16-TR</t>
  </si>
  <si>
    <t>ECS-.327-9-16-TR không lắp</t>
  </si>
  <si>
    <t>32.768kHz ±20ppm Crystal 5pF 90 kOhms 2-SMD, No Lead 1610</t>
  </si>
  <si>
    <t>ECS-.327-5-16-TR</t>
  </si>
  <si>
    <t>DMP21D2UFA</t>
  </si>
  <si>
    <t>DMP21D2UFA-7B</t>
  </si>
  <si>
    <t xml:space="preserve">470nH Shielded  Inductor 2.6A 54mOhm Max 0603 (1608 Metric) </t>
  </si>
  <si>
    <t>DFE18SANR47MG0L</t>
  </si>
  <si>
    <t>30 Position Connector Plug, Outer Shroud Contacts Surface Mount Gold</t>
  </si>
  <si>
    <t>DF40C-30DP-0.4V(51)</t>
  </si>
  <si>
    <t>20 Position Connector Plug, Outer Shroud Contacts Surface Mount Gold</t>
  </si>
  <si>
    <t>DF40C-20DP-0.4V(51)</t>
  </si>
  <si>
    <t>DF40C(2.0)-30DS-0.4V(51)</t>
  </si>
  <si>
    <t>DF40C(2.0)-20DS-0.4V(51)</t>
  </si>
  <si>
    <t>10 kOhms ±1% 0.05W, 1/20W Chip Resistor 0201 (0603 Metric)  Thick Film</t>
  </si>
  <si>
    <t>CRCW020110K0FNED</t>
  </si>
  <si>
    <t>CRCW0201100KJNED</t>
  </si>
  <si>
    <t>22µF ±20% 6.3V Ceramic Capacitor X5R 0805 (2012 Metric)</t>
  </si>
  <si>
    <t>CL21A226MQQNNNE</t>
  </si>
  <si>
    <t>CAP CER 0.47UF 10V 20% X5R 0402</t>
  </si>
  <si>
    <t>CL05A474KP5NNNC</t>
  </si>
  <si>
    <t>CL05A106MP8NUB8</t>
  </si>
  <si>
    <t>Wire to Board ID Method Connectors</t>
  </si>
  <si>
    <t>CFX4503-0112F</t>
  </si>
  <si>
    <t>CFX4502-0112F</t>
  </si>
  <si>
    <t>CC0201JRNPO8BN120</t>
  </si>
  <si>
    <t>CAP CER 100PF 50V C0G/NP0 0201</t>
  </si>
  <si>
    <t>C0603C0G1H101J030BA</t>
  </si>
  <si>
    <t>15nH Unshielded Multilayer Inductor 180mA 710mOhm Max 0201 (0603 Metric)</t>
  </si>
  <si>
    <t>BSCH0006030315NJ00</t>
  </si>
  <si>
    <t xml:space="preserve">10µH Unshielded Wirewound Inductor 330mA 1.105Ohm Max 0805 (2012 Metric) </t>
  </si>
  <si>
    <t>BRL2012T100M</t>
  </si>
  <si>
    <t>Charger IC Lithium Ion/Polymer 20-DSBGA (1.5x2)</t>
  </si>
  <si>
    <t>BQ25155YFPR</t>
  </si>
  <si>
    <t>6-axis, smart, low-power Inertial Measurement Unit for high-performance applications</t>
  </si>
  <si>
    <t>BMI270</t>
  </si>
  <si>
    <t>8 Position Connector Receptacle, Center Strip Contacts Surface Mount Gold</t>
  </si>
  <si>
    <t>BM23FR0.6-8DS-0.35V(895)</t>
  </si>
  <si>
    <t>CONN HDR 10POS SMD GOLD</t>
  </si>
  <si>
    <t>BM20B(0.8)-10DS-0.4V(53)</t>
  </si>
  <si>
    <t>BM20B(0.8)-10DP-0.4V(51)</t>
  </si>
  <si>
    <t>ST - Bluetooth® Low Energy wireless system-on-chip</t>
  </si>
  <si>
    <t>BLUENRG-234</t>
  </si>
  <si>
    <t>IC RF TxRx + MCU Bluetooth Bluetooth v5.0 2.4GHz 32-VFQFN Exposed Pad</t>
  </si>
  <si>
    <t>BLUENRG-232</t>
  </si>
  <si>
    <t>1 kOhms @ 100MHz 1  Ferrite Bead 0201 (0603 Metric) 125mA 2.6Ohm</t>
  </si>
  <si>
    <t>BLM03HG102SN1D</t>
  </si>
  <si>
    <t>RF Balun 2.4GHz ~ 2.5GHz 50 / 50Ohm 4-UFBGA, CSPBGA</t>
  </si>
  <si>
    <t>BALF-NRG-02D3</t>
  </si>
  <si>
    <t>ACCEL 0.5-4G I2C/SPI 32LFCSP</t>
  </si>
  <si>
    <t>ADXL313WACPZ-RL7</t>
  </si>
  <si>
    <t>ADS1299-6PAGR</t>
  </si>
  <si>
    <t>ADS1299-6PAG</t>
  </si>
  <si>
    <t>ADS1294 Low-Power, 8-Channel, 24-Bit Analog Front-End for Biopotential Measurements</t>
  </si>
  <si>
    <t>ADS1294RIZXGT</t>
  </si>
  <si>
    <t>AD8244ARMZ</t>
  </si>
  <si>
    <t>9HT12-32.768KBZY-T</t>
  </si>
  <si>
    <t>USB - micro B USB 2.0 Receptacle Connector 5 Position Surface Mount, Right Angle</t>
  </si>
  <si>
    <t>629105136821</t>
  </si>
  <si>
    <t>40 Position Connector Receptacle, Center Strip Contacts Surface Mount Gold</t>
  </si>
  <si>
    <t>5050664022</t>
  </si>
  <si>
    <t>9 Position FPC Connector Contacts, Top and Bottom 0.012" (0.30mm) Surface Mount, Right Angle</t>
  </si>
  <si>
    <t>5047540900</t>
  </si>
  <si>
    <t>504754-0900</t>
  </si>
  <si>
    <t>PC TEST POINT MINIATURE RED</t>
  </si>
  <si>
    <t>5001</t>
  </si>
  <si>
    <t>36-5001-ND</t>
  </si>
  <si>
    <t>PC TEST POINT MINIATURE BLACK</t>
  </si>
  <si>
    <t>5000</t>
  </si>
  <si>
    <t>36-5000-ND</t>
  </si>
  <si>
    <t>8 (6 + 2) Position Card Connector Secure Digital - microSD™ Surface Mount, Right Angle Gold</t>
  </si>
  <si>
    <t>47352-1001</t>
  </si>
  <si>
    <t>SMD PCB test point FOR GND</t>
  </si>
  <si>
    <t>36-5019DKR-ND</t>
  </si>
  <si>
    <t>5019</t>
  </si>
  <si>
    <t>2.4GHz  Chip RF Antenna 2.4GHz ~ 2.5GHz 0.5dBi Solder Surface Mount</t>
  </si>
  <si>
    <t>2 Position Wire to Board Terminal Block Horizontal with Board 0.138" (3.50mm) Through Hole</t>
  </si>
  <si>
    <t>1751248</t>
  </si>
  <si>
    <t>0.1µF ±5% 16V Ceramic Capacitor X7R 0402 (1005 Metric)</t>
  </si>
  <si>
    <t>0402YC104JAT2A</t>
  </si>
  <si>
    <t>THERMISTOR NTC 10KOHM 3380K 0201</t>
  </si>
  <si>
    <t>NCP03XH103F05RL</t>
  </si>
  <si>
    <t>EAR</t>
  </si>
  <si>
    <t>CAP CER 0.1UF 50V 10% X5R 0603</t>
  </si>
  <si>
    <t>0EC1608X5R1H104M080AA 0E</t>
  </si>
  <si>
    <t>C1608X5R1H104M080AA‎</t>
  </si>
  <si>
    <t>Tant CAP 10uF 10V 1206</t>
  </si>
  <si>
    <t>TAJA106K010RNJ</t>
  </si>
  <si>
    <t>CAP CER 1UF 50V 10% X5R 0603</t>
  </si>
  <si>
    <t>CGA3E3X5R1V105M080AB 0E</t>
  </si>
  <si>
    <t>CGA3E3X5R1V105M080AB</t>
  </si>
  <si>
    <t>CAP X2Y 1000pF 1206</t>
  </si>
  <si>
    <t>101X18N102MV4E</t>
  </si>
  <si>
    <t>10MHz</t>
  </si>
  <si>
    <t>XTCLH10M000CHJA1P0</t>
  </si>
  <si>
    <t>Header 2x5</t>
  </si>
  <si>
    <t>HDR 2x5, 2.54mm</t>
  </si>
  <si>
    <t>67997-410HLF‎</t>
  </si>
  <si>
    <t>RES 150K OHM 1/4W 5% 0603</t>
  </si>
  <si>
    <t>ERJ-PA3J154V</t>
  </si>
  <si>
    <t>RES 47K OHM 1/4W 5% 0603</t>
  </si>
  <si>
    <t>ERJ-PA3J473V</t>
  </si>
  <si>
    <t>RES 56 OHM 1/4W 5% 0603</t>
  </si>
  <si>
    <t>ERJ-PA3J560V</t>
  </si>
  <si>
    <t>RES 100K OHM 1/4W 5% 0603</t>
  </si>
  <si>
    <t>ERJ-PA3J104V 0E</t>
  </si>
  <si>
    <t>ERJ-PA3J104V</t>
  </si>
  <si>
    <t>Single level Translators, low quiescent current</t>
  </si>
  <si>
    <t>MAX13013</t>
  </si>
  <si>
    <t>‎MAX13013EXT+T</t>
  </si>
  <si>
    <t>Low Dropout, 400mA Adjustable Linear Regulator</t>
  </si>
  <si>
    <t>RT9053A</t>
  </si>
  <si>
    <t>‎RT9053AGB‎</t>
  </si>
  <si>
    <t>CONN RCPT 50POS 0.05 GOLD SMD</t>
  </si>
  <si>
    <t>M55-6025042R</t>
  </si>
  <si>
    <t>RES SMD 10K Ohm 1% 1/8W 0805</t>
  </si>
  <si>
    <t>RES SMD 47 Ohm 1&amp; 1/8W 0805</t>
  </si>
  <si>
    <t>ERJ-6ENF47R0V</t>
  </si>
  <si>
    <t>CAP CER 0.1UF 0603 25V</t>
  </si>
  <si>
    <t>GCM188R91E104KA37D</t>
  </si>
  <si>
    <t>CAP CER 10UF 25V 20% X5R 0603</t>
  </si>
  <si>
    <t>RES 56K OHM 1% 1/10W 0603</t>
  </si>
  <si>
    <t>RC0603FR-0756KL</t>
  </si>
  <si>
    <t>RT6252BHGH6F</t>
  </si>
  <si>
    <t>PCB YODA PWR REV1</t>
  </si>
  <si>
    <t>PCB YODA_POWER_rev1</t>
  </si>
  <si>
    <t>0.1µF ±10% 16V Ceramic Capacitor X7R 0603 (1608 Metric)</t>
  </si>
  <si>
    <t>GCM188R71C104KA37J</t>
  </si>
  <si>
    <t>47µF ±20% 10V Ceramic Capacitor X5R 0805 (2012 Metric)</t>
  </si>
  <si>
    <t>1µF ±10% 16V Ceramic Capacitor X7R 0603 (1608 Metric)</t>
  </si>
  <si>
    <t>GCM188R71C105KA64D</t>
  </si>
  <si>
    <t>270pF ±10% 50V Ceramic Capacitor C0G, NP0 0603 (1608 Metric)</t>
  </si>
  <si>
    <t>C0603C271K5GAC7867</t>
  </si>
  <si>
    <t>4700pF ±10% 2000V (2kV) Ceramic Capacitor X7R 1812 (4532 Metric)</t>
  </si>
  <si>
    <t>1812GC472KAT1A</t>
  </si>
  <si>
    <t>1µF ±10% 6.3V Ceramic Capacitor X7R 0402 (1005 Metric)</t>
  </si>
  <si>
    <t>GRM155R70J105KA12D</t>
  </si>
  <si>
    <t>GRM155R70J105MA12D</t>
  </si>
  <si>
    <t>470pF ±10% 16V Ceramic Capacitor X7R 0603 (1608 Metric)</t>
  </si>
  <si>
    <t>CC0603KRX7R7BB471</t>
  </si>
  <si>
    <t>4700pF ±5% 25V Ceramic Capacitor C0G, NP0 0603 (1608 Metric)</t>
  </si>
  <si>
    <t>C0603C472J3GAC7867</t>
  </si>
  <si>
    <t>4.7µF ±20% 16V Ceramic Capacitor X5R 0603 (1608 Metric)</t>
  </si>
  <si>
    <t>GRM188R61C475MAAJD</t>
  </si>
  <si>
    <t>10µF ±20% 6.3V Ceramic Capacitor X5R 0402 (1005 Metric)</t>
  </si>
  <si>
    <t>GRM155R60J106ME15D</t>
  </si>
  <si>
    <t>2.2µF ±10% 6.3V Ceramic Capacitor X7R 0603 (1608 Metric)</t>
  </si>
  <si>
    <t>GCM188R70J225KE22J</t>
  </si>
  <si>
    <t>10µF ±20% 16V Ceramic Capacitor X5R 0603 (1608 Metric)</t>
  </si>
  <si>
    <t>20 Position Receptacle Connector  Surface Mount</t>
  </si>
  <si>
    <t>M55-6022042R</t>
  </si>
  <si>
    <t>Connector Header Surface Mount 26 position 0.050" (1.27mm)</t>
  </si>
  <si>
    <t>M55-7022642R</t>
  </si>
  <si>
    <t>26 Position Receptacle Connector  Surface Mount, Right Angle</t>
  </si>
  <si>
    <t>M55-6102642R</t>
  </si>
  <si>
    <t>Black PC Test Point, Multipurpose Phosphor Bronze, Silver Plating 0.063" (1.60mm) Hole Diameter Mounting Type</t>
  </si>
  <si>
    <t>Diode Schottky 30V 3A Surface Mount DO-214AC (SMA)</t>
  </si>
  <si>
    <t>SSA33L-E3/61T</t>
  </si>
  <si>
    <t>Diode Standard 75V 150mA Surface Mount SOD-323F</t>
  </si>
  <si>
    <t>1N4148WS</t>
  </si>
  <si>
    <t>21.7V Clamp 184A (8/20µs) Ipp Tvs Diode Surface Mount SMB (DO-214AA)</t>
  </si>
  <si>
    <t>SM6T12CA</t>
  </si>
  <si>
    <t>69.7V Clamp 57A (8/20µs) Ipp Tvs Diode Surface Mount SMB (DO-214AA)</t>
  </si>
  <si>
    <t>SM6T39CA</t>
  </si>
  <si>
    <t>Series Voltage Reference IC  ±0.1%  SOT-23-6</t>
  </si>
  <si>
    <t>MCP1501T-33E/CHY</t>
  </si>
  <si>
    <t>24 Bit Analog to Digital Converter 10 Input 1 Sigma-Delta 32-VQFN (5x5)</t>
  </si>
  <si>
    <t>ADS1261BIRHBT</t>
  </si>
  <si>
    <t>1 Circuit IC Switch 4:1 4Ohm 10-uMAX</t>
  </si>
  <si>
    <t>MAX4634EUB+</t>
  </si>
  <si>
    <t>I/O Expander 16 I²C, SMBus 400kHz 24-TSSOP</t>
  </si>
  <si>
    <t>TCA9539PWR</t>
  </si>
  <si>
    <t>PCA9539PW,118</t>
  </si>
  <si>
    <t>1 Circuit IC Switch 4:1 1.1Ohm 14-TSSOP</t>
  </si>
  <si>
    <t>ADG1604BRUZ-REEL7</t>
  </si>
  <si>
    <t>EEPROM Memory IC 1Mb (128K x 8) I²C 1MHz 550ns 8-SOIC</t>
  </si>
  <si>
    <t>AT24CM01-SSHD-T</t>
  </si>
  <si>
    <t>100µH Shielded Wirewound Inductor 520mA 504mOhm Max Nonstandard</t>
  </si>
  <si>
    <t>LQH66SN101M03L</t>
  </si>
  <si>
    <t>470 Ohms @ 100MHz 1 Power Line Ferrite Bead 0603 (1608 Metric) 1A 150mOhm</t>
  </si>
  <si>
    <t>MPZ1608B471ATA00</t>
  </si>
  <si>
    <t>16 Bit Digital to Analog Converter 1 8-VSSOP</t>
  </si>
  <si>
    <t>DAC8571IDGKR</t>
  </si>
  <si>
    <t>P-Channel 20V 4.5A (Ta) 490mW (Ta), 5.435W (Tc) Surface Mount TO-236AB</t>
  </si>
  <si>
    <t>PMV30XPEAR</t>
  </si>
  <si>
    <t>1 kOhms ±0.1% 0.1W, 1/10W Chip Resistor 0603 (1608 Metric) Automotive AEC-Q200 Thin Film</t>
  </si>
  <si>
    <t>ERA-3AEB102V</t>
  </si>
  <si>
    <t>1 Ohms ±5% 0.1W, 1/10W Chip Resistor 0603 (1608 Metric) Automotive AEC-Q200 Thick Film</t>
  </si>
  <si>
    <t>ERJ-3GEYJ1R0V</t>
  </si>
  <si>
    <t>46.4 kOhms ±1% 0.1W, 1/10W Chip Resistor 0603 (1608 Metric) Automotive AEC-Q200 Thick Film</t>
  </si>
  <si>
    <t>12 kOhms ±0.1% 0.1W, 1/10W Chip Resistor 0603 (1608 Metric) Automotive AEC-Q200 Thin Film</t>
  </si>
  <si>
    <t>ERA-3AEB123V</t>
  </si>
  <si>
    <t>47 Ohms ±5% 0.1W, 1/10W Chip Resistor 0603 (1608 Metric) Automotive AEC-Q200 Thick Film</t>
  </si>
  <si>
    <t>ERJ-3GEYJ470V</t>
  </si>
  <si>
    <t>1.87 MOhms ±1% 0.063W, 1/16W Chip Resistor 0402 (1005 Metric) Automotive AEC-Q200 Thick Film</t>
  </si>
  <si>
    <t>CRCW04021M87FKED</t>
  </si>
  <si>
    <t>100 kOhms ±5% 0.1W, 1/10W Chip Resistor 0402 (1005 Metric) Automotive AEC-Q200 Thick Film</t>
  </si>
  <si>
    <t>ERJ-2GEJ104X</t>
  </si>
  <si>
    <t>4.7 kOhms ±5% 0.1W, 1/10W Chip Resistor 0603 (1608 Metric) Automotive AEC-Q200 Thick Film</t>
  </si>
  <si>
    <t>ERJ-3GEYJ472V</t>
  </si>
  <si>
    <t>604 kOhms ±1% 0.1W, 1/10W Chip Resistor 0603 (1608 Metric) Automotive AEC-Q200 Thick Film</t>
  </si>
  <si>
    <t>ERJ-3EKF6043V</t>
  </si>
  <si>
    <t>549 kOhms ±1% 0.1W, 1/10W Chip Resistor 0603 (1608 Metric) Automotive AEC-Q200 Thick Film</t>
  </si>
  <si>
    <t>ERJ-3EKF5493V</t>
  </si>
  <si>
    <t>511 kOhms ±1% 0.1W, 1/10W Chip Resistor 0603 (1608 Metric) Automotive AEC-Q200 Thick Film</t>
  </si>
  <si>
    <t>ERJ-3EKF5113V</t>
  </si>
  <si>
    <t>536 kOhms ±1% 0.1W, 1/10W Chip Resistor 0603 (1608 Metric) Automotive AEC-Q200 Thick Film</t>
  </si>
  <si>
    <t>ERJ-3EKF5363V</t>
  </si>
  <si>
    <t>1.8 kOhms ±5% 0.1W, 1/10W Chip Resistor 0603 (1608 Metric) Automotive AEC-Q200 Thick Film</t>
  </si>
  <si>
    <t>ERJ-3GEYJ182V</t>
  </si>
  <si>
    <t>2.2k Ohm ±5% 0.1W, 1/10W Chip Resistor 0603 (1608 Metric) Automotive AEC-Q200 Thick Film</t>
  </si>
  <si>
    <t>ERJ-3GEYJ222V</t>
  </si>
  <si>
    <t>6.8 kOhms ±5% 0.1W, 1/10W Chip Resistor 0603 (1608 Metric) Automotive AEC-Q200 Thick Film</t>
  </si>
  <si>
    <t>ERJ-3GEYJ682V</t>
  </si>
  <si>
    <t>10 MOhms ±0.5% 0.1W, 1/10W Chip Resistor 0603 (1608 Metric) Automotive AEC-Q200 Thick Film</t>
  </si>
  <si>
    <t>CRCW060310M0DHEAP</t>
  </si>
  <si>
    <t>680 kOhms ±1% 0.1W, 1/10W Chip Resistor 0603 (1608 Metric) Automotive AEC-Q200 Thick Film</t>
  </si>
  <si>
    <t>ERJ-3EKF6803V</t>
  </si>
  <si>
    <t>3.74 MOhms ±1% 0.1W, 1/10W Chip Resistor 0603 (1608 Metric) Automotive AEC-Q200 Thick Film</t>
  </si>
  <si>
    <t>CRCW06033M74FKEA</t>
  </si>
  <si>
    <t>37.4 kOhms ±1% 0.1W, 1/10W Chip Resistor 0603 (1608 Metric) Automotive AEC-Q200 Thick Film</t>
  </si>
  <si>
    <t>ERJ-3EKF3742V</t>
  </si>
  <si>
    <t>52.3 kOhms ±1% 0.1W, 1/10W Chip Resistor 0603 (1608 Metric) Automotive AEC-Q200 Thick Film</t>
  </si>
  <si>
    <t>ERJ-3EKF5232V</t>
  </si>
  <si>
    <t>374 kOhms ±1% 0.1W, 1/10W Chip Resistor 0603 (1608 Metric) Automotive AEC-Q200 Thick Film</t>
  </si>
  <si>
    <t>ERJ-3EKF3743V</t>
  </si>
  <si>
    <t>3.74 kOhms ±1% 0.1W, 1/10W Chip Resistor 0603 (1608 Metric) Automotive AEC-Q200 Thick Film</t>
  </si>
  <si>
    <t>ERJ-3EKF3741V</t>
  </si>
  <si>
    <t>27 Ohms ±1% 0.25W, 1/4W Chip Resistor 0603 (1608 Metric) Automotive AEC-Q200, Pulse Withstanding Thick Film</t>
  </si>
  <si>
    <t>ERJ-PA3F27R0V</t>
  </si>
  <si>
    <t>4.7 MOhms ±5% 0.5W, 1/2W Chip Resistor 2010 (5025 Metric) High Voltage, Moisture Resistant Thick Film</t>
  </si>
  <si>
    <t>HV732HTTE475J</t>
  </si>
  <si>
    <t>General Purpose Relay SPDT (1 Form C) Through Hole</t>
  </si>
  <si>
    <t>G5V-1-DC5</t>
  </si>
  <si>
    <t>TSC-105H3H,000</t>
  </si>
  <si>
    <t>Dip Switch SPST 3 Position Surface Mount Slide (Standard) Actuator 100mA 6VDC</t>
  </si>
  <si>
    <t>CFS-0301TB</t>
  </si>
  <si>
    <t>Zero-Drift Amplifier 2 Circuit Rail-to-Rail 8-VSSOP</t>
  </si>
  <si>
    <t>OPA2335AIDGKT</t>
  </si>
  <si>
    <t>General Purpose Digital Isolator 5000Vrms 4 Channel 100Mbps 100kV/µs CMTI 16-SOIC (0.295", 7.50mm Width)</t>
  </si>
  <si>
    <t>ISOW7841DWER</t>
  </si>
  <si>
    <t>ADUM6401CRIZ</t>
  </si>
  <si>
    <t>Comparator with Voltage Reference Push-Pull SOT-23-6</t>
  </si>
  <si>
    <t>TLV3012AIDBVT</t>
  </si>
  <si>
    <t>Zero-Drift Amplifier 1 Circuit Rail-to-Rail 8-SOIC</t>
  </si>
  <si>
    <t>AD8628WARZ-R7</t>
  </si>
  <si>
    <t>Power Switch/Driver 1:1 N-Channel 2A SOT-23-6</t>
  </si>
  <si>
    <t>TPS22918TDBVRQ1</t>
  </si>
  <si>
    <t>AND Gate IC 1 Channel  SC-88A (SC-70-5/SOT-353)</t>
  </si>
  <si>
    <t>M74VHC1GT08DFT2G</t>
  </si>
  <si>
    <t>MC74VHC1G08DFT2G</t>
  </si>
  <si>
    <t>7.3728MHz XO (Standard) CMOS Oscillator 3.3V Enable/Disable 4-SMD, No Lead</t>
  </si>
  <si>
    <t>ASE-7.3728MHZ-LC-T</t>
  </si>
  <si>
    <t>ECS-2033-073-AU</t>
  </si>
  <si>
    <t>PCB, FR-4 TG150 , 4Layer,T=1.6mm+/-10%
Blue Solder mask,white silkscreen
Finished copper: 1/1/1/OZ, ENIG
5 different PCB inside on panel
Piece Size (mm): 200.5 x 77.54
Panel size (mm): 200.54 x 77.54
Array: 1</t>
  </si>
  <si>
    <t>PCB DAQ V3</t>
  </si>
  <si>
    <t>CAP CER 0.1UF 0805</t>
  </si>
  <si>
    <t>C0805C104M3RACTU</t>
  </si>
  <si>
    <t>SMD/SMT 25V 1000pF C0G 0603 5% 0603</t>
  </si>
  <si>
    <t>C0603C102J3GACTU</t>
  </si>
  <si>
    <t>CL10A106MA8NRNC</t>
  </si>
  <si>
    <t>CAP CER 3.3nF 0603 25V</t>
  </si>
  <si>
    <t>CC0603KRX7R8BB332</t>
  </si>
  <si>
    <t>DIODE GEN PURP 600V 1A SMA</t>
  </si>
  <si>
    <t>S1M</t>
  </si>
  <si>
    <t>FUSE HOLDER, CARTRIDGE, 250V, 10A, SMD</t>
  </si>
  <si>
    <t>696101000002</t>
  </si>
  <si>
    <t>CONN, HEADER, VERT, SHROUDED, 20POS, 2x10</t>
  </si>
  <si>
    <t>M55-7022042R</t>
  </si>
  <si>
    <t>855-M55-7022042R</t>
  </si>
  <si>
    <t>IDCMBH20</t>
  </si>
  <si>
    <t>CONN, D-Header, 9-pin, TH</t>
  </si>
  <si>
    <t>LD09P24A4GV00LF</t>
  </si>
  <si>
    <t>CONN, TERM BLOCK, SCREW ON, 2POS, 0.2IN PITCH, HORIZ</t>
  </si>
  <si>
    <t>TB007-508-02BE</t>
  </si>
  <si>
    <t>Header 3</t>
  </si>
  <si>
    <t>TBP02R2-381-03BE</t>
  </si>
  <si>
    <t>2N7002 - N-FET</t>
  </si>
  <si>
    <t>2N7002</t>
  </si>
  <si>
    <t>Header 5X2</t>
  </si>
  <si>
    <t>PPTC052LFBN-RC</t>
  </si>
  <si>
    <t>Header 4</t>
  </si>
  <si>
    <t>TBP02R2-381-04BE</t>
  </si>
  <si>
    <t>Header 25X2</t>
  </si>
  <si>
    <t>M55-7025042R</t>
  </si>
  <si>
    <t>PDTC143ZT - TRANS PREBIAS NPN 250MW</t>
  </si>
  <si>
    <t>PDTC143ZT,215</t>
  </si>
  <si>
    <t>RES 0.0 OHM 1/10W JUMP 0603 SMD</t>
  </si>
  <si>
    <t>RC0603FR-070RL</t>
  </si>
  <si>
    <t>ERJ-U030R00V</t>
  </si>
  <si>
    <t>RC0603FR-07200KL</t>
  </si>
  <si>
    <t>RES 3.57K OHM 1/10W  1% 0603 SMD</t>
  </si>
  <si>
    <t>RC0603FR-073K57L</t>
  </si>
  <si>
    <t>RES 1.15K OHM 1/10W 1% 0603 SMD</t>
  </si>
  <si>
    <t>RC0603FR-071K15L</t>
  </si>
  <si>
    <t>RES 470 OHM 1/10W 0603 SMD</t>
  </si>
  <si>
    <t>RC0805FR-070RL</t>
  </si>
  <si>
    <t>RES 47 OHM 1/5W 5% 0603 SMD</t>
  </si>
  <si>
    <t>RC0603FR-0747RL</t>
  </si>
  <si>
    <t>Mech_Relay</t>
  </si>
  <si>
    <t>OMRGGE-134P-US-DC12</t>
  </si>
  <si>
    <t>‎G5V-1-DC12‎</t>
  </si>
  <si>
    <t>CONN HDR 26POS 0.1 GOLD PCB</t>
  </si>
  <si>
    <t>PPPC132LFBN-RC</t>
  </si>
  <si>
    <t>TXS0108EPWR</t>
  </si>
  <si>
    <t>TXS0108E</t>
  </si>
  <si>
    <t>TPS22976DPUR</t>
  </si>
  <si>
    <t>TPS22976</t>
  </si>
  <si>
    <t>ADG1434YRUZ</t>
  </si>
  <si>
    <t>FR015L3EZ</t>
  </si>
  <si>
    <t>DG9408</t>
  </si>
  <si>
    <t>DG9408EDN-T1-GE4</t>
  </si>
  <si>
    <t>ADG704BRMZ-REEL7</t>
  </si>
  <si>
    <t>2.2 µF 10V Ceramic Capacitor JB 0603 (1608 Metric)</t>
  </si>
  <si>
    <t>CL10B225KP8NNNC</t>
  </si>
  <si>
    <t>100nF 50V Ceramic Capacitor JB 0603 (1608 Metric)</t>
  </si>
  <si>
    <t>CC0603KPX7R9BB104</t>
  </si>
  <si>
    <t>C1608X5R1H104M080AA</t>
  </si>
  <si>
    <t>1 µF 10V Ceramic Capacitor JB 0603 (1608 Metric)</t>
  </si>
  <si>
    <t>CC0603ZRY5V6BB105</t>
  </si>
  <si>
    <t>CL10B105KP8NNNC</t>
  </si>
  <si>
    <t>22 µF ±20% 10V Ceramic Capacitor JB 0603 (1608 Metric)</t>
  </si>
  <si>
    <t>C1608JB1A226M080AC</t>
  </si>
  <si>
    <t>CONN HEADER VERT 20POS 2.54MM</t>
  </si>
  <si>
    <t>BHR-20-VUA</t>
  </si>
  <si>
    <t>CONN HEADER Right angle 20POS 2.54MM</t>
  </si>
  <si>
    <t>BHR-20-HUA</t>
  </si>
  <si>
    <t>Led, Red, 630 Nm, 1.9 V, 30 Ma, 60 Mcd Rohs Compliant: Yes</t>
  </si>
  <si>
    <t>150080SS75000</t>
  </si>
  <si>
    <t>Light Emitting Diode</t>
  </si>
  <si>
    <t>150080GS75000</t>
  </si>
  <si>
    <t>FCI Right Angle Surface Mount Mount Female USB Connector; 100 V ac; 1.8A</t>
  </si>
  <si>
    <t>10118193-0001LF</t>
  </si>
  <si>
    <t>15 Position D-Sub Plug, Male Pins Connector</t>
  </si>
  <si>
    <t>D15P24A4GV00LF</t>
  </si>
  <si>
    <t>22 Position Header Connector 0.100" (2.54mm) Through Hole tin</t>
  </si>
  <si>
    <t>PPTC112LFBN-RC</t>
  </si>
  <si>
    <t>2 (1 x 2) Position Shunt Connector Red Open Top 0.100" (2.54mm) Gold</t>
  </si>
  <si>
    <t>M7581-05</t>
  </si>
  <si>
    <t>1.2 kOhms @ 100 MHz 1 - Ferrite Bead 0603 (1608 Metric) 350mA 600mOhm</t>
  </si>
  <si>
    <t>MHF1608BAC601ATD25</t>
  </si>
  <si>
    <t>Bipolar (BJT) Transistor NPN 30 V 100 mA 100MHz 300 mW Surface Mount SOT-23-3 (TO-236)</t>
  </si>
  <si>
    <t>BC848BLT3G</t>
  </si>
  <si>
    <t xml:space="preserve"> BC848BLT1G</t>
  </si>
  <si>
    <t>RES 1K OHM JUMPER 1/16W 0603</t>
  </si>
  <si>
    <t>ESR03EZPJ102</t>
  </si>
  <si>
    <t>Res Thick Film 0603 15 Ohm 1% 1/10W Â±100ppm/Â°C Molded SMD Paper T/R</t>
  </si>
  <si>
    <t>AC0603FR-0715RL</t>
  </si>
  <si>
    <t>Res Thick Film 0603 9.31K Ohm 1% 0.1W(1/10W) Â±100ppm/C Pad SMD T/R</t>
  </si>
  <si>
    <t>RC0603FR-079K31L</t>
  </si>
  <si>
    <t>Res General Purpose Thick Film 0603 4.7k Ohm 5% 1/10W Â±100ppm/Â°C Molded Paper T/R</t>
  </si>
  <si>
    <t>High Precision-High Stability Chip Resistor Thin Film 0603 3.65kOhm 1% Paper T/R</t>
  </si>
  <si>
    <t>RT0603FRE073K65L</t>
  </si>
  <si>
    <t>Res Thick Film 0603 2.2K Ohm 1% 0.1W(1/10W) Â±100ppm/Â°C Pad SMD T/R</t>
  </si>
  <si>
    <t>Res Thick Film 0603 1.8K Ohm 5% 0.1W(1/10W) Â±100ppm/Â°C Pad SMD T/R</t>
  </si>
  <si>
    <t>RC0603JR-071K8L</t>
  </si>
  <si>
    <t>Relay 8 Pin coil 5V</t>
  </si>
  <si>
    <t>G5V-2-DC5</t>
  </si>
  <si>
    <t>SWITCH SLIDE DPDT 300MA 6V</t>
  </si>
  <si>
    <t>JS202011CQN</t>
  </si>
  <si>
    <t>Dip Switch SPST 6 Position Surface Mount Slide (Standard) Actuator 100mA 6VDC</t>
  </si>
  <si>
    <t>CFS-0603TB</t>
  </si>
  <si>
    <t>TERM BLK 2P SIDE ENT 3.81MM PCB</t>
  </si>
  <si>
    <t>284392-2</t>
  </si>
  <si>
    <t>Electronic Fuse Regulator - 3A 10-WDFNW (3x3)</t>
  </si>
  <si>
    <t>NIS6350MT1TXG</t>
  </si>
  <si>
    <t>Linear Voltage Regulator IC Positive Adjustable 3 Output 250mA, 250mA, 250mA 16-MLF® (4x4)</t>
  </si>
  <si>
    <t>MIC2215-AAAYML-TR</t>
  </si>
  <si>
    <t>Power Switch ICs - Power Distribution High Side Load Switch 1.2A, 130m</t>
  </si>
  <si>
    <t>MIC94090YC6-TR</t>
  </si>
  <si>
    <t>16 bit IO Expander</t>
  </si>
  <si>
    <t>TCA9539RTWR</t>
  </si>
  <si>
    <t>PCA9539RBS,118</t>
  </si>
  <si>
    <t>CONN HEADER VERT 40POS 2.54MM</t>
  </si>
  <si>
    <t>302-S401</t>
  </si>
  <si>
    <t>IC TRANSLATION TXRX 3.6V 16TSSOP</t>
  </si>
  <si>
    <t>SN74AXC4T245</t>
  </si>
  <si>
    <t>SN74AXC4T245QPWRQ1</t>
  </si>
  <si>
    <t>Linear Voltage Regulator IC Positive Adjustable 1 Output 400mA SOT-23-5</t>
  </si>
  <si>
    <t>RT9043GB</t>
  </si>
  <si>
    <t>NCV8164CSNADJT1G</t>
  </si>
  <si>
    <t>Voltage Level Translator Bidirectional 1 Circuit 4 Channel 24Mbps 14-SOIC</t>
  </si>
  <si>
    <t>TXS0104ED</t>
  </si>
  <si>
    <t>ULN2003D1013TR</t>
  </si>
  <si>
    <t>Low Voltage 4ohm, 4-Channel Multiplexer</t>
  </si>
  <si>
    <t>ADG704BRMZ</t>
  </si>
  <si>
    <t>TMUX1204DGSR</t>
  </si>
  <si>
    <t>PCB WW_V2</t>
  </si>
  <si>
    <t>PCB Ok2Fab_WW_V2_11172021</t>
  </si>
  <si>
    <t>10 µF ±10% 10V Ceramic Capacitor X5R 0603</t>
  </si>
  <si>
    <t>81-GRM188R61A106KALD</t>
  </si>
  <si>
    <t>1µF ±10% 10V Ceramic Capacitor X5R 0402 (1005 Metric)</t>
  </si>
  <si>
    <t>GRT033R60J105ME13D</t>
  </si>
  <si>
    <t>LMK105BJ105KVHF</t>
  </si>
  <si>
    <t>60 Position Connector Header, Outer Shroud Contacts Surface Mount Gold</t>
  </si>
  <si>
    <t>QTH-030-01-F-D-A</t>
  </si>
  <si>
    <t>1 MOhms ±1% 0.03W, 1/32W Chip Resistor 01005 (0402 Metric) - Thick Film</t>
  </si>
  <si>
    <t>PFR02S-105-FNH</t>
  </si>
  <si>
    <t>100k ±5% 0.03W, 1/32W Chip Resistor 01005 (0402 Metric) - Thick Film</t>
  </si>
  <si>
    <t>CRCW0100100KJREL</t>
  </si>
  <si>
    <t>24 MHz ±10ppm Crystal 10pF 100 Ohms 4-SMD, No Lead</t>
  </si>
  <si>
    <t>ECS-240-10-47-CKM-TR</t>
  </si>
  <si>
    <t>32.768 kHz ±20ppm Crystal 9pF 90 kOhms 2-SMD, No Lead</t>
  </si>
  <si>
    <t>PCB RT500_WLCSP</t>
  </si>
  <si>
    <t>GD25LT256EB</t>
  </si>
  <si>
    <t>GRM0335C1E100JA01J</t>
  </si>
  <si>
    <t>GRM033R61A224KE90D</t>
  </si>
  <si>
    <t>1 Circuit IC Switch 1:1 25Ohm SC-88A (SC-70-5/SOT-353)</t>
  </si>
  <si>
    <t>NLAST4501DFT2G</t>
  </si>
  <si>
    <t>Low-Power, Single-Port, High-Speed USB 2.0 (480Mbps) Switch</t>
  </si>
  <si>
    <t>FSUSB31K8X</t>
  </si>
  <si>
    <t>1 MOhms ±5% 1W Chip Resistor 2512 (6432 Metric) Moisture Resistant Thick Film</t>
  </si>
  <si>
    <t>RC2512JK-071ML</t>
  </si>
  <si>
    <t>RES 10K OHM JUMPER 1/16W 0603</t>
  </si>
  <si>
    <t>RES 100R OHM JUMPER 1/16W 0603</t>
  </si>
  <si>
    <t>Diode Standard 1000 V 1A Surface Mount DO-214AC (SMA)</t>
  </si>
  <si>
    <t>S1M-E3/61T</t>
  </si>
  <si>
    <t>0.47uF</t>
  </si>
  <si>
    <t>CL21B474KAFNNNE</t>
  </si>
  <si>
    <t>S3B-PH-SM4-TB</t>
  </si>
  <si>
    <t>AXF5K0412KV1</t>
  </si>
  <si>
    <t>AXF5K0412A</t>
  </si>
  <si>
    <t>10K 0402 1%</t>
  </si>
  <si>
    <t>NCP15XH103F03RC</t>
  </si>
  <si>
    <t>MAX17262</t>
  </si>
  <si>
    <t>MAX17262REWL+T</t>
  </si>
  <si>
    <t>PCB SK_FuelGauge_141221</t>
  </si>
  <si>
    <t>65800001109</t>
  </si>
  <si>
    <t xml:space="preserve"> IC REG LINEAR 1.8V 250MA</t>
  </si>
  <si>
    <t>LP5907QMFX-1.8Q1</t>
  </si>
  <si>
    <t xml:space="preserve"> IC REG LINEAR 3.8V 250MA</t>
  </si>
  <si>
    <t>LP5907QMFX-3.8Q1</t>
  </si>
  <si>
    <t xml:space="preserve"> IC TRNSLTR BIDIRECTIONAL</t>
  </si>
  <si>
    <t>TXS0104EPWR</t>
  </si>
  <si>
    <t>TXS0104EQPWRQ1</t>
  </si>
  <si>
    <t>TRAN 7NPN DARL 50V 0.5A</t>
  </si>
  <si>
    <t>ULN2003APWR</t>
  </si>
  <si>
    <t xml:space="preserve"> IC SWITCH SPDT DUAL</t>
  </si>
  <si>
    <t>TS5A23159DGSR</t>
  </si>
  <si>
    <t>TXB0104PWR</t>
  </si>
  <si>
    <t>TXB0104QPWRQ1</t>
  </si>
  <si>
    <t>PCB B_W_V_HRM_AT</t>
  </si>
  <si>
    <t>HEX NUT 0.217" STEEL M3</t>
  </si>
  <si>
    <t>HEX NUT 0.217" NYLON M3</t>
  </si>
  <si>
    <t>HEX STANDOFF M3 NYLON 45MM</t>
  </si>
  <si>
    <t>CBTS150A</t>
  </si>
  <si>
    <t>STANDOFF HEX M3 NYLON 19MM</t>
  </si>
  <si>
    <t>CBMFTS300A</t>
  </si>
  <si>
    <t>STANDOFF HEX  M3X0.5 BRASS
 19MM</t>
  </si>
  <si>
    <t>R30-3001902</t>
  </si>
  <si>
    <t xml:space="preserve">Tấm mica kích thước 95x75mm </t>
  </si>
  <si>
    <t>SCREW PAN HEAD PHILLIPS
 NYLON M3x6mm</t>
  </si>
  <si>
    <t>NMS-306</t>
  </si>
  <si>
    <t>STANDOFF HEX M3 NYLON 20MM</t>
  </si>
  <si>
    <t>25505</t>
  </si>
  <si>
    <t>SCREW PAN HEAD PHILLIPS SS
 M3x6mm</t>
  </si>
  <si>
    <t>RM3X6MM 2701</t>
  </si>
  <si>
    <t>1 Circuit IC Switch 2:1 600 mOhm SC-70-6</t>
  </si>
  <si>
    <t>ADG849YKSZ-REEL7</t>
  </si>
  <si>
    <t>0 Ohms Jumper 0.1W, 1/10W Chip Resistor 0603 (1608 Metric) Automotive AEC-Q200 Thick Film</t>
  </si>
  <si>
    <t>ERJ-3GEY0R00V</t>
  </si>
  <si>
    <t>47 OHM</t>
  </si>
  <si>
    <t>1K8 0402</t>
  </si>
  <si>
    <t>01-20 TTI/ST</t>
  </si>
  <si>
    <t>3A/250V</t>
  </si>
  <si>
    <t>021702.5MXP</t>
  </si>
  <si>
    <t>Green 525nm LED Indication - Discrete 2.65V 0603 (1608 Metric)</t>
  </si>
  <si>
    <t>APT1608LZGCK</t>
  </si>
  <si>
    <t>10µF 16V Ceramic Capacitor X5R 0805 (2012 Metric) 0.079" L x 0.049" W (2.00mm x 1.25mm)</t>
  </si>
  <si>
    <t>47µF ±10% 6.3V Ceramic Capacitor X5R 1206 (3216 Metric)</t>
  </si>
  <si>
    <t>GRM31CR60J476KE19L</t>
  </si>
  <si>
    <t>10µF ±10% 6.3V Ceramic Capacitor X5R 0603 (1608 Metric)</t>
  </si>
  <si>
    <t>GRM188R60J106KE47D</t>
  </si>
  <si>
    <t>General Purpose Amplifier 1 Circuit Rail-to-Rail SOT-23-6</t>
  </si>
  <si>
    <t>MAX4238AUT+T</t>
  </si>
  <si>
    <t>16 Bit Analog to Digital Converter 2, 4 Input 1 Sigma-Delta 10-VSSOP</t>
  </si>
  <si>
    <t>ADS1115IDGSR</t>
  </si>
  <si>
    <t>Linear Voltage Regulator IC Positive Adjustable 1 Output  500mA 8-DFN (2x3)</t>
  </si>
  <si>
    <t>SPX3819R2-L/TR</t>
  </si>
  <si>
    <t>EEPROM Memory IC 128b (16 x 8) I²C 400kHz 3500ns SOT-23-5</t>
  </si>
  <si>
    <t>24LC00T-I/OT</t>
  </si>
  <si>
    <t>Shunt Voltage Reference IC ±1% 15mA SOT-23-3</t>
  </si>
  <si>
    <t>LM4040DIM3-2.5/NOPB</t>
  </si>
  <si>
    <t>Charge Pump Switching Regulator IC Negative Fixed -0.23V 1 Output 26mA 8-TSSOP, 8-MSOP (0.118", 3.00mm Width)</t>
  </si>
  <si>
    <t>LM7705MM/NOPB</t>
  </si>
  <si>
    <t>1776275-2</t>
  </si>
  <si>
    <t>40 Position Header Connector 0.100" (2.54mm) Through Hole Tin</t>
  </si>
  <si>
    <t>PPTC202LFBN-RC</t>
  </si>
  <si>
    <t>P-Channel 30V 3.8A (Ta) 1.08W (Ta) Surface Mount SOT-23</t>
  </si>
  <si>
    <t>DMP3099L-7</t>
  </si>
  <si>
    <t>160 kOhms ±1% 0.1W, 1/10W Chip Resistor 0603 (1608 Metric) Automotive AEC-Q200 Thick Film</t>
  </si>
  <si>
    <t>ERJ-3EKF1603V</t>
  </si>
  <si>
    <t>10k Ohm ±5% 0.25W, 1/4W Chip Resistor 0603 (1608 Metric) Automotive AEC-Q200, Pulse Withstanding Thick Film</t>
  </si>
  <si>
    <t>ERJ-PA3J103V</t>
  </si>
  <si>
    <t>100k Ohm ±5% 0.1W, 1/10W Chip Resistor 0603 (1608 Metric) Automotive AEC-Q200 Thick Film</t>
  </si>
  <si>
    <t>ERJ-3GEYJ104V</t>
  </si>
  <si>
    <t>1.5 MOhms ±1% 0.1W, 1/10W Chip Resistor 0603 (1608 Metric) Automotive AEC-Q200 Thick Film</t>
  </si>
  <si>
    <t>10 Ohm ±0.05% 0.25W, 1/4W Chip Resistor 1206 (3216 Metric) Automotive AEC-Q200 Thin Film</t>
  </si>
  <si>
    <t>RNCF1206AKT10R0</t>
  </si>
  <si>
    <t>10 kOhms ±0.05% 0.1W, 1/10W Chip Resistor 0603 (1608 Metric) Automotive AEC-Q200 Thin Film</t>
  </si>
  <si>
    <t>ERA-3ARW103V</t>
  </si>
  <si>
    <t>2.7k Ohm ±1% 0.1W, 1/10W Chip Resistor 0603 (1608 Metric) Automotive AEC-Q200 Thick Film</t>
  </si>
  <si>
    <t>ERJ-3EKF2701V</t>
  </si>
  <si>
    <t>NTC Thermistor 10k 0603 (1608 Metric)</t>
  </si>
  <si>
    <t>ERT-J1VG103FA</t>
  </si>
  <si>
    <t>1 kOhms ±1% 0.1W, 1/10W Chip Resistor 0603 (1608 Metric) Automotive AEC-Q200 Thick Film</t>
  </si>
  <si>
    <t>ERJ-3EKF1001V</t>
  </si>
  <si>
    <t>100 Ohms ±5% 0.1W, 1/10W Chip Resistor 0603 (1608 Metric) Automotive AEC-Q200 Thick Film</t>
  </si>
  <si>
    <t>ERJ-3GEYJ101V</t>
  </si>
  <si>
    <t>1.2 kOhms ±5% 0.1W, 1/10W Chip Resistor 0603 (1608 Metric) Automotive AEC-Q200 Thick Film</t>
  </si>
  <si>
    <t>ERJ-3GEYJ122V</t>
  </si>
  <si>
    <t>68 kOhms ±1% 0.1W, 1/10W Chip Resistor 0603 (1608 Metric) Automotive AEC-Q200 Thick Film</t>
  </si>
  <si>
    <t>ERJ-3EKF6802V</t>
  </si>
  <si>
    <t>22 kOhms ±1% 0.1W, 1/10W Chip Resistor 0603 (1608 Metric) Automotive AEC-Q200 Thick Film</t>
  </si>
  <si>
    <t>ERJ-3EKF2202V</t>
  </si>
  <si>
    <t>10k Ohm ±1% 0.25W, 1/4W Chip Resistor 0603 (1608 Metric) Automotive AEC-Q200, Pulse Withstanding Thick Film</t>
  </si>
  <si>
    <t>ERJ-PA3F1002V</t>
  </si>
  <si>
    <t>47 kOhms ±5% 0.1W, 1/10W Chip Resistor 0603 (1608 Metric) Automotive AEC-Q200 Thick Film</t>
  </si>
  <si>
    <t>ERJ-3GEYJ473V</t>
  </si>
  <si>
    <t>Comparator General Purpose Open-Drain, Rail-to-Rail SOT-23-5</t>
  </si>
  <si>
    <t>TS880ILT</t>
  </si>
  <si>
    <t>Pre-Biased Bipolar Transistor (BJT) NPN - Pre-Biased 50V 100mA 230MHz 250mW Surface Mount TO-236AB</t>
  </si>
  <si>
    <t>PDTC143ZT,235</t>
  </si>
  <si>
    <t>PCB FTDI4232H MINI MODULE</t>
  </si>
  <si>
    <t>T2-Z3</t>
  </si>
  <si>
    <t>T2-Z4</t>
  </si>
  <si>
    <t>T2-Z5</t>
  </si>
  <si>
    <t>FSL</t>
  </si>
  <si>
    <t>400W 35.7A 500μA 11.2V 7.22V 6.5V 7.98V Bi-Directional SMA(DO-214AC) TVS ROHS</t>
  </si>
  <si>
    <t>SMAJ6.5CA</t>
  </si>
  <si>
    <t>Led right angle 3led Green (DBL3-3G)</t>
  </si>
  <si>
    <t>3 Led Green Indicator</t>
  </si>
  <si>
    <t>TVS DIODE 12V 19.9V SMA</t>
  </si>
  <si>
    <t>SMAJ12CA</t>
  </si>
  <si>
    <t>MMBT3906LT1G</t>
  </si>
  <si>
    <t>3.9KOHMS ±1% 1/10W 0603 ROHS</t>
  </si>
  <si>
    <t>0603WAF3901T5E</t>
  </si>
  <si>
    <t>560OHMS ±1% 1/10W 0603 ROHS</t>
  </si>
  <si>
    <t>0603WAF5600T5E</t>
  </si>
  <si>
    <t>Network socket RJ45 socket 2 × 2 crystal head female socket 2 * 2 double row 4 ports without lights without bullets with shielding</t>
  </si>
  <si>
    <t>RJ45_2x2</t>
  </si>
  <si>
    <t>IC OSC SGL TIMER 2.1MHZ 8-SOIC</t>
  </si>
  <si>
    <t>TLC555CDR</t>
  </si>
  <si>
    <t>74HC AND Gate 4 2 SOIC-14_150mil Gates ROHS</t>
  </si>
  <si>
    <t>SN74HC08DR</t>
  </si>
  <si>
    <t>20Mbps RS422, RS485 Transceiver SOIC-16_300mil RS-485/RS-422 ICs ROHS</t>
  </si>
  <si>
    <t>ISO3088DWR</t>
  </si>
  <si>
    <t>ISO3082DWR</t>
  </si>
  <si>
    <t>PCB mặt hộp nhôm phía trước</t>
  </si>
  <si>
    <t>Cover Alu RS485_Hub 2.3</t>
  </si>
  <si>
    <t>PCB mặt hộp nhôm phía sau</t>
  </si>
  <si>
    <t>Hộp nhôm màu đen 39*88*100</t>
  </si>
  <si>
    <t>XD-3 100mm black box</t>
  </si>
  <si>
    <t>1NF 50V 0603 ROHS</t>
  </si>
  <si>
    <t>CL10B102KB8NNNC</t>
  </si>
  <si>
    <t>30V 800mV@100mA 200mA SOT-23(SOT-23-3) Schottky Barrier Diodes (SBD) ROHS</t>
  </si>
  <si>
    <t>BAT54S-7-F</t>
  </si>
  <si>
    <t>CD74HC4052PWR TSSOP-16 Analog Switches / Multiplexers ROHS</t>
  </si>
  <si>
    <t>CD74HC4052PWR</t>
  </si>
  <si>
    <t>LM321 SOT-23-5 GENERAL PURPOSE AMPLIFIERS ROHS</t>
  </si>
  <si>
    <t>LM321LVIDBVR</t>
  </si>
  <si>
    <t>XH-8A 2.54 Pitch=2.54</t>
  </si>
  <si>
    <t>XHB-8A 2.54</t>
  </si>
  <si>
    <t>160V 8A 6 Straight pin 1 3.81mm Green Board Edge/Receptacle P=3.81mm Pluggable System Terminal Block ROHS</t>
  </si>
  <si>
    <t>XH-4A 2.54</t>
  </si>
  <si>
    <t>160V 8A 4 Straight pin 1 3.81mm Green Board Edge/Receptacle-闭口 P=3.81mm Pluggable System Terminal Block ROHS</t>
  </si>
  <si>
    <t>120Ω @ 100MHZ 4A 1 80MΩ 1812 FERRITE BEADS ROHS</t>
  </si>
  <si>
    <t>CBW453215U121T</t>
  </si>
  <si>
    <t>742792511</t>
  </si>
  <si>
    <t>220OHM ±1% 1/4W Thick Film Resistors 200V ±100ppm/℃ -55℃~+155℃ 220Ω 1206 Chip Resistor - Surface Mount ROHS</t>
  </si>
  <si>
    <t>1206W4F2200T5E</t>
  </si>
  <si>
    <t>NO 50mA 6mm 100mΩ 50000 260gf 12V -30℃~+85℃ 3.6mm 2.5mm White Rectangle button Brick nogging SPST SMD Tactile Switches ROH</t>
  </si>
  <si>
    <t>TS-1101-C-W</t>
  </si>
  <si>
    <t>SN74AHC1G08DCKR</t>
  </si>
  <si>
    <t>LED, 5MM, GREEN, 4.2MCD, 569NM</t>
  </si>
  <si>
    <t>HLMP-3507</t>
  </si>
  <si>
    <t>LTL-4233</t>
  </si>
  <si>
    <t>Photoelectric Accessories LED 3mm Spacer Support 4.2*5mm</t>
  </si>
  <si>
    <t>LEDEW-5</t>
  </si>
  <si>
    <t>HFD27/012-S General Purpose 12VDC DPDT 2A Non Latching Through Hole Power Relays ROHS</t>
  </si>
  <si>
    <t>HFD27/012-S</t>
  </si>
  <si>
    <t>ULTRA-FAST 250 ASY REC 16-14 AWG TPB</t>
  </si>
  <si>
    <t>3-520116-2</t>
  </si>
  <si>
    <t>FLDNY2-250A</t>
  </si>
  <si>
    <t xml:space="preserve">Dây màu đỏ, đường kích ngoài 2.5mm, ruột gồm 7 sợ xoắn </t>
  </si>
  <si>
    <t>CV2.5(7/0.67)</t>
  </si>
  <si>
    <t>Dây điện cadivi 7 sợ nhỏ màu đỏ 2.5mm dài 8CM</t>
  </si>
  <si>
    <t>Domino 20A 4pin (Relay)</t>
  </si>
  <si>
    <t>HYT-204</t>
  </si>
  <si>
    <t>Dây bus 8 cắm tín hiệu Module Relay
(Dây bus 8 wire XH 2.54mm dài 20cm (IPMS_2AC))</t>
  </si>
  <si>
    <t>XHB 2.54 , 8wire, 20cm</t>
  </si>
  <si>
    <t>Dây bus 4 cắm tín hiệu sensor Module Relay
(Dây bus 4 wire XH 2.54mm dài 15cm (IPMS_4AC))</t>
  </si>
  <si>
    <t>XHB 2.54 , 4wire, 15cm</t>
  </si>
  <si>
    <t>XH 2.54 , 4wire, 15cm</t>
  </si>
  <si>
    <t>Vít M3x6 bắt board, trắng đầu bằng</t>
  </si>
  <si>
    <t xml:space="preserve">Vít M3x6 </t>
  </si>
  <si>
    <t>M3 dài 6mm, Inox</t>
  </si>
  <si>
    <t>Vít M3x10 trắng đầu bằng</t>
  </si>
  <si>
    <t>Vít M3x10</t>
  </si>
  <si>
    <t>clip kẹp dây ST</t>
  </si>
  <si>
    <t>ST-4917</t>
  </si>
  <si>
    <t>SV2-4 Đầu Cosse Chữ Y Có Vỏ Dây 16-14AWG Vít M4 Màu Đỏ</t>
  </si>
  <si>
    <t>SV2-4 Red</t>
  </si>
  <si>
    <t>Dây rút nhực màu đen 4x150mm (sợ)</t>
  </si>
  <si>
    <t>K-300I-B</t>
  </si>
  <si>
    <t>P-channel HEXFET</t>
  </si>
  <si>
    <t>IRF4435TR</t>
  </si>
  <si>
    <t>CONN HEADER VERT 5POS 2.54MM</t>
  </si>
  <si>
    <t>160V 8A 4 Straight pin 1 3.81mm Green Board Edge/Receptacle P=3.81mm Pluggable System Terminal Block ROHS</t>
  </si>
  <si>
    <t>1803442</t>
  </si>
  <si>
    <t>470kΩ 0805 Chip Resistor - Surface Mount ROHS ±1% 125mW Thick Film Resistors 150V ±100ppm/℃ -55℃~+155℃</t>
  </si>
  <si>
    <t>0805W8F4703T5E</t>
  </si>
  <si>
    <t>CONN RCPT 40POS 2.54mm GOLD PCB</t>
  </si>
  <si>
    <t>7-534206-0</t>
  </si>
  <si>
    <t>TERM BLOCK PLUG 5POS STR 3.81MM</t>
  </si>
  <si>
    <t>Dây nguồn và UART cho OPI</t>
  </si>
  <si>
    <t>Cable KF2510 5P</t>
  </si>
  <si>
    <t>KF2510 5P, 15cm</t>
  </si>
  <si>
    <t>Metal Film Resistors 10kΩ ±1% 500mW ±50ppm/℃ Axial Leaded Through Hole Resistors ROHS</t>
  </si>
  <si>
    <t>RN1/2W10KΩFT/BA1</t>
  </si>
  <si>
    <t>Metal Film Resistors 470kΩ ±1% 500mW ±100ppm/℃ Axial Leaded Through Hole Resistors ROHS</t>
  </si>
  <si>
    <t>RN1/2W470KΩFT/BA1</t>
  </si>
  <si>
    <t>Orange pi PC plus 2E</t>
  </si>
  <si>
    <t>Orange Pi Plus 2E ARM Cortex A7, RAM 2GB DDR3</t>
  </si>
  <si>
    <t>Orange pi pc plus 2E</t>
  </si>
  <si>
    <t>Nguồn Meanwell 48-12V 2.1A SD-25C-12</t>
  </si>
  <si>
    <t>SD-25C-12</t>
  </si>
  <si>
    <t>SD25C-12</t>
  </si>
  <si>
    <t>Dây bus 8 wire XH 2.54mm dài 30cm (IPMS_4AC)</t>
  </si>
  <si>
    <t>XHB 2.54 , 8wire, 30cm</t>
  </si>
  <si>
    <t>Vít GB819 M3 x 5mm</t>
  </si>
  <si>
    <t>GB819 M3 x 5mm màu đen đầu bằng</t>
  </si>
  <si>
    <t>TỦ ĐIỆN IPMS_2.3_2AC SPCC 1.0*80*200*300</t>
  </si>
  <si>
    <t xml:space="preserve">IPMS 2.3 _2AC     </t>
  </si>
  <si>
    <t>Dây tín hiệu 24AWG không shield 3 lỏi dài 3mét</t>
  </si>
  <si>
    <t>Dây tín hiệu 24AWG</t>
  </si>
  <si>
    <t>Cable XHB2.54 8P 30cm 22AWG Double head color electronic</t>
  </si>
  <si>
    <t>WB8F-L30P2.54</t>
  </si>
  <si>
    <t>PCB RS485</t>
  </si>
  <si>
    <t>Mach RS485_HUB</t>
  </si>
  <si>
    <t>PCB Slave board EACC</t>
  </si>
  <si>
    <t>Slave Board EACC</t>
  </si>
  <si>
    <t>PCB Module LCD</t>
  </si>
  <si>
    <t>Module LCD</t>
  </si>
  <si>
    <t>PCB Module Relay</t>
  </si>
  <si>
    <t>Module Relay</t>
  </si>
  <si>
    <t>PCB Slave board IPMS</t>
  </si>
  <si>
    <t>Slave Board IPMS</t>
  </si>
  <si>
    <t>PCB Humidity sensor</t>
  </si>
  <si>
    <t>IPMS 2.3 Humidity Sensor</t>
  </si>
  <si>
    <t>PCB Shiled OPI_Plus_2E</t>
  </si>
  <si>
    <t>PCB OPI PLUS 2E</t>
  </si>
  <si>
    <t>Shiled OPI_Plus_2E</t>
  </si>
  <si>
    <t>Vít M4x10 trắng đầu bằng</t>
  </si>
  <si>
    <t>Vít M4x10</t>
  </si>
  <si>
    <t>Tem tủ được cấp nguồn AC 220V</t>
  </si>
  <si>
    <t>Tem tủ được cấp nguồn DC 48V</t>
  </si>
  <si>
    <t>Tem tủ điều khiển cấp điện ngược về CB dự phòng</t>
  </si>
  <si>
    <t>Tem dán trên miếng ở domino block 20A</t>
  </si>
  <si>
    <t>Tem CB nhiệt độ 1,2,3</t>
  </si>
  <si>
    <t xml:space="preserve">Tem nhãn cảm biến sơ đồ đấu còi báo động </t>
  </si>
  <si>
    <t>Tem dán ở nắp che relay</t>
  </si>
  <si>
    <t>Tem CB độ ẩm, báo ngập, mở cửa, báo cháy,báo khói,nhiệt độ 1, nhiệt độ 2</t>
  </si>
  <si>
    <t>Tem sơ đồ đấu dây cảm biến EACC</t>
  </si>
  <si>
    <t>1.in nhãn KT 114,88x140,36mm</t>
  </si>
  <si>
    <t>Tem sơ đồ đấu dây cảm biến IPMS</t>
  </si>
  <si>
    <t>Tem EACC AC220V-DC12V</t>
  </si>
  <si>
    <t>2.in nhãn KT 50x20</t>
  </si>
  <si>
    <t>Tem IPMS 12V-48V</t>
  </si>
  <si>
    <t>LCD12864B-V2.0 128x64 DOTS, Graphic LCD module, White/ Blue, 5V Parallel / SPI Driver ST7290/ST7291</t>
  </si>
  <si>
    <t>YX12864B</t>
  </si>
  <si>
    <t>470uF 10.2mm 25V 10mm ±20% SMD,D10xL10.2mm  Aluminum Electrolytic Capacitors - SMD ROHS</t>
  </si>
  <si>
    <t>RVT1E471M1010</t>
  </si>
  <si>
    <t>100uF 7.7mm 25V 6.3mm ±20% SMD,D6.3xL7.7mm Aluminum Electrolytic Capacitors - SMD ROHS</t>
  </si>
  <si>
    <t>RVT1E101M0607</t>
  </si>
  <si>
    <t>LED Red 0603 Light Emitting Diodes (LED) ROHS</t>
  </si>
  <si>
    <t>FC-DA1608HRK-620D</t>
  </si>
  <si>
    <t>SCHOTTKY BARRIER DIODES (SBD) SOD-123 ROHS</t>
  </si>
  <si>
    <t>BLM31PG330SN1L Ferrite 6A 1 9mΩ ±25% 33Ω@100MHz 1206 Ferrite Beads ROHS</t>
  </si>
  <si>
    <t>BLM31PG330SN1L</t>
  </si>
  <si>
    <t>120kΩ 0603  100mW ±5% -55℃~+155℃</t>
  </si>
  <si>
    <t>RC0603JR-07120KL</t>
  </si>
  <si>
    <t>1R 1206 1OHM 250mW Thick Film Resistors 200V ±1% ±800ppm/℃ -55℃~+155℃ 1Ω 1206 Chip Resistor - Surface Mount ROHS</t>
  </si>
  <si>
    <t>1206W4F100KT5E</t>
  </si>
  <si>
    <t>RC1206FR-071RL</t>
  </si>
  <si>
    <t>PAM8620TR QFN-32-EP(5x5)  Audio Power OpAmps ROHS</t>
  </si>
  <si>
    <t>PAM8620TR</t>
  </si>
  <si>
    <t>20KB 64K@x8bit 2V~3.6V -40℃~+85℃ STM32F103C8T6 ARM Cortex-M3 1@x10ch/12bit Internal oscillator included 72MHz 37 LQFP-48_7x7x05P Microcontroller Units (MCUs/MPUs/SOCs) ROHS</t>
  </si>
  <si>
    <t>STM32F103C8T6</t>
  </si>
  <si>
    <t>DRV8870DDAR HSOP-8 Motor Driver ICs ROHS</t>
  </si>
  <si>
    <t>DRV8870DDAR</t>
  </si>
  <si>
    <t>PCB ROOF Security System 1.0</t>
  </si>
  <si>
    <t>1KOHMS ±5% 1/16W 0603_X4 ROHS</t>
  </si>
  <si>
    <t>4D03WGJ0102T5E</t>
  </si>
  <si>
    <t>6A 1 20mΩ 100Ω@100MHz ±25% 1812  Ferrite Beads ROHS</t>
  </si>
  <si>
    <t>CBM453215U101T</t>
  </si>
  <si>
    <t>8.2nF 50V 0603 ROHS</t>
  </si>
  <si>
    <t>CL10B822KB8NNNC</t>
  </si>
  <si>
    <t>10KOHMS ±5% 1/16W 0603_X4 ROHS</t>
  </si>
  <si>
    <t>4D03WGJ0103T5E</t>
  </si>
  <si>
    <t>74 SERIES SHIFT REGISTER 1 2V ~ 6V SOIC-16_150MIL ROHS</t>
  </si>
  <si>
    <t>74HC165D,653</t>
  </si>
  <si>
    <t>100KOHMS ±1% 1/8W 0805 ROHS</t>
  </si>
  <si>
    <t>AC0805FR-07100KL</t>
  </si>
  <si>
    <t>330OHMS ±5% 1/16W 0603_X4 ROHS</t>
  </si>
  <si>
    <t>4D03WGJ0331T5E</t>
  </si>
  <si>
    <t>FastBlow 50A SMD Fuse（with Holder） 4A 3.152 SMD Fuses ROHS</t>
  </si>
  <si>
    <t>0154004.DRL</t>
  </si>
  <si>
    <t>GDT_4532-091-LF 2kA 0.5pF 90V 2 1812  Gas Discharge Tube (GDT) ROHS</t>
  </si>
  <si>
    <t>4532-091-LF</t>
  </si>
  <si>
    <t>LIGHT EMITTING DIODES (LED) GREEN 520~535NM 112~258MCD@20MA TOP VIEW 0603 ROHS</t>
  </si>
  <si>
    <t>19-217/GHC-YR1S2/3T</t>
  </si>
  <si>
    <t>LM324 0.4 V/us 4 1.3MHz 3V ~ 32V, ±1.5V ~ 16V 1.5mA General Purpose SOIC-14_150mil  Operational Amplifier ROHS</t>
  </si>
  <si>
    <t>LM324DT</t>
  </si>
  <si>
    <t>MOSFET N TRENCH 100V 1.6A 2.5V @ 25UA 220 M? @ 1.6A,10V SOT-23(SOT-23-3) ROHS</t>
  </si>
  <si>
    <t>IRLML0100TRPBF</t>
  </si>
  <si>
    <t>PTC 0805 500mA RESETTABLE FUSES 0805 ROHS</t>
  </si>
  <si>
    <t>SMD0805-050</t>
  </si>
  <si>
    <t>SOIC-8_150mil Current Sensors ROHS</t>
  </si>
  <si>
    <t>ACS712ELCTR-05B-T</t>
  </si>
  <si>
    <t>STM32F303VCT6 40KB 256K@x8bit 2V~3.6V -40℃~+85℃ ARM Cortex-M4</t>
  </si>
  <si>
    <t>STM32F303VCT6</t>
  </si>
  <si>
    <t>THVD1550DR R485 transceiver 4.5V~5.5V 50Mbps 1/1 SOIC-8_150mil  RS-485/RS-422 ICs ROHS</t>
  </si>
  <si>
    <t>THVD1550DR</t>
  </si>
  <si>
    <t>TLP293-4 TRANSISTOROPTOCOUPLERS 4 3750VRMS SO-16 OPTOCOUPLERS ROHS</t>
  </si>
  <si>
    <t>TLP293-4(GB,E）</t>
  </si>
  <si>
    <t>TLP293-4(GB-TP,E(T</t>
  </si>
  <si>
    <t>TPS259260D eFuse 12V latching</t>
  </si>
  <si>
    <t>TPS259260DRCR</t>
  </si>
  <si>
    <t>ZENER DIODES 12V  SOD-123 ROHS</t>
  </si>
  <si>
    <t>BZT52C12-13-F</t>
  </si>
  <si>
    <t>Mạch in 2 layer 1.6mm 198*104mm HASL 1 oz SLAVE BAORD OPMS V1.5</t>
  </si>
  <si>
    <t>PCB OPMS Slave Board 1.6</t>
  </si>
  <si>
    <t>Mạch in 2 layer 1.6mm 79.25*62mm HASL 1 oz POWER SWITCH OPMS 1.6</t>
  </si>
  <si>
    <t>PCB OPMS PSU 1.6</t>
  </si>
  <si>
    <t>50V 22pF NP0 ±5% 0603 Multilayer Ceramic Capacitors MLCC - SMD/SMT ROHS</t>
  </si>
  <si>
    <t>0603N220J500</t>
  </si>
  <si>
    <t>ESD ROHS SOT23-6 DIODES</t>
  </si>
  <si>
    <t>TPUSBLC6-2SC6</t>
  </si>
  <si>
    <t>PTC 0805 125mA RESETTABLE FUSES 0805 ROHS</t>
  </si>
  <si>
    <t>SMD0805-125</t>
  </si>
  <si>
    <t>100mW ±5% 4.7kΩ 0603 Chip Resistor - Surface Mount ROHS</t>
  </si>
  <si>
    <t>RMC06034K7JN</t>
  </si>
  <si>
    <t>4.7K OHMS ±1% 1/10W 0603 ROHS</t>
  </si>
  <si>
    <t>0603WAD4701T5E</t>
  </si>
  <si>
    <t>Mạch in 2 layer 1.6mm 57*103.7mm HASL 1 oz RS232 Console OPMS V1.5</t>
  </si>
  <si>
    <t>PCB USB RS232 Console V1.6</t>
  </si>
  <si>
    <t>LOW DROPOUT REGULATORS(LDO) POSITIVE FIXED 500MV @ 150MA 10V 3.3V 150MA SOT-23-5 ROHS</t>
  </si>
  <si>
    <t>TPS76333DBVR</t>
  </si>
  <si>
    <t>HUMIDITY, TEMPERATURE ANALOG VOLTAGE 0 ~ 100% RH ±3% RH DFN_8 TEMPERATURE &amp; HUMIDITY SENSORS ROHS</t>
  </si>
  <si>
    <t>SHT30-ARP-B</t>
  </si>
  <si>
    <t>Unidirectional 5V 6.4V 9.2V 43.5A SOD-123W TVS RoHS</t>
  </si>
  <si>
    <t>PTVS5V0S1UR,115</t>
  </si>
  <si>
    <t>Mạch in 2 layer 1.0mm 60*68.85mm HASL 1 oz Cảm Biến Độ Ẩm OPMS V1.5</t>
  </si>
  <si>
    <t>PCB  OPMS Humidity 1.6</t>
  </si>
  <si>
    <t>Dây nguồn VH3.96 bấm cos chữ Y một đầu</t>
  </si>
  <si>
    <t>Cable VH3.96 60cm</t>
  </si>
  <si>
    <t>Dây tín hiệu Module LCD</t>
  </si>
  <si>
    <t>IDC 20P, 20cm , 2.54</t>
  </si>
  <si>
    <t>XHB 2.54 , 4wire, 15cm ĐẦU COS BẰNG</t>
  </si>
  <si>
    <t>Dây rút nhực màu đen 4x300mm (sợ)</t>
  </si>
  <si>
    <t>Dây rút nhực màu đen 4x300mm</t>
  </si>
  <si>
    <t>RJ45 12 1 Green - Yellow Through Hole Ethernet Connectors/Modular Connectors (RJ45 RJ11) RoHS</t>
  </si>
  <si>
    <t>HR911105A</t>
  </si>
  <si>
    <t>B4B-XH-A(LF)(SN)</t>
  </si>
  <si>
    <t>160V 8A 3 Straight pin 1 3.81mm Green Board Edge/Receptacle P=3.81mm Pluggable System Terminal Block ROHS</t>
  </si>
  <si>
    <t>691321300003</t>
  </si>
  <si>
    <t>HF32F-G/005-HS AgCdO 5V 10A Normal Open:1A(SPST-Normal Open)</t>
  </si>
  <si>
    <t>HF32F-G/005-HS</t>
  </si>
  <si>
    <t>HF32FV-G/5-HSLTF(590)</t>
  </si>
  <si>
    <t>NanoPi NEO Core 512MB Allwinner H3, Quad-core Cortex-A7</t>
  </si>
  <si>
    <t>Nano Pi Neo Core</t>
  </si>
  <si>
    <t>Dây nguồn VH3.96 bấm cos chữ Y một đầu dài 60CM</t>
  </si>
  <si>
    <t>VCM0.75DOCDV</t>
  </si>
  <si>
    <t>VCM0.75DCDC</t>
  </si>
  <si>
    <t>Đầu cos pin rỗng 0.5mm đen</t>
  </si>
  <si>
    <t>E0508 Black</t>
  </si>
  <si>
    <t>Cos pin rỗng 0.5 màu đỏ</t>
  </si>
  <si>
    <t>Đầu cos chĩa 2.0mm màu đỏ</t>
  </si>
  <si>
    <t>Ôc  3x6</t>
  </si>
  <si>
    <t>Dây rút nhựa màu đen 4x150mm (sợ) 150mm</t>
  </si>
  <si>
    <t>K-150I-B</t>
  </si>
  <si>
    <t>Đầu cắm terminal block 3.81 4pin</t>
  </si>
  <si>
    <t>691361300004</t>
  </si>
  <si>
    <t>Đầu cắm terminal block 3.81 3pin</t>
  </si>
  <si>
    <t>691361300003</t>
  </si>
  <si>
    <t>Tủ điện RSS 1.0</t>
  </si>
  <si>
    <t>4 Position Terminal Block Header, Male Pins, Shrouded (4 Side) 0.150" (3.81mm) 90°, Right Angle Through Hole</t>
  </si>
  <si>
    <t>691327310004</t>
  </si>
  <si>
    <t>6 Position Terminal Block Header, Male Pins, Shrouded (4 Side) 0.150" (3.81mm) 90°, Right Angle  Through Hole</t>
  </si>
  <si>
    <t>691327310006</t>
  </si>
  <si>
    <t>8 Position Terminal Block Header, Male Pins, Shrouded (4 Side) 0.150" (3.81mm) 90°, Right Angle  Through Hole</t>
  </si>
  <si>
    <t>691327310008</t>
  </si>
  <si>
    <t>CONN HEADER VERT 3POS 2.54MM</t>
  </si>
  <si>
    <t>Connector FASTON 6.3mm</t>
  </si>
  <si>
    <t>1217136-1</t>
  </si>
  <si>
    <t>PCS250LT</t>
  </si>
  <si>
    <t>Connector Header Through Hole 3 position 0.156" (3.96mm)</t>
  </si>
  <si>
    <t>B3P-VH(LF)(SN)</t>
  </si>
  <si>
    <t>Connector Header Through Hole 4 position 0.156" (3.96mm)</t>
  </si>
  <si>
    <t>B4P-VH(LF)(SN)</t>
  </si>
  <si>
    <t>General Purpose Relays DPDT 12VDC Class F Flux Protect GP Type</t>
  </si>
  <si>
    <t>HF115F/012-2ZS4A</t>
  </si>
  <si>
    <t>IRF540N 100V 33A 44mΩ@10V,16A 130W 4V@250uA N Channel TO-220(TO-220-3)  MOSFETs ROHS</t>
  </si>
  <si>
    <t>IRF540NPBF</t>
  </si>
  <si>
    <t>Jack Modular Connector 8p8c (RJ45, Ethernet) 90° Angle (Right) Shielded Cat5</t>
  </si>
  <si>
    <t>R-RJ45R08P-2007</t>
  </si>
  <si>
    <t>LED 3HI 3MM LOW CUR GREEN</t>
  </si>
  <si>
    <t>L-H339005B-HTS</t>
  </si>
  <si>
    <t>RXEF110K 72V 1.1A 40A 1.5W -40℃~+85℃ 2.2A 0.15Ω 8.2s 0.38Ω Radial Leaded  Resettable Fuses ROHS</t>
  </si>
  <si>
    <t>A72-110</t>
  </si>
  <si>
    <t>DIODE ARRAY SCHOTTKY 100V TO220</t>
  </si>
  <si>
    <t>SDT40A100CT</t>
  </si>
  <si>
    <t>Through Hole PTC Resettable Fuses RoHS</t>
  </si>
  <si>
    <t>RXEF075-2</t>
  </si>
  <si>
    <t>TERM BLOCK HDR 4POS 90DEG 5.08MM</t>
  </si>
  <si>
    <t>691317510004</t>
  </si>
  <si>
    <t>Common Mode Chokes / Filters 20MH 600MA 2LN TH</t>
  </si>
  <si>
    <t>7414-RC</t>
  </si>
  <si>
    <t>Double-Pole, Single-Throw Switch</t>
  </si>
  <si>
    <t>6A 250V Rocker Switch</t>
  </si>
  <si>
    <t>RJ45 2x3 Jack Modular Connector 8p8c (RJ45, Ethernet) 90° Angle (Right) Shielded Cat5</t>
  </si>
  <si>
    <t>5569256-1</t>
  </si>
  <si>
    <t>Vỏ cảm biến độ ẩm Dài 99.5mm, đường kính 16mm</t>
  </si>
  <si>
    <t>Humidity sensor housing</t>
  </si>
  <si>
    <t>Đầu nối terminal 3.81 4pin Male Phoenix 1857906</t>
  </si>
  <si>
    <t>691348300004</t>
  </si>
  <si>
    <t>Dây 20AVG màu Đỏ dài 75cm</t>
  </si>
  <si>
    <t>VCM0.5DOCDV</t>
  </si>
  <si>
    <t>Dây 20AVG màu Vàng dài 75cm</t>
  </si>
  <si>
    <t>VCM0.5VACDV</t>
  </si>
  <si>
    <t>Dây 20AVG màu Xanh dương dài 75cm</t>
  </si>
  <si>
    <t>VCM0.5XACDV</t>
  </si>
  <si>
    <t>Dây 20AVG màu Đen dài 75cm</t>
  </si>
  <si>
    <t>VCM0.5DECDV</t>
  </si>
  <si>
    <t>Đầu cắm Faston nằm ngang 6.3mm TE 3-520133-2</t>
  </si>
  <si>
    <t>3-520133-2</t>
  </si>
  <si>
    <t>FLDNY5-250</t>
  </si>
  <si>
    <t>Dây điện cadivi đơn màu đỏ 2.5mm dài 8cm màu đỏ</t>
  </si>
  <si>
    <t>CV2.5DOCADIVI</t>
  </si>
  <si>
    <t>Dây điện cadivi đơn màu đỏ 2.0mm dài 8cm màu đỏ</t>
  </si>
  <si>
    <t>CV2.0DOCDV</t>
  </si>
  <si>
    <t>Cảm Đo dòng AC, đầu jack cắm XH 2.54, dài 5cm, ZMCT103U</t>
  </si>
  <si>
    <t>ZMCT103U</t>
  </si>
  <si>
    <t>Dây Cáp IDC Cái-Cái Cùng Hướng 40 Tiếp Điểm 2.54mm Dài 15cm</t>
  </si>
  <si>
    <t>63914015521CAB</t>
  </si>
  <si>
    <t>CONN RCPT 40POS IDC 28AWG GOLD</t>
  </si>
  <si>
    <t>Cáp USB Type A Đực Nối Type B Màu Đen Dài 30cm</t>
  </si>
  <si>
    <t>ST-USB20-AB002</t>
  </si>
  <si>
    <t>Đầu VH-4Y Cái 3.96mm 4 Chân 1 Hàng Nối Dây</t>
  </si>
  <si>
    <t>Đầu VH-4Y 3.96mm 4P</t>
  </si>
  <si>
    <t>Dây tín hiệu 24AWG không shield Độ dài 6 mét (2 lõi)</t>
  </si>
  <si>
    <t>signal cable 24AWG/ 2 core</t>
  </si>
  <si>
    <t>Dây tín hiệu 24AWG có shield Độ dài 3 mét (2 lõi)</t>
  </si>
  <si>
    <t>CABLE 24AWG SHIELD 2 CORE</t>
  </si>
  <si>
    <t>Đầu cắm terminal block 3.81 2pin</t>
  </si>
  <si>
    <t>691361300002</t>
  </si>
  <si>
    <t>Đầu cắm terminal block 5.08 4pin có vít cố định</t>
  </si>
  <si>
    <t>691340500004</t>
  </si>
  <si>
    <t>Đầu cos pin rổng 1.5mm đen</t>
  </si>
  <si>
    <t>E1508 black</t>
  </si>
  <si>
    <t>Núm cao su chống bụi cho cổng RJ45/LAN màu đen</t>
  </si>
  <si>
    <t>Núm cao su</t>
  </si>
  <si>
    <t>Vít M3x6mm đầu bằng màu đen</t>
  </si>
  <si>
    <t>SCREW M3X6 B BLACK</t>
  </si>
  <si>
    <t>Vít M4x6mm đầu dù màu đen</t>
  </si>
  <si>
    <t>SCREW M4X6 D BLACK</t>
  </si>
  <si>
    <t>Vít M4x7mm đầu dù màu trắng</t>
  </si>
  <si>
    <t>SCREW M4X6 D WHITE</t>
  </si>
  <si>
    <t>Giấy hướng dẫn lắp đặt in màu ép nhựa OPMS V1.5 - KH FPT</t>
  </si>
  <si>
    <t>HDLĐ OPMS V1.6</t>
  </si>
  <si>
    <t>Module nguồn 48V sang 30W PSD-30C-12, Meanwell</t>
  </si>
  <si>
    <t>PSD-30C-12</t>
  </si>
  <si>
    <t>Ốc vuông M6 lắp tủ Rack, tủ mạng(ốc dù+tán cái)</t>
  </si>
  <si>
    <t>Ốc vuông M6</t>
  </si>
  <si>
    <t>IC PWR SWITCH 1:1 12WLCSP</t>
  </si>
  <si>
    <t>NX5P3090UKZ</t>
  </si>
  <si>
    <t>RES 10K 0805 1/8W 1% T/R-5000</t>
  </si>
  <si>
    <t>0805W8F1002T5E</t>
  </si>
  <si>
    <t>PCBA Test</t>
  </si>
  <si>
    <t>FDD2-205 Đầu Cosse Tab Cái 5.2x0.5mm Cỡ Dây 22-16AWG Mạ Thiếc Màu Xanh Dương</t>
  </si>
  <si>
    <t>FDFD2-205</t>
  </si>
  <si>
    <t>Quạt sanyo</t>
  </si>
  <si>
    <t>AGB04028B12M-SIS</t>
  </si>
  <si>
    <t>160V 8A 2 Straight pin 1 3.81mm Green Board Edge/Receptacle P=3.81mm Pluggable System Terminal Block ROHS</t>
  </si>
  <si>
    <t>UL-3.81-3-V Terminal Block Plug-in Hàn PCB 3 Chân Thẳng 3.81mm 300V 10A ULO 300V 10A (thegioiic.com)</t>
  </si>
  <si>
    <t>UL-3.81-3-V</t>
  </si>
  <si>
    <t>UL-3.81-4-V Terminal Block Plug-in Hàn PCB 4 Chân Thẳng 3.81mm 300V 10A ULO 300V 10A (thegioiic.com)</t>
  </si>
  <si>
    <t>UL-3.81-4-V</t>
  </si>
  <si>
    <t>UL-3.81-5-V Terminal Block Plug-in Hàn PCB 5 Chân Thẳng 3.81mm 300V 10A ULO 300V 10A (thegioiic.com)</t>
  </si>
  <si>
    <t>UL-3.81-5-V</t>
  </si>
  <si>
    <t xml:space="preserve">  Ics LQFP-48 7x7 USB ROHS</t>
  </si>
  <si>
    <t>CH348Q</t>
  </si>
  <si>
    <t>T5-Z11</t>
  </si>
  <si>
    <t>KTP-T4</t>
  </si>
  <si>
    <t>KTP-T4-Z1</t>
  </si>
  <si>
    <t>T5-Z10</t>
  </si>
  <si>
    <t>T5-Z7</t>
  </si>
  <si>
    <t>KTP-T3</t>
  </si>
  <si>
    <t>KTP-T4-Z4</t>
  </si>
  <si>
    <t>KTP-T4-Z2</t>
  </si>
  <si>
    <t>KTP-T2</t>
  </si>
  <si>
    <t>KTP-T3-Z1</t>
  </si>
  <si>
    <t>T5-Z1</t>
  </si>
  <si>
    <t>1000pcs LK rớt khỏi reel</t>
  </si>
  <si>
    <t xml:space="preserve">Mua sai </t>
  </si>
  <si>
    <t>T5</t>
  </si>
  <si>
    <t>T5-Z3</t>
  </si>
  <si>
    <t>T5-Z9</t>
  </si>
  <si>
    <t>KHO 3-T6</t>
  </si>
  <si>
    <t>95pcs đỏ sẩm,còn lại đỏ tươi</t>
  </si>
  <si>
    <t>KHO 3</t>
  </si>
  <si>
    <t>SD VTTH</t>
  </si>
  <si>
    <t>T5-Z8</t>
  </si>
  <si>
    <t>KHO TP-THÙNG GIẤY</t>
  </si>
  <si>
    <t>T5-Z5</t>
  </si>
  <si>
    <t>T5-Z4</t>
  </si>
  <si>
    <t>Kho 3</t>
  </si>
  <si>
    <t>Sai không sd</t>
  </si>
  <si>
    <t>T5-Z6</t>
  </si>
  <si>
    <t>sửa tinker</t>
  </si>
  <si>
    <t>Đực</t>
  </si>
  <si>
    <t>FPT</t>
  </si>
  <si>
    <t>7GHz General Purpose Ceramic Patch RF Antenna 6.2GHz ~ 7.8GHz 3.8dBi Solder Surface Mount</t>
  </si>
  <si>
    <t>7000AT18A1600E-AEC</t>
  </si>
  <si>
    <t>2.4GHz - Chip RF Antenna 2.4GHz ~ 2.5GHz 0.5dBi Solder Surface Mount</t>
  </si>
  <si>
    <t>1 pF ±0.1pF 50V Ceramic Capacitor C0G, NP0 0402 (1005 Metric)</t>
  </si>
  <si>
    <t>500R07S1R0BV4T</t>
  </si>
  <si>
    <t>CAP CER 47PF 50V C0G/NPO 0402</t>
  </si>
  <si>
    <t>CC0402JRNPO9BN470</t>
  </si>
  <si>
    <t>CAP CER 22PF 50V C0G/NPO 0402</t>
  </si>
  <si>
    <t>CC0402FRNPO9BN220</t>
  </si>
  <si>
    <t>2.7 nH Unshielded Multilayer Inductor 300 mA 170mOhm Max 0402 (1005 Metric)</t>
  </si>
  <si>
    <t>4.7 µH Shielded Multilayer Inductor 620 mA 550mOhm Max 0603 (1608 Metric)</t>
  </si>
  <si>
    <t>LQM18PN4R7MFRL</t>
  </si>
  <si>
    <t>100 kOhms ±1% 0.1W, 1/10W Chip Resistor 0603 (1608 Metric) Automotive AEC-Q200, Moisture Resistant Thick Film</t>
  </si>
  <si>
    <t>AC0603FR-07100KL</t>
  </si>
  <si>
    <t>50 Ohms ±5% 0.063W, 1/16W Chip Resistor 0402 (1005 Metric) Moisture Resistant Thick Film</t>
  </si>
  <si>
    <t>RC0402JR-0750RL</t>
  </si>
  <si>
    <t>220 Ohms ±1% 0.1W, 1/10W Chip Resistor 0603 (1608 Metric) Thin Film</t>
  </si>
  <si>
    <t>RT0603FRD07220RL</t>
  </si>
  <si>
    <t>IC TRANSLTR BIDIRECTIONAL 20USON</t>
  </si>
  <si>
    <t>TXB0108DQSR</t>
  </si>
  <si>
    <t>Linear Voltage Regulator IC Positive Fixed 1 Output 1A 8-XDFN (1.6x1.2)</t>
  </si>
  <si>
    <t>NCP186BMX180TAG</t>
  </si>
  <si>
    <t>Linear Voltage Regulator IC Positive Fixed 1 Output 300mA 5-TSOP</t>
  </si>
  <si>
    <t>NCP115ASN330T2G</t>
  </si>
  <si>
    <t>IC RF - - - - 40-VFQFN Exposed Pad</t>
  </si>
  <si>
    <t>QN9090HN/001Z</t>
  </si>
  <si>
    <t>CC0402KRX7R8BB104</t>
  </si>
  <si>
    <t>Green 571nm LED Indication - Discrete 2V 0603 (1608 Metric)</t>
  </si>
  <si>
    <t>LTST-C191KGKT</t>
  </si>
  <si>
    <t>Bipolar (BJT) Transistor NPN 45 V 100 mA 100MHz 300 mW Surface Mount SOT-23-3 (TO-236)</t>
  </si>
  <si>
    <t>BC847BLT3G</t>
  </si>
  <si>
    <t>RES 0 OHM JUMPER 1/16W 0402</t>
  </si>
  <si>
    <t>UWB + Bluetooth LE Combo Module with On-Board Antenna</t>
  </si>
  <si>
    <t>LBUA2ZZ2DK</t>
  </si>
  <si>
    <t>IC REG LINEAR 3.3V 500MA 6XDFN</t>
  </si>
  <si>
    <t>NCP176AMX330TCG</t>
  </si>
  <si>
    <t>2.2 µF ±10% 100V Ceramic Capacitor X7R 1206 (3216 Metric)</t>
  </si>
  <si>
    <t>12061C225KAT2A</t>
  </si>
  <si>
    <t>22 µF 100 V Aluminum Electrolytic Capacitors Radial, Can 2000 Hrs @ 85°C</t>
  </si>
  <si>
    <t>ESK226M100AE3AA</t>
  </si>
  <si>
    <t>10000 pF ±10% 25V Ceramic Capacitor X7R 0603 (1608 Metric)</t>
  </si>
  <si>
    <t>CL10B103KB8NCNC</t>
  </si>
  <si>
    <t>10000 pF ±10% 100V Ceramic Capacitor X7R 0805 (2012 Metric)</t>
  </si>
  <si>
    <t>HMK212B7103KG-T</t>
  </si>
  <si>
    <t>470 pF ±10% 100V Ceramic Capacitor X7R 0603 (1608 Metric)</t>
  </si>
  <si>
    <t>060CG471J101NT</t>
  </si>
  <si>
    <t>22 µF ±10% 25V Ceramic Capacitor X5R 1206 (3216 Metric)</t>
  </si>
  <si>
    <t>12063D226KAT2A</t>
  </si>
  <si>
    <t>1000 pF ±10% 2000V (2kV) Ceramic Capacitor X7R 1210 (3225 Metric)</t>
  </si>
  <si>
    <t>CC1210KKX7RDBB102</t>
  </si>
  <si>
    <t>220 µF 16 V Aluminum Electrolytic Capacitors Radial, Can - SMD 2000 Hrs @ 105°C</t>
  </si>
  <si>
    <t>865060345007</t>
  </si>
  <si>
    <t>Bridge Rectifier Single Phase Standard 1 kV Surface Mount DFS</t>
  </si>
  <si>
    <t>DF10S-E3/77</t>
  </si>
  <si>
    <t>TVS DIODE 58VWM 93.6VC SMA</t>
  </si>
  <si>
    <t>SMAJ58A-13-F</t>
  </si>
  <si>
    <t>Diode Standard 75 V 150mA Surface Mount SOD-323F</t>
  </si>
  <si>
    <t>Diode Standard 200 V 250mA (DC) Surface Mount SOD-323</t>
  </si>
  <si>
    <t>BAV21WS-E3-08</t>
  </si>
  <si>
    <t>Diode Super Barrier 60 V 8A Surface Mount PowerDI™ 5</t>
  </si>
  <si>
    <t>SBR8U60P5-13</t>
  </si>
  <si>
    <t>Red, Green, Blue (RGB) 619nm Red, 532nm Green, 473nm Blue LED Indication - Discrete 1.85V Red, 2.9V Green, 2.9V Blue 4-SMD, No Lead</t>
  </si>
  <si>
    <t>EASV2713RGBA1</t>
  </si>
  <si>
    <t>TVS DIODE 5VWM 20VC DFN1006D-2</t>
  </si>
  <si>
    <t>PESD5V0S1ULD,315</t>
  </si>
  <si>
    <t>600 Ohms @ 100 MHz 1 Power Line Ferrite Bead 0603 (1608 Metric) 900mA 170mOhm</t>
  </si>
  <si>
    <t>FBMH1608HM601-T</t>
  </si>
  <si>
    <t>CONN FPC VERT 12POS 1.00MM SMD</t>
  </si>
  <si>
    <t>BRASS SPACER STUD METRIC THREAD</t>
  </si>
  <si>
    <t>MOSFET N-CH 150V 5A/27A DPAK</t>
  </si>
  <si>
    <t>FDD86252</t>
  </si>
  <si>
    <t>MOSFET N-CH 20V 300MA SOT23-3</t>
  </si>
  <si>
    <t>DMN2005K-7</t>
  </si>
  <si>
    <t>28.7 Ohms ±1% 0.1W, 1/10W Chip Resistor 0603 (1608 Metric) Automotive AEC-Q200 Thick Film</t>
  </si>
  <si>
    <t>CRCW060328R7FKEA</t>
  </si>
  <si>
    <t>RES 22 OHM 5% 1/4W 1206</t>
  </si>
  <si>
    <t>10 Ohms ±1% 0.1W, 1/10W Chip Resistor 0603 (1608 Metric) Moisture Resistant Thick Film</t>
  </si>
  <si>
    <t>RC0603FR-0710RL</t>
  </si>
  <si>
    <t>3.3 kOhms ±1% 0.1W, 1/10W Chip Resistor 0603 (1608 Metric) Moisture Resistant Thick Film</t>
  </si>
  <si>
    <t>RC0603FR-073K3L</t>
  </si>
  <si>
    <t>13.7 kOhms ±1% 0.1W, 1/10W Chip Resistor 0603 (1608 Metric) Moisture Resistant Thick Film</t>
  </si>
  <si>
    <t>RC0603FR-0713K7L</t>
  </si>
  <si>
    <t>RES 100 OHM 5% 1/2W 1206</t>
  </si>
  <si>
    <t>RC1206JR-7W100RL</t>
  </si>
  <si>
    <t>RES 4.7K OHM 1% 1/10W 0603</t>
  </si>
  <si>
    <t>SWITCH TACTILE SPST-NO 0.05A 12V</t>
  </si>
  <si>
    <t>EVQ-P7L01P</t>
  </si>
  <si>
    <t>Power Over Ethernet (PoE) For For DC/DC Converters SMPS Transformer 1500Vrms Isolation Surface Mount</t>
  </si>
  <si>
    <t>GTB</t>
  </si>
  <si>
    <t>Gerber_Hit Box 3.3 - 2023 MainBoard_2022-12-19</t>
  </si>
  <si>
    <t>690 367 291 676</t>
  </si>
  <si>
    <t>Đầu nối chưa hoàn chỉnh  WR-MM FEMALE SMT CONNECTOR WITH '690367291676</t>
  </si>
  <si>
    <t>690 357 281 676</t>
  </si>
  <si>
    <t xml:space="preserve">Đầu nối chưa hoàn chỉnh  WR-MM MALE SMT CONNECTOR 690357281676 </t>
  </si>
  <si>
    <t>690 367 291 076</t>
  </si>
  <si>
    <t>Đầu nối chưa hoàn chỉnh WR-MM FEMALE SMT CONNECTOR WITH 690367291676</t>
  </si>
  <si>
    <t>690 357 281 076</t>
  </si>
  <si>
    <t>Đầu nối chưa hoàn chỉnh WR-MM FEMALE SMT CONNECTOR WITH 690 357 281 076</t>
  </si>
  <si>
    <t>690 367 281 076</t>
  </si>
  <si>
    <t>Đầu nối chưa hoàn chỉnh WR-MM FEMALE SMT CONNECTOR WITH 690 367 281 076</t>
  </si>
  <si>
    <t>7448640416</t>
  </si>
  <si>
    <t>CMC 18MH 500MA 2LN TH</t>
  </si>
  <si>
    <t>CONN JACK 1PORT 100 BASE-T SMD</t>
  </si>
  <si>
    <t>CAP TACTILE SQUARE RED</t>
  </si>
  <si>
    <t>HBX</t>
  </si>
  <si>
    <t>K2</t>
  </si>
  <si>
    <t>LED Chip Warm White 3000K 120mA 2-Pin SMD T/R</t>
  </si>
  <si>
    <t>LED Chip Neutral White 4000K 200mA 2-Pin SMD T/R</t>
  </si>
  <si>
    <t>LED CHIP CCT 4000K(3700-4200K) - rank E / N52, N54- Allbin</t>
  </si>
  <si>
    <t>STW7C2SB-NT-E1H1C100</t>
  </si>
  <si>
    <t>Green Color 3030 SMD LED</t>
  </si>
  <si>
    <t>3K</t>
  </si>
  <si>
    <t xml:space="preserve">
4KXuất a Toàn 5pcs 3/1/25</t>
  </si>
  <si>
    <t>4K
Xuất a Toàn 5pcs 3/1/25</t>
  </si>
  <si>
    <t>HBN</t>
  </si>
  <si>
    <t>Aluminum Electrolytic Capacitors - Radial Leaded 6.3V 470uF 85C 2k Hour Radial</t>
  </si>
  <si>
    <t>ESK477M6R3AE3AA</t>
  </si>
  <si>
    <t>RES 200K OHM 1% 1/8W 0805</t>
  </si>
  <si>
    <t>RC0805FR-07200KL</t>
  </si>
  <si>
    <t>1N4007 SMD (M7)</t>
  </si>
  <si>
    <t>1 Ohms ±2% 1W Through Hole Resistor Axial</t>
  </si>
  <si>
    <t>ROX1G1R0</t>
  </si>
  <si>
    <t>Bridge Rectifiers 0.5A Bridge</t>
  </si>
  <si>
    <t>MB6S</t>
  </si>
  <si>
    <t>Aluminum Electrolytic Capacitors - Radial Leaded 4.7uF 400V 20% tol ELECTROLYTIC</t>
  </si>
  <si>
    <t>475CKS400MFH</t>
  </si>
  <si>
    <t>CAP ALUM 22UF 20% 25V RADIAL</t>
  </si>
  <si>
    <t>ECA-1EM220</t>
  </si>
  <si>
    <t>IC THX208 SOP-8</t>
  </si>
  <si>
    <t>THX208</t>
  </si>
  <si>
    <t>1000 pF ±10% 400VAC Ceramic Capacitor Y5P (B) Radial</t>
  </si>
  <si>
    <t>C921U102KYYDBA7317</t>
  </si>
  <si>
    <t>470 pF ±10% 1000V (1kV) Ceramic Capacitor X5F Radial</t>
  </si>
  <si>
    <t>562R10TST47RE</t>
  </si>
  <si>
    <t>DIODE GEN PURP 1KV 1A SMA</t>
  </si>
  <si>
    <t xml:space="preserve">US1M-13-F </t>
  </si>
  <si>
    <t>Rectifiers 1000V 1A</t>
  </si>
  <si>
    <t>Transistor Output Optocouplers Optocoupler Phototrans</t>
  </si>
  <si>
    <t>LTV-817S</t>
  </si>
  <si>
    <t>BZT52C12 Series 500 mW 12 V 10 mA Surface Mount Zener Diode - SOD-123</t>
  </si>
  <si>
    <t>BZT52C12-7-F</t>
  </si>
  <si>
    <t>Cap Ceramic 330pF 50V X7R 10% Pad SMD 0603</t>
  </si>
  <si>
    <t>C0603X331K5RACTU</t>
  </si>
  <si>
    <t>Res Thick Film 0805 2.2M Ohm 1% 0.125W(1/8W)</t>
  </si>
  <si>
    <t>RC0805FR-072M2L</t>
  </si>
  <si>
    <t xml:space="preserve">Res Thick Film 0805 750K Ohm 1% 0.125W(1/8W) </t>
  </si>
  <si>
    <t>RC0805FR-07750KL</t>
  </si>
  <si>
    <t>LDO Voltage Regulators LOW DROPOUT REGULATORS</t>
  </si>
  <si>
    <t>NCP1117LPST50T3G</t>
  </si>
  <si>
    <t xml:space="preserve">Res Thick Film 0603 560 Ohm 1% 1/10W </t>
  </si>
  <si>
    <t>AC0603FR-07560RL</t>
  </si>
  <si>
    <t>Biến áp xung</t>
  </si>
  <si>
    <t>BAX</t>
  </si>
  <si>
    <t>892HN-1AH-F-C 12VDC</t>
  </si>
  <si>
    <t>M3+12.2MM</t>
  </si>
  <si>
    <t>M3x6</t>
  </si>
  <si>
    <t>ốc vặn theo trụ đồng</t>
  </si>
  <si>
    <t>CAP 9.1pF 50V C0G 0805 0.1pF</t>
  </si>
  <si>
    <t>CBR08C919B5GAC</t>
  </si>
  <si>
    <t>Standard Recovery Rectifier Diode, DO-214AC/SMA, 1000V, 1A</t>
  </si>
  <si>
    <t>100nF 50VDC X7R ±10% SMD  0603</t>
  </si>
  <si>
    <t>CGA3E2X7R1H104K080AA</t>
  </si>
  <si>
    <t>IC MCU 8BIT 32KB FLASH 28QFN</t>
  </si>
  <si>
    <t>PIC18F25Q10-I/ML</t>
  </si>
  <si>
    <t>PIC18F25Q10T-I/STX</t>
  </si>
  <si>
    <t>PIC18F25Q10T-I/ML</t>
  </si>
  <si>
    <t>PIC18F25Q10T-ML</t>
  </si>
  <si>
    <t>RES SMD 1.5K OHM 1% 1/10W 0603</t>
  </si>
  <si>
    <t>RC0603FR-071K5L</t>
  </si>
  <si>
    <t>RES 2K OHM 1% 1/10W 0603</t>
  </si>
  <si>
    <t>RES SMD 3K OHM 1% 1/16W 0402</t>
  </si>
  <si>
    <t>RC0402FR-073KL</t>
  </si>
  <si>
    <t>IC REG LIN 3.3V 800MA SOT223-4</t>
  </si>
  <si>
    <t>LM1117IMPX-3.3/NOPB</t>
  </si>
  <si>
    <t>bfelne5t9ixu2tqx</t>
  </si>
  <si>
    <t>TYWE3S S2H4A</t>
  </si>
  <si>
    <t>For 2 gang switch  SimHome S2 H2A wq2asoozvbozaseh</t>
  </si>
  <si>
    <t>H2A-wq2asoozvbozaseh</t>
  </si>
  <si>
    <t>For 1 gang switch  SimHome S2 H1A vqfqx1abetjihajd</t>
  </si>
  <si>
    <t>H1A-vqfqx1abetjihajd</t>
  </si>
  <si>
    <t>Antenna</t>
  </si>
  <si>
    <t>315MHz 5V</t>
  </si>
  <si>
    <t>LED size 0603, Red</t>
  </si>
  <si>
    <t xml:space="preserve">150060RS75000 </t>
  </si>
  <si>
    <t>LED size 0603, Blue</t>
  </si>
  <si>
    <t xml:space="preserve">150060BS75000 </t>
  </si>
  <si>
    <t>250VAC 1A Slow-Blow</t>
  </si>
  <si>
    <t>0875001.MXEP</t>
  </si>
  <si>
    <t>250VAC 7A Slow-Blow</t>
  </si>
  <si>
    <t xml:space="preserve">0875007.MXEP </t>
  </si>
  <si>
    <t>S2_TOUCH3_PCB 220719_RFM_GERBER</t>
  </si>
  <si>
    <t>PCB S2_TOUCH3_PCB 220719_RFM_GERBER</t>
  </si>
  <si>
    <t>'H34C</t>
  </si>
  <si>
    <t>TRỤ ĐỒNG</t>
  </si>
  <si>
    <t>OPTOISOLATOR 5.3KV TRANS 4SMD</t>
  </si>
  <si>
    <t xml:space="preserve">SFH6206-1 </t>
  </si>
  <si>
    <t xml:space="preserve">Anten module chiều dài: 24 cm </t>
  </si>
  <si>
    <t>ANTEN MODULE 24CM</t>
  </si>
  <si>
    <t>ỐC VẶN PCB</t>
  </si>
  <si>
    <t>3 kOhms ±1% 0.1W, 1/10W Chip Resistor 0603</t>
  </si>
  <si>
    <t>RC0603FR-073KL</t>
  </si>
  <si>
    <t>3.09 kOhms ±1% 0.063W, 1/16W Chip Resistor 0402</t>
  </si>
  <si>
    <t>RC0402FR-073K09L</t>
  </si>
  <si>
    <t>RES 5.6K OHM 1% 1/10W 0603</t>
  </si>
  <si>
    <t>RES 120 OHM 1% 1/10W 0603</t>
  </si>
  <si>
    <t>RC0603FR-07120RL</t>
  </si>
  <si>
    <t>ốc vặn M3*5.5</t>
  </si>
  <si>
    <t>M3x5.5</t>
  </si>
  <si>
    <t>RF Transceiver Module RFM69HCW</t>
  </si>
  <si>
    <t>RFM69HCW</t>
  </si>
  <si>
    <t>BIẾN ÁP  VC19081</t>
  </si>
  <si>
    <t>VC19081</t>
  </si>
  <si>
    <t>ARM Microcontrollers - MCU Ultra-low-power Arm Cortex-M0+ MCU 192 Kbytes of Flash , 32 MHz CPu</t>
  </si>
  <si>
    <t>STM32L073CZT6</t>
  </si>
  <si>
    <t>RMCF0805FT200K</t>
  </si>
  <si>
    <t>RES SMD 30K OHM 1% 1/8W 0805</t>
  </si>
  <si>
    <t>ERJ-6ENF3002V</t>
  </si>
  <si>
    <t>Diodes - General Purpose, Power, Switching 75V 400mW</t>
  </si>
  <si>
    <t>BAV16W-7-F</t>
  </si>
  <si>
    <t>FUSE CERAMIC 8A 250VAC AXIAL</t>
  </si>
  <si>
    <t>C310T-SC-8-R-TR1</t>
  </si>
  <si>
    <t>Header Female 2.0mm</t>
  </si>
  <si>
    <t>F2.0 2x5P</t>
  </si>
  <si>
    <t>Tấm dẫn cảm ứng</t>
  </si>
  <si>
    <t>DIODE GEN PURP 75V 150MA SOD323</t>
  </si>
  <si>
    <t>1N4148W-7-F</t>
  </si>
  <si>
    <t>Diodes Incorporated AMS1117-3.3V</t>
  </si>
  <si>
    <t>AZ1117H-3.3TRE1</t>
  </si>
  <si>
    <t>Trụ đồng chân Chữ nhật</t>
  </si>
  <si>
    <t>PCB GERBER_POWER_VER_MODULE_NXP_DOOR_060821</t>
  </si>
  <si>
    <t>RELAY HF 16A</t>
  </si>
  <si>
    <t>HF32FV-16/5-HLTF(590)</t>
  </si>
  <si>
    <t>Integrated Circuit ，WBR3/PID：my0y6ywyh0nmavar</t>
  </si>
  <si>
    <t>H1A-my0y6ywyh0nmavar</t>
  </si>
  <si>
    <t>Integrated Circuit ，WBR3/PI l29mzeh3zxtodroz,</t>
  </si>
  <si>
    <t>H4A-l29mzeh3zxtodroz</t>
  </si>
  <si>
    <t>Integrated Circuit ，WBR3/PID：ml18ggk53tectohq</t>
  </si>
  <si>
    <t>H2A-ml18ggk53tectohq</t>
  </si>
  <si>
    <t>Integrated Circuit ，WBR3/PID：bvqk0dnujxxssvbv</t>
  </si>
  <si>
    <t>H3A-bvqk0dnujxxssvbv</t>
  </si>
  <si>
    <t>HÀNG RÀO ĐƠN 8PIN CHÂN THẲNG 2.54MM</t>
  </si>
  <si>
    <t xml:space="preserve">HEader 1x8-2.54mm </t>
  </si>
  <si>
    <t>Aluminum Electrolytic Capacitors - Radial Leaded 25V 560uF 20% Tol.</t>
  </si>
  <si>
    <t>EKYB250ELL561MH20D</t>
  </si>
  <si>
    <t>Tấm dẫn sáng (15x20)</t>
  </si>
  <si>
    <t>1 OHM</t>
  </si>
  <si>
    <t>GERBER_POWER_MODULE_TYPE_AND_RELAY_BOARD_180521</t>
  </si>
  <si>
    <t>PCB GERBER_POWER_MODULE_TYPE_AND_RELAY_BOARD_180521</t>
  </si>
  <si>
    <t>PCB GERBER_POWER_DOOR_MODULE_TYPE_AND_RELAY_BOARD_PROJECT_070421</t>
  </si>
  <si>
    <t>PCB GERBER_POWER_MODULE_TYPE_AND_RELAY_BOARD_PROJECT_070421</t>
  </si>
  <si>
    <t>PCB GERBER_POWER_VER_MODULE_NXP_PROJECT_190222</t>
  </si>
  <si>
    <t>PCB GERBER_POWER_AND_RELAY_BOARD_60821</t>
  </si>
  <si>
    <t>PCB POWER 4,3,2,1</t>
  </si>
  <si>
    <t>GERBER_POWER_VER_BAX_220521</t>
  </si>
  <si>
    <t>GERBER_POWER_DOOR MODULE TYPE_AND_RELAY_BOARD_180521</t>
  </si>
  <si>
    <t>PCB GERBER_POWER_DOOR MODULE TYPE_AND_RELAY_BOARD_180521</t>
  </si>
  <si>
    <t>PCB TOUCH4 WIFI-VER-STX</t>
  </si>
  <si>
    <t>PCB TOUCH4-PCB-WIFI-VER-STX_130421</t>
  </si>
  <si>
    <t>PCB GERBER_TOUCH3_WIFI_VER_ML_190222</t>
  </si>
  <si>
    <t>PCB GERBER TOUCH3-PCB-WIFI-VER-STX_130421</t>
  </si>
  <si>
    <t>S2_TOUCH4_PCB 190919_WIFI_NEWSIZE_GERBER</t>
  </si>
  <si>
    <t>PCB S2_TOUCH4_PCB 190919_WIFI_NEWSIZE_GERBER</t>
  </si>
  <si>
    <t>S2_TOUCH3_PCB 200919_WIFI_GERBER</t>
  </si>
  <si>
    <t>PCB S2_TOUCH3_PCB 200919_WIFI_GERBER</t>
  </si>
  <si>
    <t>PCB GERBER_TOUCH4_WIFI_VER_ML_060821</t>
  </si>
  <si>
    <t>PCB GERBER_TOUCH3_WIFI_VER_ML_060821</t>
  </si>
  <si>
    <t xml:space="preserve"> PCB TOUCH 3+ POWER 3 KH GỬI</t>
  </si>
  <si>
    <t>BOARD  KH gửi</t>
  </si>
  <si>
    <t>BOARD  khách hàng gửi</t>
  </si>
  <si>
    <t>Connectors NANO SIM PUSH PULL 6P SMT 1.3</t>
  </si>
  <si>
    <t>SIM8051-6-0-14-01-A</t>
  </si>
  <si>
    <t>Transistor 200mA 200mW PNP SOT-23</t>
  </si>
  <si>
    <t>MMBT3906-TP</t>
  </si>
  <si>
    <t>ESDA6V1W5</t>
  </si>
  <si>
    <t>DIODE GEN PURP 100V 300MA SOD123</t>
  </si>
  <si>
    <t>DIODE ZENER 5.1V 500MW SOD123</t>
  </si>
  <si>
    <t>MMSZ5231B-7-F</t>
  </si>
  <si>
    <t>CAP CER 10UF 16V X5R 0603</t>
  </si>
  <si>
    <t>GRM188R61C106MA73D</t>
  </si>
  <si>
    <t>CAP CER 0.1UF 6.3V X5R 0402</t>
  </si>
  <si>
    <t>C0402C104K9PACTU</t>
  </si>
  <si>
    <t>CAP CER 33PF 6.3V X7R 0402</t>
  </si>
  <si>
    <t>C0402C330J9RACAUTO</t>
  </si>
  <si>
    <t>RES 10K OHM 1% 1/16W 0402</t>
  </si>
  <si>
    <t>RC0402FR-1310KL</t>
  </si>
  <si>
    <t>RES 31.6K OHM 1% 1/10W 0603</t>
  </si>
  <si>
    <t>RC0603FR-0731K6L</t>
  </si>
  <si>
    <t>RES SMD 5.23K OHM 1% 1/10W 0603</t>
  </si>
  <si>
    <t>AC0603FR-075K23L</t>
  </si>
  <si>
    <t>RES SMD 4.7K OHM 1% 1/16W 0402</t>
  </si>
  <si>
    <t>AC0402FR-074K7L</t>
  </si>
  <si>
    <t>RES 316 OHM 1% 1/16W 0402</t>
  </si>
  <si>
    <t>RC0402FR-07316RL</t>
  </si>
  <si>
    <t>T3-Z3</t>
  </si>
  <si>
    <t>T3-Z2</t>
  </si>
  <si>
    <t>T2-Z6</t>
  </si>
  <si>
    <t>T2-Z7</t>
  </si>
  <si>
    <t xml:space="preserve">T3_160P
TRÊN KỆ_4000P
</t>
  </si>
  <si>
    <t>T3-Z1</t>
  </si>
  <si>
    <t>KHO TP-T4</t>
  </si>
  <si>
    <t>TRÊN KỆ KHO 1</t>
  </si>
  <si>
    <t>T2-Z8</t>
  </si>
  <si>
    <t>HHU</t>
  </si>
  <si>
    <t>0.1 µF ±10% 50V X7R 0603</t>
  </si>
  <si>
    <t>22 µF ±20% 16V Ceramic Capacitor X5R 1206</t>
  </si>
  <si>
    <t>CL31A226MOCLNNC</t>
  </si>
  <si>
    <t>220uF/16V</t>
  </si>
  <si>
    <t>10000 pF ±10% 630V Ceramic Capacitor X7R 1206</t>
  </si>
  <si>
    <t>CL31B103KHFNFNE</t>
  </si>
  <si>
    <t>Diode 100 V 200mA Surface Mount SOD-80</t>
  </si>
  <si>
    <t>FDLL4148</t>
  </si>
  <si>
    <t>Diode 1A 1000V SOD-123</t>
  </si>
  <si>
    <t>1N4007-A7</t>
  </si>
  <si>
    <t>SMBJ6.8A</t>
  </si>
  <si>
    <t>SMBJ6.8A-13-F</t>
  </si>
  <si>
    <t>Hàng rào cái SMD 4P-2.0mm</t>
  </si>
  <si>
    <t>HDR MA 8X1 2.0mm</t>
  </si>
  <si>
    <t>MOSFET 30V Vds 12V Vgs SOT-23</t>
  </si>
  <si>
    <t>SI2300DS-T1-GE3</t>
  </si>
  <si>
    <t>1 kOhms ±1% 0.1W, 1/10W Chip Resistor 0603</t>
  </si>
  <si>
    <t>RMCF0603FG1K00</t>
  </si>
  <si>
    <t>RMCF0603FG100K</t>
  </si>
  <si>
    <t>100 kOhms ±1% 0.25W, 1/4W Chip Resistor 1206</t>
  </si>
  <si>
    <t>RMCF1206FT100K</t>
  </si>
  <si>
    <t>10 kOhms ±1% 0.1W, 1/10W Chip Resistor 0603</t>
  </si>
  <si>
    <t>RMCF0603FG10K0</t>
  </si>
  <si>
    <t>LDO Voltage Regulators LDO BJT HiCurr 1.35A 10Hz to 10KHz</t>
  </si>
  <si>
    <t>AZ1117IH-3.3TRG1</t>
  </si>
  <si>
    <t>Optoisolator Transistor Output 3750Vrms 1 Channel 4-SOP</t>
  </si>
  <si>
    <t>EL357N-G</t>
  </si>
  <si>
    <t>TLP185(GB-TPL,SE</t>
  </si>
  <si>
    <t>PCB PWR 1,2,3,4</t>
  </si>
  <si>
    <t>PCB PW REC V1.0</t>
  </si>
  <si>
    <t>PCB  REC V1.1 (SW1,2,3)</t>
  </si>
  <si>
    <t>PCB  REC V1.1</t>
  </si>
  <si>
    <t>PCB  REC -4 v1.2</t>
  </si>
  <si>
    <t>3300 pF ±10% 50V Ceramic Capacitor X7R 0603</t>
  </si>
  <si>
    <t>CL10B332KB8NFNC</t>
  </si>
  <si>
    <t>15 pF ±5% 50V Ceramic Capacitor C0G, NP0 0603</t>
  </si>
  <si>
    <t>CC0603JPNPO9BN150</t>
  </si>
  <si>
    <t>100 pF 50 VDC 5% 0402</t>
  </si>
  <si>
    <t>GRM1555C1H101JA01D</t>
  </si>
  <si>
    <t>10uF 16V 0603</t>
  </si>
  <si>
    <t>10uf/16V</t>
  </si>
  <si>
    <t>REC-1 gắn D3
REC-2 gắn D1, D5
REC-3 gắn D1, D3, D5</t>
  </si>
  <si>
    <t>SML-D15U2WT86</t>
  </si>
  <si>
    <t>REC-1 gắn D4
REC-2 gắn D2, D6
REC-3 gắn D2, D4, D6</t>
  </si>
  <si>
    <t>LG Q396-PS-35</t>
  </si>
  <si>
    <t>TVS DIODE 5VWM 12VC 0402</t>
  </si>
  <si>
    <t>GG040205100N2P</t>
  </si>
  <si>
    <t>MOSFET P-CH 2.3A 20V</t>
  </si>
  <si>
    <t>Si2301DS</t>
  </si>
  <si>
    <t>20 kOhms ±1% 0.1W, 1/10W Chip Resistor 0603</t>
  </si>
  <si>
    <t>RMCF0603FT20K0</t>
  </si>
  <si>
    <t>4.7 kOhms ±1% 0.1W, 1/10W Chip Resistor 0603</t>
  </si>
  <si>
    <t>RMCF0603FT4K70</t>
  </si>
  <si>
    <t xml:space="preserve"> 499 Ohms ±1% 0.1W, 1/10W Chip Resistor 0603</t>
  </si>
  <si>
    <t>RMCF0603FT499R</t>
  </si>
  <si>
    <t>ESP32-D0WDQ6</t>
  </si>
  <si>
    <t>Thạch anh 40Mhz</t>
  </si>
  <si>
    <t>ECS-400-18-33-JGN-TR</t>
  </si>
  <si>
    <t>Điện trở 2k2 0603 5%</t>
  </si>
  <si>
    <t>CAP CER 0.1UF 16V X7R 0805</t>
  </si>
  <si>
    <t>CC0805KRX7R7BB104</t>
  </si>
  <si>
    <t>CAP ALUM 470UF 20% 16V SMD</t>
  </si>
  <si>
    <t>UWT1C471MNL1GS</t>
  </si>
  <si>
    <t>CAP ALUM 100UF 20% 16V SMD</t>
  </si>
  <si>
    <t>UWT1C101MCL1GB</t>
  </si>
  <si>
    <t>CAP CER 22PF 50V C0G/NP0 0805</t>
  </si>
  <si>
    <t>C0805C220J5GACTU</t>
  </si>
  <si>
    <t>KF2EDG-5.08-4PR</t>
  </si>
  <si>
    <t>2.54MM 4</t>
  </si>
  <si>
    <t>Cổng XH 2.54mm 5 Chân Thẳng</t>
  </si>
  <si>
    <t>HEADER 5P</t>
  </si>
  <si>
    <t>FIXED IND 330UH 1.5A 430 MOHM</t>
  </si>
  <si>
    <t>7447709331</t>
  </si>
  <si>
    <t>LCD1604 NỀN XANH</t>
  </si>
  <si>
    <t>OPTOISO 3.75KV OPN COLLECTOR 8SOIC</t>
  </si>
  <si>
    <t>HCPL-0600</t>
  </si>
  <si>
    <t>TRANS NPN 40V 0.6A SOT-23</t>
  </si>
  <si>
    <t>MMBT2222A-7-F</t>
  </si>
  <si>
    <t>TRIMMER 25 kOhms 0.25W，1/4W PC</t>
  </si>
  <si>
    <t>3266W-1-253LF</t>
  </si>
  <si>
    <t>RES SMD 120 OHM 5% 1/4W 1206</t>
  </si>
  <si>
    <t>RC1206JR-07120RL</t>
  </si>
  <si>
    <t>RES SMD 470 OHM 5% 1/8W 0805</t>
  </si>
  <si>
    <t>RC0805JR-07470RL</t>
  </si>
  <si>
    <t>RES SMD 0 OHM JUMPER 1/4W 1206</t>
  </si>
  <si>
    <t>RC1206JR-070RL</t>
  </si>
  <si>
    <t>RES SMD 1.2K OHM 5% 1/8W 0805</t>
  </si>
  <si>
    <t>RC0805JR-071K2L</t>
  </si>
  <si>
    <t>DC-DC-0505</t>
  </si>
  <si>
    <t>ZY0505FS-1W</t>
  </si>
  <si>
    <t>IC EEPROM 512K I2C 400KHZ 8DIP</t>
  </si>
  <si>
    <t>24AA512-I/P</t>
  </si>
  <si>
    <t>CRYSTAL 16.0000MHZ 18PF SMD</t>
  </si>
  <si>
    <t>16M-HC49S-SMD</t>
  </si>
  <si>
    <t>Plastic Enclosure Box 200 * 91 * 33 mm</t>
  </si>
  <si>
    <t xml:space="preserve">AK-H-33   </t>
  </si>
  <si>
    <t>0.1µF ±10% 50V Ceramic Capacitor X7R 0603</t>
  </si>
  <si>
    <t>CL10B104KB8NNNC</t>
  </si>
  <si>
    <t>CAP CER 33PF 50V C0G/NP0</t>
  </si>
  <si>
    <t>CML0603C0G330JT50V</t>
  </si>
  <si>
    <t>CAP CER 1UF 6.3V X5R</t>
  </si>
  <si>
    <t>CL10A105KQ8NNNC</t>
  </si>
  <si>
    <t>TVS DIODE 33VWM 53.3VC DO214AA</t>
  </si>
  <si>
    <t>SMBJ33CA</t>
  </si>
  <si>
    <t>Cuộn cảm CD127-100UH</t>
  </si>
  <si>
    <t>SRR1280A-101M</t>
  </si>
  <si>
    <t xml:space="preserve">	IC FF D-TYPE SNGL 8BIT 20SOIC</t>
  </si>
  <si>
    <t>DM74ALS574AWM</t>
  </si>
  <si>
    <t>MCU 8BIT 8K Flash 24MHz 44-TQFP ( TQFP-44, ATMEL, Chính hãng)</t>
  </si>
  <si>
    <t>AT89S52-24AU</t>
  </si>
  <si>
    <t>Switching Voltage Regulators 5V 3A Buck PWM</t>
  </si>
  <si>
    <t>LM2576D2TR4-5G</t>
  </si>
  <si>
    <t>ULN2803ADWRG4</t>
  </si>
  <si>
    <t>Thạch anh 11.0592Mhz HC49 SMD</t>
  </si>
  <si>
    <t>11.0592M-HC49S-SMD</t>
  </si>
  <si>
    <t xml:space="preserve">	CAP ALUM 100UF 20% 50V</t>
  </si>
  <si>
    <t>UVZ1H101MPD1TD</t>
  </si>
  <si>
    <t>CAP CER 10UF 50V X5R</t>
  </si>
  <si>
    <t>860010372001</t>
  </si>
  <si>
    <t>LED MT BH 32x32 đỏ vuông 1288BS</t>
  </si>
  <si>
    <t>LED1288BS</t>
  </si>
  <si>
    <t>LED MATRIX MT BH 32X32 ĐỎ VUÔNG 1288BS STL-1288BS</t>
  </si>
  <si>
    <t>STL-1288BS</t>
  </si>
  <si>
    <t>AT89S52-24PU</t>
  </si>
  <si>
    <t>thạch anh 11Mhz</t>
  </si>
  <si>
    <t>ATS111</t>
  </si>
  <si>
    <t>IC40DIP600</t>
  </si>
  <si>
    <t>PCB FR4, 1.6mm, 1oz
Solder Mask Green
PCB 2 Layer
Silk Screen White
Pads HASL
Size 134x53mm</t>
  </si>
  <si>
    <t>Mạch in BOM LIST LED MATRIX 8X8 v2.1 23_11_2020</t>
  </si>
  <si>
    <t>22 µF ±20% 16V Ceramic Capacitor X5R 0805</t>
  </si>
  <si>
    <t>GRT21BR61C226ME13L</t>
  </si>
  <si>
    <t>10 µF ±20% 16V Ceramic Capacitor X5R 0603</t>
  </si>
  <si>
    <t>EMK107BBJ106MA-T</t>
  </si>
  <si>
    <t xml:space="preserve"> Size is 75*55*13 yellow screen</t>
  </si>
  <si>
    <t>LCD1204</t>
  </si>
  <si>
    <t>Header 5P chân thẳng</t>
  </si>
  <si>
    <t>STTHEADER2.54-5P-0</t>
  </si>
  <si>
    <t>Thạch anh 11.0592Mhz</t>
  </si>
  <si>
    <t>Hàng Rào Đực Đơn 2.54mm 40 Chân Cong 3mm Xuyên Lỗ</t>
  </si>
  <si>
    <t>STTDIPM2.54-40P-90</t>
  </si>
  <si>
    <t>OPTOISO 3.75KV TRANS 6-SO 4 LEAD</t>
  </si>
  <si>
    <t>SRR1260-221K</t>
  </si>
  <si>
    <t>CAP CER 0603 30PF 50V ULTRA STAB</t>
  </si>
  <si>
    <t>C0603C300F5HACAUTO</t>
  </si>
  <si>
    <t>10uF/25V</t>
  </si>
  <si>
    <t>PCB Fuel_esp32_rs485_v2_6</t>
  </si>
  <si>
    <t>cuon-cam-dan-smd-cdrh127-1280-471-470uh-1-3a</t>
  </si>
  <si>
    <t>FIXED IND 33UH 1.13A 170MOHM SMD</t>
  </si>
  <si>
    <t>CDRH74</t>
  </si>
  <si>
    <t>Dán</t>
  </si>
  <si>
    <t>CA45-A010K476T</t>
  </si>
  <si>
    <t>100µF 35V Aluminum Electrolytic Capacitors Radial, Can - SMD 300mOhm @ 100kHz 2000 Hrs @ 125°C</t>
  </si>
  <si>
    <t>189RV0020</t>
  </si>
  <si>
    <t>RT1V101M0607</t>
  </si>
  <si>
    <t>FERRITE_Bead, 0805</t>
  </si>
  <si>
    <t>CBM201209U300T</t>
  </si>
  <si>
    <t>Tactile Switches 6mm 3.6mm 2.5mm 160gf SMD,3x6mm  ROHS</t>
  </si>
  <si>
    <t>UK-B0240-R-160</t>
  </si>
  <si>
    <t>Connectors Right-Angle DC Power Receptacle 镍锡 Iron 2mm -25℃~+70℃ 6.4mm 2A 30V Plugin DC Power  ROHS</t>
  </si>
  <si>
    <t>HC-DC-005-2.0T</t>
  </si>
  <si>
    <t>X7R 100nF 50V ±10% 0805 Multilayer Ceramic Capacitors MLCC - SMD/SMT ROHS</t>
  </si>
  <si>
    <t>CC0805KRX7R9BB104</t>
  </si>
  <si>
    <t>±10% 50V 470nF X7R Plugin,P=5.08mm Multilayer Ceramic Capacitors MLCC - Leaded ROHS</t>
  </si>
  <si>
    <t>178MU0009</t>
  </si>
  <si>
    <t>Capacitors 25V 4.7uF X5R ±10% 0805 Multilayer Ceramic  MLCC - SMD/SMT ROHS</t>
  </si>
  <si>
    <t>CL21A475KAQNNNG</t>
  </si>
  <si>
    <t>220uF 10V 500mΩ@100kHz ±10% CASE-D-7343 Tantalum Capacitors ROHS</t>
  </si>
  <si>
    <t>TAJD227K010RNJ</t>
  </si>
  <si>
    <t>https://gmkjled.en.made-in-china.com/product/wZpTsBdoKyhV/China-High-Quality-0-2W-0-5W-1-5W-RGB-5054-Specifications-5050-SMD-LED-6-Pins-LED-Lamp-Beads-for-LED-Stage-Lights.html</t>
  </si>
  <si>
    <t>5050 SMD LED RGB 6 Pins</t>
  </si>
  <si>
    <t>12V 13.3V 19.9V 20.1A 400W Bidirectional SMA(DO-214AC) ESD and Surge Protection (TVS/ESD) ROHS</t>
  </si>
  <si>
    <t>40V 550mV@3A 3A DO-214AC(SMA) Schottky Diodes ROHS</t>
  </si>
  <si>
    <t>LL34 Switching Diodes ROHS</t>
  </si>
  <si>
    <t>LL4148</t>
  </si>
  <si>
    <t>Resettable Fuses - PPTC 2A 16V PPTC 1812 SMD</t>
  </si>
  <si>
    <t>0ZCG0200AF2B</t>
  </si>
  <si>
    <t>1x10P 10P XH 1 2.54mm 2.54mm 10 -25℃~+85℃ 3A Direct Insert Plugin,P=2.5mm Wire To Board Connector ROHS</t>
  </si>
  <si>
    <t>XD-XH-10A-G</t>
  </si>
  <si>
    <t>1x3P 3P XH 1 2.54mm 2.54mm 3 -25℃~+85℃ 3A Direct Insert Plugin,P=2.5mm Wire To Board Connector ROHS</t>
  </si>
  <si>
    <t>XD-XH-3A-G</t>
  </si>
  <si>
    <t>RF Connectors / Coaxial Connectors SMA Coaxial Straight</t>
  </si>
  <si>
    <t>SMA CONNECTOR</t>
  </si>
  <si>
    <t>L330-2A</t>
  </si>
  <si>
    <t>125mW Thick Film Resistors 150V ±100ppm/℃ ±1% 10kΩ 0805 Chip Resistor - Surface Mount ROHS</t>
  </si>
  <si>
    <t>RC0805JR-0710KL</t>
  </si>
  <si>
    <t>330Ω 125mW 150V ±1% ±100ppm/℃ Thick Film Resistors 0805 Chip Resistor - Surface Mount ROHS</t>
  </si>
  <si>
    <t>RC0805FR-07330RL</t>
  </si>
  <si>
    <t>125mW Thick Film Resistors 150V ±100ppm/℃ ±1% 4.7kΩ 0805 Chip Resistor - Surface Mount ROHS</t>
  </si>
  <si>
    <t>RC0805FR-074K7L</t>
  </si>
  <si>
    <t>120Ω 125mW 150V ±1% ±100ppm/℃ Thick Film Resistors 0805 Chip Resistor - Surface Mount ROHS</t>
  </si>
  <si>
    <t>RC0805FR-07120RL</t>
  </si>
  <si>
    <t>125mW Thick Film Resistors 150V ±100ppm/℃ ±1% 52.3kΩ 0805 Chip Resistor - Surface Mount ROHS</t>
  </si>
  <si>
    <t>AC0805FR-0752K3L</t>
  </si>
  <si>
    <t>710V 350V 275V 387V~473V Plugin,P=7.5mm Varistors ROHS</t>
  </si>
  <si>
    <t>MOV10D431K206RV107</t>
  </si>
  <si>
    <t>IOT</t>
  </si>
  <si>
    <t>CC0402JRX7R6BB104</t>
  </si>
  <si>
    <t>GRM155R60J475ME47D</t>
  </si>
  <si>
    <t>CAP CER 4.7UF 10V X5R 0603</t>
  </si>
  <si>
    <t>LMK107BJ475KA-T</t>
  </si>
  <si>
    <t>CAP CER 2200PF 50V X7R 0402</t>
  </si>
  <si>
    <t>GRM155R71H222KA01D</t>
  </si>
  <si>
    <t>CAP CER 10UF 6.3V X5R 0603</t>
  </si>
  <si>
    <t>CAP CER 22UF 6.3V X5R 0805</t>
  </si>
  <si>
    <t>CL21A226MQCLQNC</t>
  </si>
  <si>
    <t>FERRITE BEAD 1 KOHM 0402 1LN</t>
  </si>
  <si>
    <t>HZ0402B102R-10</t>
  </si>
  <si>
    <t>MLZ1608N100L (550pc)</t>
  </si>
  <si>
    <t>MOSFET P-CH 20V 3.5A SOT23</t>
  </si>
  <si>
    <t>PMV48XP,215</t>
  </si>
  <si>
    <t>RES SMD 100K OHM 0.5% 1/16W 0402</t>
  </si>
  <si>
    <t>ERA-2AED104X</t>
  </si>
  <si>
    <t>RT0402BRE07100KL</t>
  </si>
  <si>
    <t>RES SMD 10M OHM 0.5% 1/10W 0603</t>
  </si>
  <si>
    <t>RC0402JR-070RL</t>
  </si>
  <si>
    <t>RES SMD 40.2K OHM 1% 1/16W 0402</t>
  </si>
  <si>
    <t>RC0402FR-0740K2L</t>
  </si>
  <si>
    <t>RES SMD 63.4K OHM 1% 1/16W 0402</t>
  </si>
  <si>
    <t>RC0402FR-0763K4L</t>
  </si>
  <si>
    <t>RES SMD 392K OHM 1% 1/16W 0402</t>
  </si>
  <si>
    <t>CRCW0402392KFKED</t>
  </si>
  <si>
    <t>IC AFE 4 CHAN 24BIT 64NFBGA</t>
  </si>
  <si>
    <t>ACCEL 2-16G I2C/SPI 14LGA</t>
  </si>
  <si>
    <t>ADXL343BCCZ</t>
  </si>
  <si>
    <t>IC REG LINEAR 3V 250MA SOT23-5</t>
  </si>
  <si>
    <t>LP5907MFX-3.0/NOPB</t>
  </si>
  <si>
    <t>TVS DIODE 3V 17V SOT23-6</t>
  </si>
  <si>
    <t>ESDALCL6-2SC6</t>
  </si>
  <si>
    <t>JMK105BJ105KP-F</t>
  </si>
  <si>
    <t>CAP CER 2.2UF 6.3V X5R 0603</t>
  </si>
  <si>
    <t>CL10A225KQ8NNNC</t>
  </si>
  <si>
    <t>CL10A106MQ8NNNC</t>
  </si>
  <si>
    <t>CAP CER 2.2UF 10V X5R 0603</t>
  </si>
  <si>
    <t>CL10A225KP8NNNC</t>
  </si>
  <si>
    <t>CAP CER 100UF 6.3V X5R 1206</t>
  </si>
  <si>
    <t>GRM31CR60J107KE39L</t>
  </si>
  <si>
    <t>CAP CER 1PF 50V C0G/NP0 0402</t>
  </si>
  <si>
    <t>GJM1555C1H1R0WB01D</t>
  </si>
  <si>
    <t>CAP CER 2.4PF 50V C0G/NP0 0402</t>
  </si>
  <si>
    <t>GJM1555C1H2R4WB01D</t>
  </si>
  <si>
    <t>CONN RCPT USB2.0 MICRO B SMD R/A</t>
  </si>
  <si>
    <t>1.10mm Pitch microSD Card Header with Detect Pin, Height 2.85mm</t>
  </si>
  <si>
    <t>6 Position Card Connector NANO SIM Surface Mount, Right Angle Gold</t>
  </si>
  <si>
    <t>693043020611</t>
  </si>
  <si>
    <t>LED RGB DIFFUSED CHIP SMD</t>
  </si>
  <si>
    <t>LTST-C19HE1WT</t>
  </si>
  <si>
    <t>FUSE BRD MNT 1A 32VAC 63VDC 0603</t>
  </si>
  <si>
    <t>C2Q 1</t>
  </si>
  <si>
    <t>FUSE BRD MNT 3A 32VAC 63VDC 0603</t>
  </si>
  <si>
    <t>C2Q 3</t>
  </si>
  <si>
    <t>220 Ohms @ 100MHz 1 Power Line Ferrite Bead 0402 (1005 Metric) 1A 150mOhm</t>
  </si>
  <si>
    <t>BKP1005EM221-T</t>
  </si>
  <si>
    <t>FERRITE BEAD 100 OHM 0603 1LN</t>
  </si>
  <si>
    <t>BLM18EG101TN1D</t>
  </si>
  <si>
    <t>CMC 1.5A 2LN 1 KOHM SMD</t>
  </si>
  <si>
    <t>ACP3225-102-2P-T000</t>
  </si>
  <si>
    <t>FIXED IND 6.7NH 1.28A 78 MOHM</t>
  </si>
  <si>
    <t>LQW15AN6N7G80D</t>
  </si>
  <si>
    <t>FIXED IND 15NH 1.15A 114 MOHM</t>
  </si>
  <si>
    <t>LQW15AN15NG8ZD</t>
  </si>
  <si>
    <t>FIXED IND 6.3NH 1.6A 57 MOHM</t>
  </si>
  <si>
    <t>LQW15AN6N3G8ZD</t>
  </si>
  <si>
    <t>FIXED IND 10NH 1.4A 81 MOHM SMD</t>
  </si>
  <si>
    <t>LQW15AN10NG80D</t>
  </si>
  <si>
    <t>FIXED IND 1.5UH 1.65A 130 MOHM</t>
  </si>
  <si>
    <t>MAKK2016T1R5M</t>
  </si>
  <si>
    <t>FIXED IND 4.7UH 1.1A 200 MOHM</t>
  </si>
  <si>
    <t>MLP2016H4R7MT0S1</t>
  </si>
  <si>
    <t>MOSFET N-CH 25V 5.8A SOT23</t>
  </si>
  <si>
    <t>IRFML8244TRPBF</t>
  </si>
  <si>
    <t>MOSFET N-CH 60V 0.36A SOT-23</t>
  </si>
  <si>
    <t>2N7002P,215</t>
  </si>
  <si>
    <t>RES SMD 2M OHM 1% 1/16W 0402</t>
  </si>
  <si>
    <t>CRCW04022M00FKEDC</t>
  </si>
  <si>
    <t>AC0402FR-072ML</t>
  </si>
  <si>
    <t>RES SMD 1 OHM 5% 1/4W 0603</t>
  </si>
  <si>
    <t>ESR03EZPJ1R0</t>
  </si>
  <si>
    <t>RES SMD 34.8K OHM 1% 1/10W 0402</t>
  </si>
  <si>
    <t>ERJ-2RKF3482X</t>
  </si>
  <si>
    <t>PTS830GM140 SMTR LFS</t>
  </si>
  <si>
    <t>3.8MM X 1.9MM / 1.6N / 0.12MM ST</t>
  </si>
  <si>
    <t>EVP-AKE31A</t>
  </si>
  <si>
    <t>Diode Array 2 Pair Common Cathode Schottky 30V 200mA (DC) Surface Mount 6-TSSOP, SC-88, SOT-363</t>
  </si>
  <si>
    <t>BAT54CDW-7-F</t>
  </si>
  <si>
    <t>IC FLASH 32M SPI 133MHZ 8SOP</t>
  </si>
  <si>
    <t>IS25LP032D-JNLE</t>
  </si>
  <si>
    <t>IC PWR MGMT LI-ION 32LFCSP</t>
  </si>
  <si>
    <t>ADP5350ACPZ-1-R7</t>
  </si>
  <si>
    <t>Temperature Sensor Digital, Infrared (IR) -40°C ~ 85°C TO46-4</t>
  </si>
  <si>
    <t>MLX90615SSG-DAG-000-TU</t>
  </si>
  <si>
    <t>TVS DIODE 5V SOT723</t>
  </si>
  <si>
    <t>UESD5.0DT5G</t>
  </si>
  <si>
    <t>Real Time Clock (RTC) IC Clock/Calendar I²C, 2-Wire Serial 10-XFDFN Exposed Pad</t>
  </si>
  <si>
    <t>PCF85263ATL/AX</t>
  </si>
  <si>
    <t>IC OVERVOLTAGE PROT CONT SC70-8</t>
  </si>
  <si>
    <t>LTC4360CSC8-1#TRMPBF</t>
  </si>
  <si>
    <t>584-C4360CSC8-1TMPF</t>
  </si>
  <si>
    <t>RX TXRX MOD BLUETOOTH 5 SMD</t>
  </si>
  <si>
    <t>BMD-380-A-R</t>
  </si>
  <si>
    <t>IC TRNSLTR BIDIRECTIONAL 20USON</t>
  </si>
  <si>
    <t>VARISTOR 13.5V 30A 0603</t>
  </si>
  <si>
    <t>V9MLA0603H</t>
  </si>
  <si>
    <t>CRYSTAL 32.7680KHZ 9PF SMD</t>
  </si>
  <si>
    <t>ECS-.327-9-12R-C-TR</t>
  </si>
  <si>
    <t xml:space="preserve"> CM8V-T1A-32.678KHZ-
12.5PF -20PPM -TA _QA</t>
  </si>
  <si>
    <t>PCB Main</t>
  </si>
  <si>
    <t>PCB Sensor</t>
  </si>
  <si>
    <t>PCB BIOTRES LTE PCB V1.0</t>
  </si>
  <si>
    <t>CAP CER 18PF 50V C0G/NPO 0402</t>
  </si>
  <si>
    <t>CC0402JRNPO9BN180</t>
  </si>
  <si>
    <t xml:space="preserve">CONN MICRO SD CARD PUSH-PULL R/A </t>
  </si>
  <si>
    <t>114-00841-68</t>
  </si>
  <si>
    <t>CONN HEADER 10 POS DUAL .05" T/H</t>
  </si>
  <si>
    <t>FTS-105-01-L-D</t>
  </si>
  <si>
    <t>CONN HEADER 3POS 1.25MM R/A SMD</t>
  </si>
  <si>
    <t>532610371</t>
  </si>
  <si>
    <t>FIXED IND 10UH 1.17A 160 MOHM</t>
  </si>
  <si>
    <t>LQH44PN100MP0L</t>
  </si>
  <si>
    <t>CAP FEEDTHRU 1UF 20% 10V 0805</t>
  </si>
  <si>
    <t>YFF21PC1A105MT000N</t>
  </si>
  <si>
    <t>RC1005F205CS</t>
  </si>
  <si>
    <t>RES SMD 78.7K OHM 1% 1/16W 0402</t>
  </si>
  <si>
    <t>RC0402FR-0778K7L</t>
  </si>
  <si>
    <t>RES SMD 51.1K OHM 1% 1/10W 0402</t>
  </si>
  <si>
    <t>ERJ-2RKF5112X</t>
  </si>
  <si>
    <t>RC0402FR-07392KL</t>
  </si>
  <si>
    <t>IC FLASH 8M SPI 133MHZ 8SOP</t>
  </si>
  <si>
    <t>IS25LP080D-JNLE-TR</t>
  </si>
  <si>
    <t>IC REG BCK ADJ 0.3A SYNC SOT23-5</t>
  </si>
  <si>
    <t>TPS62200DBVR</t>
  </si>
  <si>
    <t>IC PWR MANAGEMENT SYSTEM 20-QFN</t>
  </si>
  <si>
    <t>BQ24038RHLT</t>
  </si>
  <si>
    <t>IC BATT MONITOR LI-ION 8WDFN</t>
  </si>
  <si>
    <t>LC709203FQH-01TWG</t>
  </si>
  <si>
    <t>LED Driver IC 3 Output Linear 42mA 10-DFN (3x3)</t>
  </si>
  <si>
    <t>IS31FL3193-DLS2-TR</t>
  </si>
  <si>
    <t>CRYSTAL 8.0000MHZ 18PF SMD</t>
  </si>
  <si>
    <t>7A-8.000MAAJ-T</t>
  </si>
  <si>
    <t>ABM3-8.000MHZ-C4-T _48pc</t>
  </si>
  <si>
    <t>9HT11-32.768KDZF-T</t>
  </si>
  <si>
    <t>RES SMD 1.43KOHM 0.5% 1/10W 0603</t>
  </si>
  <si>
    <t>RT0603DRE071K43L</t>
  </si>
  <si>
    <t>PCB Bare board</t>
  </si>
  <si>
    <t>PCB BIOTRES V1.2</t>
  </si>
  <si>
    <t>700MHz, 800MHz, 850MHz, 900MHz, 1.7GHz, 1.8GHz, 1.9GHz, 2GHz, 2.1GHz, 2.3GHz, 2.5GHz, 2.6GHz DCS, GSM, LTE, PCS, UMTS Chip RF Antenna 698MHz ~ 798MHz, 824MHz ~ 960MHz, 1.71GHz ~ 2.69GHz 1.3dBi, 0.3dBi, 3.8dBi Solder Surface Mount</t>
  </si>
  <si>
    <t>NN02-232</t>
  </si>
  <si>
    <t>NN02-224</t>
  </si>
  <si>
    <t>.050" Female Header, 2 Rows, 2x02 pins, Straight</t>
  </si>
  <si>
    <t>LPPB022CFFN-RC</t>
  </si>
  <si>
    <t>ITR</t>
  </si>
  <si>
    <t>10 µF ±20% 10V Ceramic Capacitor X5R 0402 (1005 Metric)</t>
  </si>
  <si>
    <t>CAP CER SMD 0.47uF 10V 10% X5R 0402</t>
  </si>
  <si>
    <t>GRM155R61A474KE15D</t>
  </si>
  <si>
    <t>CAP CER SMD 0.70pF 50V 0.05pF NP0 0402</t>
  </si>
  <si>
    <t>GRM1555C1HR70WA01D</t>
  </si>
  <si>
    <t>CAP CER SMD 1.2pF 50V 0.05pF NP0 0402</t>
  </si>
  <si>
    <t>GRM1555C1H1R2WA01D</t>
  </si>
  <si>
    <t>CAP CER SMD 2200pF 25V 10% X5R 0402</t>
  </si>
  <si>
    <t>GRM155R61E222KA01D</t>
  </si>
  <si>
    <t>FERRITE BEAD 600 Ohm 200mA 850 mOhm 0402</t>
  </si>
  <si>
    <t>MMZ1005B601CT000</t>
  </si>
  <si>
    <t>Receptacle USB - Type C 6 - - USB Connectors ROHS</t>
  </si>
  <si>
    <t>TYPE-C-31-M-17</t>
  </si>
  <si>
    <t>IND SMD 10uH 520mA 10% 650 mOhm 0805</t>
  </si>
  <si>
    <t>CB2012T100KR</t>
  </si>
  <si>
    <t>IND SMD 2.2nH 900mA 0.1nH 150 mOhm 0402</t>
  </si>
  <si>
    <t>MLG1005S2N2BTD25</t>
  </si>
  <si>
    <t>IND SMD 5.1nH 140mA 0.1nH 700 mOhm 0402</t>
  </si>
  <si>
    <t>LQP15MN5N1B02D</t>
  </si>
  <si>
    <t>Counterpost -40?~+85? Common anode RGB 115° PLCC-4,0404 Light Emitting Diodes (LED) ROHS</t>
  </si>
  <si>
    <t>MHPA1010URGBCT</t>
  </si>
  <si>
    <t>14000±2500rpm 85mA Cylindrical DC motor 2.7V CW -20?~+70? - Vibration Motor ROHS</t>
  </si>
  <si>
    <t>Z3OC1T8219731</t>
  </si>
  <si>
    <t>Mosfet Array 20V 1.03A, 700mA 450mW Surface Mount SOT-563</t>
  </si>
  <si>
    <t>DMC2400UV-13</t>
  </si>
  <si>
    <t>RES SMD 30K OHM 1% 1/16W 0402</t>
  </si>
  <si>
    <t>RC0402FR-0730KL</t>
  </si>
  <si>
    <t>IC BATT CHG LI-ION 1CELL 16QFN</t>
  </si>
  <si>
    <t>BQ24073RGTR</t>
  </si>
  <si>
    <t>IC REG LINEAR 1V8 250MA 4XDFN</t>
  </si>
  <si>
    <t>NCP163AMX180TBG</t>
  </si>
  <si>
    <t>Fixed 8V 1.8V SOT23-3 Linear Voltage Regulators (LDO)</t>
  </si>
  <si>
    <t>HT7218(SOT23-3)</t>
  </si>
  <si>
    <t>Voltage Level Translator Bidirectional 1 Circuit 2 Channel 500Mbps 8-XSON, SOT833-1 (1.95x1)</t>
  </si>
  <si>
    <t>74AVCH2T45GT,115</t>
  </si>
  <si>
    <t>Layer Count： 4 L Rigid board Copper Thickness： 0.5/1OZ Smallest hole： ≥8mil
Material Type： FR4 tg170 Board Size： 45*25mm Blind&amp;burried Vias： No
Surface Finish： ENIG 2U'' Array Size： 209*137mm（ 15up） Hole to Track Spacing： No
Gold finger(Pin)： NO Board Thickness： 1mm Non-Conductive Resin： No
IPC Standard： IPC 2 Track Width&amp;Gap： ≥4/4mil Conductive Resin： NO
Soldermask Colour： Matte black Impedance Control： NO
Silkscreen Colour： White Others: Date code</t>
  </si>
  <si>
    <t>IV-PCB-004-A1_FAB</t>
  </si>
  <si>
    <t>IVL</t>
  </si>
  <si>
    <t xml:space="preserve"> CAP CER 2.2UF 16V X5R 0402</t>
  </si>
  <si>
    <t>CL05A225KO5NQNC</t>
  </si>
  <si>
    <t>CAP CER 0.1UF 25V X5R 0402</t>
  </si>
  <si>
    <t>0402X104K250CT</t>
  </si>
  <si>
    <t>CAP CER 0.1UF 16V X5R 0402</t>
  </si>
  <si>
    <t>CC0402KRX5R7BB104</t>
  </si>
  <si>
    <t>CAP ALUM 100UF 20% 10V SMD</t>
  </si>
  <si>
    <t>UWX1A101MCL1GB</t>
  </si>
  <si>
    <t>CAP CER 1UF 25V X5R 0603</t>
  </si>
  <si>
    <t>CC0603KRX5R8BB105</t>
  </si>
  <si>
    <t>DIODE GEN PURP 80V 100MA S-MINI</t>
  </si>
  <si>
    <t>1SS187,LF</t>
  </si>
  <si>
    <t>TRANS PNP 50V 0.15A SMINI</t>
  </si>
  <si>
    <t>2SA1162-GR,LF</t>
  </si>
  <si>
    <t>TRANS NPN 50V 0.15A SMINI</t>
  </si>
  <si>
    <t>2SC2712-GR,LF</t>
  </si>
  <si>
    <t>RES SMD 1K OHM 5% 1/4W 1206</t>
  </si>
  <si>
    <t>ERJ-8GEYJ102V</t>
  </si>
  <si>
    <t>RES SMD 6.8K OHM 5% 1/4W 1206</t>
  </si>
  <si>
    <t>ERJ-8GEYJ682V</t>
  </si>
  <si>
    <t>RES SMD 10K OHM 5% 1/4W 1206</t>
  </si>
  <si>
    <t>ERJ-8GEYJ103V</t>
  </si>
  <si>
    <t>RES SMD 4.7K OHM 5% 1/4W 1206</t>
  </si>
  <si>
    <t>ERJ-8GEYJ472V</t>
  </si>
  <si>
    <t>RES SMD 2.2K OHM 5% 1/4W 1206</t>
  </si>
  <si>
    <t>ERJ-8GEYJ222V</t>
  </si>
  <si>
    <t>RES SMD 100 OHM 5% 1/4W 1206</t>
  </si>
  <si>
    <t>RES SMD 330 OHM 5% 1/4W 1206</t>
  </si>
  <si>
    <t>ERJ-8GEYJ331V</t>
  </si>
  <si>
    <t>CONN HEADER VERT 10POS 2.5MM</t>
  </si>
  <si>
    <t>0022041101</t>
  </si>
  <si>
    <t>008263101200000+</t>
    <phoneticPr fontId="20"/>
  </si>
  <si>
    <t>CONN HEADER VERT 14POS 2.5MM</t>
  </si>
  <si>
    <t>0022041141</t>
  </si>
  <si>
    <t>008263141200000+</t>
  </si>
  <si>
    <t>CONN HEADER VERT 9POS 2.5MM</t>
  </si>
  <si>
    <t>0022041091</t>
  </si>
  <si>
    <t>608263309815001+</t>
  </si>
  <si>
    <t>CONN HEADER VERT 7POS 2.5MM</t>
  </si>
  <si>
    <t>0022041071</t>
  </si>
  <si>
    <t>608263307815001+</t>
  </si>
  <si>
    <t>CONN HEADER VERT 12POS 2.5MM</t>
  </si>
  <si>
    <t>0022041121</t>
  </si>
  <si>
    <t>608263307815002+</t>
    <phoneticPr fontId="20"/>
  </si>
  <si>
    <t>CONN HEADER VERT 8POS 2.5MM</t>
  </si>
  <si>
    <t>0022041081</t>
  </si>
  <si>
    <t>608263308815000+</t>
    <phoneticPr fontId="20"/>
  </si>
  <si>
    <t>RES ARRAY 4 RES 3.3K OHM 1206</t>
  </si>
  <si>
    <t>EXB-V8V332JV</t>
  </si>
  <si>
    <t>RES ARRAY 4 RES 4.7K OHM 0804</t>
  </si>
  <si>
    <t>EXB-28V472JX</t>
  </si>
  <si>
    <t>EXB-38V472JV</t>
  </si>
  <si>
    <t xml:space="preserve"> IC MCU 32BIT 64KB FLASH 48LQFP</t>
  </si>
  <si>
    <t>TMS320F28027PTT</t>
  </si>
  <si>
    <t>IC INV OPEN COL 6CH 1-IN 14SOP</t>
  </si>
  <si>
    <t>SN7406NSR</t>
  </si>
  <si>
    <t>IC OPAMP GP 2 CIRCUIT 8SOIC</t>
  </si>
  <si>
    <t>LP2904DR</t>
  </si>
  <si>
    <t>IC REG LINEAR 3.3V 1A TO252-3</t>
  </si>
  <si>
    <t>BD33FC0FP-E2</t>
  </si>
  <si>
    <t>TA48033BF(T6L1,NQ)</t>
  </si>
  <si>
    <t>IC BUF NON-INVERT 5.5V 20SOIC</t>
  </si>
  <si>
    <t>74VHC244M</t>
  </si>
  <si>
    <t>TRIMMER 1K OHM 0.5W PC PIN TOP</t>
  </si>
  <si>
    <t>CT6EP102</t>
  </si>
  <si>
    <t>FT63EP102</t>
  </si>
  <si>
    <t>PCB SUB BOARD</t>
  </si>
  <si>
    <t>CAP ALUM 100UF 20% 50V RADIAL</t>
  </si>
  <si>
    <t>UBT1H101MPD1TD</t>
  </si>
  <si>
    <t>SMD/SMT 0603 470pF 50volts B 10%</t>
  </si>
  <si>
    <t>GRM188B11H471KA01D</t>
  </si>
  <si>
    <t>CAP ALUM 47UF 20% 100V RADIAL</t>
  </si>
  <si>
    <t>UPW2A470MPD</t>
  </si>
  <si>
    <t>CAP FILM 0.1UF 5% 160VDC RAD</t>
  </si>
  <si>
    <t>890443322001CS</t>
  </si>
  <si>
    <t>CAP CER 100PF 50V NP0 0603</t>
  </si>
  <si>
    <t>CL10C101JB8NNND</t>
  </si>
  <si>
    <t>Multilayer Ceramic Capacitors MLCC - SMD/SMT 1000pf/50v</t>
  </si>
  <si>
    <t>GRM1552C1H102JA01D</t>
  </si>
  <si>
    <t>CAP CER 0.1UF 50V X7R 0402</t>
  </si>
  <si>
    <t>GRM155R71H104KE14D</t>
  </si>
  <si>
    <t>CAP CER 10UF 35V X7R 1210</t>
  </si>
  <si>
    <t>CL32B106KLJNNNE</t>
  </si>
  <si>
    <t>CAP CER 10000PF 25V X7R 0402</t>
  </si>
  <si>
    <t>0402B103K250CT</t>
  </si>
  <si>
    <t>CAP CER 0.033UF 50V X7R 0805</t>
  </si>
  <si>
    <t>0805B333K500CT</t>
  </si>
  <si>
    <t>DIODE ARRAY SCHOTTKY 40V SOT23</t>
  </si>
  <si>
    <t>BAT6404E6433HTMA1</t>
  </si>
  <si>
    <t>DIODE ARRAY GP 80V 100MA USM</t>
  </si>
  <si>
    <t>1SS301,LF</t>
  </si>
  <si>
    <t>DIODE SCHOTTKY 30V 1A SMB</t>
  </si>
  <si>
    <t>MBRS130T3G</t>
  </si>
  <si>
    <t>DIODE SCHOTTKY 30V 500MA USC</t>
  </si>
  <si>
    <t>CUS551V30,H3F</t>
  </si>
  <si>
    <t>CONN HEADER VERT 9POS 2MM</t>
  </si>
  <si>
    <t>B09B-PASK-1(LF)(SN). White</t>
  </si>
  <si>
    <t>B09B-PASK-1(LF)(SN)</t>
  </si>
  <si>
    <t xml:space="preserve"> IC INVERTER OPEN 6CH 1-IN 14SOIC</t>
  </si>
  <si>
    <t>SN74LS06D</t>
  </si>
  <si>
    <t>IC RECEIVER 0/4 16SOIC</t>
  </si>
  <si>
    <t>DS26LV32ATM/NOPB</t>
  </si>
  <si>
    <t>IC REG BUCK BST ADJ 1.5A 8SOIC</t>
  </si>
  <si>
    <t>MC34063ADR</t>
  </si>
  <si>
    <t>IC TRANSCEIVER FULL 3/5 28TSSOP</t>
  </si>
  <si>
    <t>TRS3243EIPW</t>
  </si>
  <si>
    <t xml:space="preserve"> RES SMD 270 OHM 5% 1/8W 0805</t>
  </si>
  <si>
    <t>ERJ-6GEYJ271V</t>
  </si>
  <si>
    <t>RES SMD 47 OHM 5% 1/8W 0805</t>
  </si>
  <si>
    <t>ERJ-6GEYJ470V</t>
  </si>
  <si>
    <t>RES SMD 1.8K OHM 5% 1/4W 1206</t>
  </si>
  <si>
    <t>ERJ-8GEYJ182V</t>
  </si>
  <si>
    <t>RES SMD 1K OHM 5% 1/8W 0805</t>
  </si>
  <si>
    <t>ERJ-6GEYJ102V</t>
  </si>
  <si>
    <t>RES SMD 100 OHM 5% 1/8W 0805</t>
  </si>
  <si>
    <t>ERJ-6GEYJ101V</t>
  </si>
  <si>
    <t>RES 1K OHM 1% 1/10W 0603</t>
  </si>
  <si>
    <t>CRCW06031K00FKEAC</t>
  </si>
  <si>
    <t xml:space="preserve"> RES 10K OHM 1% 1/10W 0603</t>
  </si>
  <si>
    <t>CRCW060310K0FKECC</t>
  </si>
  <si>
    <t>RES SMD 12K OHM 5% 1/10W 0603</t>
  </si>
  <si>
    <t>ERJ-3GEYJ123V</t>
  </si>
  <si>
    <t>RES SMD 200 OHM 1% 1/10W 0603</t>
  </si>
  <si>
    <t>CRCW0603200RFKTA</t>
  </si>
  <si>
    <t>RES SMD 2K OHM 5% 1/10W 0603</t>
  </si>
  <si>
    <t>ERJ-3GEYJ202V</t>
  </si>
  <si>
    <t>RES SMD 200K OHM 5% 1/10W 0603</t>
  </si>
  <si>
    <t>ERJ-3GEYJ204V</t>
  </si>
  <si>
    <t>RES 220 OHM 1% 1/10W 0603</t>
  </si>
  <si>
    <t>CRCW0603220RFKEBC</t>
  </si>
  <si>
    <t>RES SMD 270 OHM 5% 1/10W 0603</t>
  </si>
  <si>
    <t>ERJ-3GEYJ271V</t>
  </si>
  <si>
    <t>RES SMD 33 OHM 1% 1/10W 0603</t>
  </si>
  <si>
    <t>ERJ-S03F33R0V</t>
  </si>
  <si>
    <t>RES SMD 330 OHM 5% 1/8W 0805</t>
  </si>
  <si>
    <t>ERJ-6GEYJ331V</t>
  </si>
  <si>
    <t>RES SMD 390 OHM 5% 1/8W 0805</t>
  </si>
  <si>
    <t>ERJ-6GEYJ391V</t>
  </si>
  <si>
    <t>RES SMD 3.9K OHM 5% 1/10W 0603</t>
  </si>
  <si>
    <t>ERJ-3GEYJ392V</t>
  </si>
  <si>
    <t>CRCW060347K0JNEA</t>
  </si>
  <si>
    <t>RES SMD 56 OHM 5% 1/10W 0603</t>
  </si>
  <si>
    <t>ERJ-3GEYJ560V</t>
  </si>
  <si>
    <t>RES SMD 620 OHM 5% 1/10W 0603</t>
  </si>
  <si>
    <t>ERJ-3GEYJ621V</t>
  </si>
  <si>
    <t>RES SMD 680 OHM 5% 1/10W 0603</t>
  </si>
  <si>
    <t>ERJ-3GEYJ681V</t>
  </si>
  <si>
    <t xml:space="preserve"> RES SMD 11.5K OHM 1% 1/10W 0603</t>
  </si>
  <si>
    <t>ERJ-3EKF1152V</t>
  </si>
  <si>
    <t>RES ARRAY 4 RES 4.7K OHM 1206</t>
  </si>
  <si>
    <t>EXB-V8V472JV</t>
  </si>
  <si>
    <t>RES ARRAY 4 RES 7.5K OHM 1206</t>
  </si>
  <si>
    <t>EXB-V8V752JV</t>
  </si>
  <si>
    <t>RES 0.68 OHM 1% 1/2W 1206</t>
  </si>
  <si>
    <t>RL1632R-R680-F</t>
  </si>
  <si>
    <t>Bipolar Transistors - Pre-Biased Gen Trans PNP x 2 ESV, -50V, -100A</t>
  </si>
  <si>
    <t>RN2702JE(TE85L,F)</t>
  </si>
  <si>
    <t>TRANS PREBIAS NPN 50V 0.8A SMINI</t>
  </si>
  <si>
    <t>DDTD142JU-7-F</t>
  </si>
  <si>
    <t>NPNX2 BRT Q1BSR2.2KOHM Q1BER47KO</t>
  </si>
  <si>
    <t>RN1705,LF</t>
  </si>
  <si>
    <t>Mosfet</t>
  </si>
  <si>
    <t>2SK3555</t>
  </si>
  <si>
    <t>MOSFET N-CH 60V 1.7A SUPERSOT3</t>
  </si>
  <si>
    <t>FDN5632N-F085</t>
  </si>
  <si>
    <t>CAP ALUM 33UF 20% 50V SMD</t>
  </si>
  <si>
    <t>EEE-FN1H330P</t>
  </si>
  <si>
    <t>CAP CER .033UF 0402</t>
  </si>
  <si>
    <t>04025C333KAT2A</t>
  </si>
  <si>
    <t>EDK107M010A9GAA</t>
  </si>
  <si>
    <t>CAP CER 1500PF 50V C0G/NP0 0603</t>
  </si>
  <si>
    <t>0603N152J500CT</t>
  </si>
  <si>
    <t>CAP ALUM 470UF 20% 16V RADIAL</t>
  </si>
  <si>
    <t>B41888C4477M000</t>
  </si>
  <si>
    <t>CAP CER 0.47UF 25V X7R 0805</t>
  </si>
  <si>
    <t>0805B474K250CT</t>
  </si>
  <si>
    <t>CAP CER 1UF 25V X7R 0603</t>
  </si>
  <si>
    <t>0603B105K250CT</t>
  </si>
  <si>
    <t>0402B102K500CT</t>
  </si>
  <si>
    <t>CAP CER 0805 10NF 50VDC X8G</t>
  </si>
  <si>
    <t>C0805C103K5TACAUTO</t>
  </si>
  <si>
    <t>CAP CER 2.2UF 16V X7R 0805</t>
  </si>
  <si>
    <t>GRM21BR71C225KA12L</t>
  </si>
  <si>
    <t>CAP CER 10PF 50V C0G/NP0 0402</t>
  </si>
  <si>
    <t>GRM1555C1H100JA01D</t>
  </si>
  <si>
    <t>Diodes - General Purpose, Power, Switching Fast Recovery Diode</t>
  </si>
  <si>
    <t>S3L20U-5000</t>
  </si>
  <si>
    <t>LED GREEN DIFFUSED SMD</t>
  </si>
  <si>
    <t>PG1111C-11-TR</t>
  </si>
  <si>
    <t>RPG1111C-11-TR</t>
  </si>
  <si>
    <t xml:space="preserve"> DIODE SCHOTTKY 30V 2A M-FLAT</t>
  </si>
  <si>
    <t>CMS06(TE12L,Q,M)</t>
  </si>
  <si>
    <t>CONN HEADER VERT 24POS 2MM</t>
  </si>
  <si>
    <t xml:space="preserve"> DF11-24DP-2DSA(08)</t>
  </si>
  <si>
    <t>B24B-PHDSS</t>
  </si>
  <si>
    <t>B24B-PHDSS-B(LF)(SN)</t>
  </si>
  <si>
    <t>CONN HEADER VERT 34POS 2MM</t>
  </si>
  <si>
    <t>B34B-PHDSS</t>
  </si>
  <si>
    <t>B34B-PHDSS-B(LF)(SN)</t>
  </si>
  <si>
    <t>IC SUPERVISOR 1 CHANNEL 8SOIC</t>
  </si>
  <si>
    <t>RNA51957BFP</t>
  </si>
  <si>
    <t>IC BUF NON-INVERT 5.5V 20TSSOP</t>
  </si>
  <si>
    <t>SN74HCT541PW</t>
  </si>
  <si>
    <t>TC74VHCV244FT(EL_K)</t>
  </si>
  <si>
    <t>74VHCV244FT(178)</t>
  </si>
  <si>
    <t>RES SMD 10 OHM 1% 1/8W 0805</t>
  </si>
  <si>
    <t>ERJ6ENF10R0V</t>
  </si>
  <si>
    <t xml:space="preserve"> RES 100 OHM 5% 1/10W 0603</t>
  </si>
  <si>
    <t xml:space="preserve"> 
RES SMD 100K OHM 5% 1/10W 0603</t>
  </si>
  <si>
    <t>ERJ3GEYJ104</t>
  </si>
  <si>
    <t>CRCW0603100KJNTB</t>
  </si>
  <si>
    <t>RES 22 OHM 5% 1/10W 0603</t>
  </si>
  <si>
    <t>RC0603JR-0722RL</t>
  </si>
  <si>
    <t>RES SMD 1K OHM 1% 1/10W 0603</t>
  </si>
  <si>
    <t>RES SMD 15K OHM 1% 1/10W 0603</t>
  </si>
  <si>
    <t>ERJ-3EKF1502V</t>
  </si>
  <si>
    <t>RES ARRAY 4 RES 100 OHM 1206</t>
  </si>
  <si>
    <t>EXBV8V101J</t>
  </si>
  <si>
    <t xml:space="preserve"> EXB-V8V101JV</t>
  </si>
  <si>
    <t>RES ARRAY 4 RES 1K OHM 1206</t>
  </si>
  <si>
    <t>CAY16-102J4LF</t>
  </si>
  <si>
    <t>RES SMD 2.2 OHM 5% 1/2W 1210</t>
  </si>
  <si>
    <t>ERJ-P14J2R2U</t>
  </si>
  <si>
    <t>RES 1.18K OHM 1% 1/16W 0402</t>
  </si>
  <si>
    <t>RC0402FR-071K18L</t>
  </si>
  <si>
    <t>PCB DRIVER</t>
  </si>
  <si>
    <t>EXB-38V472JX</t>
  </si>
  <si>
    <t>STPS130U</t>
  </si>
  <si>
    <t>CAP ALUM 100UF 20% 25V SMD</t>
  </si>
  <si>
    <t>UUE1E101MNS1GS</t>
  </si>
  <si>
    <t>UUB1A101MCL1GS</t>
  </si>
  <si>
    <t>DIODE GEN PURP 200V 1A PMDS</t>
  </si>
  <si>
    <t>RF081L2STE25</t>
  </si>
  <si>
    <t>CRCW06034K70JNEB</t>
  </si>
  <si>
    <t>CAP ALUM 47UF 20% 50V RADIAL</t>
  </si>
  <si>
    <t>EKMG500ELL470MF11D</t>
  </si>
  <si>
    <t>CL05B103KA5NNNC</t>
  </si>
  <si>
    <t>UPM1H101MPD6</t>
  </si>
  <si>
    <t>CONN HEADER VERT 8POS 4.2MM</t>
  </si>
  <si>
    <t>39-29-0083</t>
  </si>
  <si>
    <t>CONN HEADER VERT 4POS 4.2MM</t>
  </si>
  <si>
    <t>39-28-1043</t>
  </si>
  <si>
    <t>CONN HEADER VERT 2POS</t>
  </si>
  <si>
    <t>39-28-1023</t>
  </si>
  <si>
    <t>DIODE SCHOTTKY 40V 1A PMDU</t>
  </si>
  <si>
    <t>RB160MM-40TR</t>
  </si>
  <si>
    <t>IC OSC SGL TIMER 100KHZ 8-SOIC</t>
  </si>
  <si>
    <t>LM555CM/NOPB</t>
    <phoneticPr fontId="4"/>
  </si>
  <si>
    <t>IC DECODER/DEMUX 1 X 3:8 16SO</t>
  </si>
  <si>
    <t>SN74HC138NS</t>
    <phoneticPr fontId="4"/>
  </si>
  <si>
    <t>IC DECADE COUNTER 10-BIT 16DIP</t>
  </si>
  <si>
    <t>CD4017BE</t>
  </si>
  <si>
    <t>IC NOR R/S LATCH 3ST QUAD 16-DIP</t>
  </si>
  <si>
    <t>CD4043BE</t>
  </si>
  <si>
    <t>BUZZER MAGNETIC 5V 12MM TH</t>
  </si>
  <si>
    <t>AI-1223-TWT-5V-5-R</t>
  </si>
  <si>
    <t>TRANSISTORS AUTO AEC-Q SINGLE PNP Q1BSR=2.2K</t>
  </si>
  <si>
    <t>RN2405LXHF</t>
  </si>
  <si>
    <t>TRANSISTORS AUTO AEC-Q SINGLE NPN Q1BSR=2.2K</t>
  </si>
  <si>
    <t>RN1405LXHF</t>
  </si>
  <si>
    <t>RES 10K OHM 0.1% 1/4W 0805</t>
  </si>
  <si>
    <t>ERA-6VEB1002V</t>
  </si>
  <si>
    <t>RES 6.8K OHM 0.1% 1/8W 0805</t>
  </si>
  <si>
    <t>ERA-6AEB682V</t>
  </si>
  <si>
    <t>RES 100 OHM 0.1% 1/4W 0805</t>
  </si>
  <si>
    <t>ERA-6VEB1000V</t>
  </si>
  <si>
    <t>RES 1.02K OHM 0.1% 1/8W 0805</t>
  </si>
  <si>
    <t>ERA-6AEB1021V</t>
  </si>
  <si>
    <t>RES SMD 4.7K OHM 1% 1/8W 0805</t>
  </si>
  <si>
    <t>ERJ-6ENF4701V</t>
  </si>
  <si>
    <t>RES SMD 2.2K OHM 1% 1/8W 0805</t>
  </si>
  <si>
    <t>ERJ-6ENF2201V</t>
  </si>
  <si>
    <t xml:space="preserve">RES SMD 0 OHM JUMPER 1/10W 0603  </t>
  </si>
  <si>
    <t>PCB-Project-TMI-V1.3</t>
  </si>
  <si>
    <t>0603X475K100CT</t>
  </si>
  <si>
    <t>JKI</t>
  </si>
  <si>
    <t>Tụ CER 100nF 50V 10% 0805</t>
  </si>
  <si>
    <t>C0805KRX7R9BB104</t>
  </si>
  <si>
    <t>Supercapacitors  1F 5.5V</t>
  </si>
  <si>
    <t>SCE5R5V105</t>
  </si>
  <si>
    <t>Diode Schottky SS24 2A 40V DO214AC (SMA)</t>
  </si>
  <si>
    <t>SS24T3G</t>
  </si>
  <si>
    <t xml:space="preserve">Led Red SMD 0805 (HT17-2102SURC)      </t>
  </si>
  <si>
    <t xml:space="preserve">Led Green SMD 0805 (HT17-2102SYGC)     </t>
  </si>
  <si>
    <t>Đầu XH 2.54mm 6 Chân Thẳng Xuyên Lỗ</t>
  </si>
  <si>
    <t>MCM-XH2.54-6P</t>
  </si>
  <si>
    <t>Cuộn Cảm 100uH 0410 Inductor</t>
  </si>
  <si>
    <t>AL0410-101K-LF</t>
  </si>
  <si>
    <t>Cuộn Cảm 33uH 2A 49 MOHM SMD</t>
  </si>
  <si>
    <t>600 Ohm SMD-0805 Chip Ferrite Bead</t>
  </si>
  <si>
    <t>CB2012D601ST(F)</t>
  </si>
  <si>
    <t>Điện trở SMD 5.6K OHM 1/8W 5% 0805</t>
  </si>
  <si>
    <t>RC0805JR-075K6L</t>
  </si>
  <si>
    <t>Điện trở SMD 3.3K OHM 1/8W 5% 0805</t>
  </si>
  <si>
    <t>RC0805JR-073K3L</t>
  </si>
  <si>
    <t>Điện trở SMD 4.7K OHM 1/8W 5% 0805</t>
  </si>
  <si>
    <t>RR2012(0805)L472JT</t>
  </si>
  <si>
    <t>RC0805JR-074K7L</t>
  </si>
  <si>
    <t>Điện trở SMD 0 OHM 1/8W 1% 0805</t>
  </si>
  <si>
    <t>RR2012(0805)L0JT</t>
  </si>
  <si>
    <t>Điện trở SMD 1K OHM 1/8W 5% 0805</t>
  </si>
  <si>
    <t>RC0805JR-071KL</t>
  </si>
  <si>
    <t>IC VARISTOR SMD V33CH8 29.5V 100A 2</t>
  </si>
  <si>
    <t>V33CH8T</t>
  </si>
  <si>
    <t>IC REG BUCK ADJ 2.5A L5973 8SOIC</t>
  </si>
  <si>
    <t>L5973D</t>
  </si>
  <si>
    <t>Dual Transmitter/Receiver RS-232 SOIC-16</t>
  </si>
  <si>
    <t>MAX3232CDR</t>
  </si>
  <si>
    <t>Thạch anh SMD 16MHz HC49S</t>
  </si>
  <si>
    <t>Diode 1N4148 (LL-34) SOD-80C(2)</t>
  </si>
  <si>
    <t>FDLL4148_D87Z</t>
  </si>
  <si>
    <t>2SC1815-HF</t>
  </si>
  <si>
    <t>Điện trở SMD 39K OHM 1/8W 5% 0805</t>
  </si>
  <si>
    <t>RR2012(0805)L393JT</t>
  </si>
  <si>
    <t>IC M51945BFP</t>
  </si>
  <si>
    <t>M51945BFP</t>
  </si>
  <si>
    <t>Didoe Zenner 3.3V SMD SOD-80C(2)</t>
  </si>
  <si>
    <t>BZV55-C3V3,115</t>
  </si>
  <si>
    <t>Điện trở SMD 470 OHM 1/8W 5% 0805</t>
  </si>
  <si>
    <t>RR2012(0805)L471JT</t>
  </si>
  <si>
    <t>Thick Film Resistors - SMD 2.2 kOhms 125 mW 0805 5%</t>
  </si>
  <si>
    <t>RC0805JR-072K2L</t>
  </si>
  <si>
    <t>Thick Film Resistors - SMD 8.2 kOhms 125 mW 0805 5%</t>
  </si>
  <si>
    <t>RC0805JR-078K2L</t>
  </si>
  <si>
    <t>Thick Film Resistors - SMD 470 kOhms 125 mW 080 5 1%</t>
  </si>
  <si>
    <t>RC0805FR-07470KL</t>
  </si>
  <si>
    <t>Thick Film Resistors - SMD 1.8 kOhms 125 mW 0805 1%</t>
  </si>
  <si>
    <t>RC0805FR-071K8L</t>
  </si>
  <si>
    <t>100uH/3A SMD 12x12x8mm inductor</t>
  </si>
  <si>
    <t>L127H-101M</t>
  </si>
  <si>
    <t>LM1117MPX-3.3/NOPB</t>
  </si>
  <si>
    <t>5V Magneticc Buzzer, 85dB, 9.5x12 mm</t>
  </si>
  <si>
    <t>YMD12950G-5V</t>
  </si>
  <si>
    <t>Header 2.54mm, 8pin straight</t>
  </si>
  <si>
    <t>XH2.54 8</t>
  </si>
  <si>
    <t>Header 3.96 mm, 2pin straight</t>
  </si>
  <si>
    <t>CH3.96 2</t>
  </si>
  <si>
    <t>LED WHITE DIFFUSED 0805 SMD</t>
  </si>
  <si>
    <t>QBLP631-IW</t>
  </si>
  <si>
    <t>LED BLUE CLEAR CHIP SMD</t>
  </si>
  <si>
    <t>APT2012VBC/D</t>
  </si>
  <si>
    <t>LED GREEN CLEAR CHIP SMD</t>
  </si>
  <si>
    <t>APT2012SGC</t>
  </si>
  <si>
    <t>LED RED CLEAR CHIP SMD</t>
  </si>
  <si>
    <t>APT2012SURCK</t>
  </si>
  <si>
    <t>B3FS-1002P</t>
  </si>
  <si>
    <t>Điện trở 4.7K SMD0805</t>
  </si>
  <si>
    <t>RC0805FR-0720KL</t>
  </si>
  <si>
    <t>330 Ohms Jumper 0.125W, 1/8W Chip Resistor 0805 (2012 Metric) Moisture Resistant Thick Film</t>
  </si>
  <si>
    <t>33k Ohms Jumper 0.125W, 1/8W Chip Resistor 0805 (2012 Metric) Moisture Resistant Thick Film</t>
  </si>
  <si>
    <t>RC0805FR-0733KL</t>
  </si>
  <si>
    <t>1k Ohms Jumper 0.125W, 1/8W Chip Resistor 0805 (2012 Metric) Moisture Resistant Thick Film</t>
  </si>
  <si>
    <t>RC0805FR-071K0L</t>
  </si>
  <si>
    <t>RC0805FR-07220RL</t>
  </si>
  <si>
    <t>1.5k Ohms Jumper 0.125W, 1/8W Chip Resistor 0805 (2012 Metric) Moisture Resistant Thick Film</t>
  </si>
  <si>
    <t>RC0805FR-071K5L</t>
  </si>
  <si>
    <t>10 µF ±20% 35V Ceramic Capacitor X6S 0805 (2012 Metric)</t>
  </si>
  <si>
    <t>GRM21BC8YA106ME11L</t>
  </si>
  <si>
    <t>CAP CER 10000PF 50V X7R 0805</t>
  </si>
  <si>
    <t>CAP CER 1UF 35V X7R 0805</t>
  </si>
  <si>
    <t>GCM21BR7YA105KA55L</t>
  </si>
  <si>
    <t>CC0805KRX7R9BB102</t>
  </si>
  <si>
    <t>CAP CER 22nF 50V X7R 0805</t>
  </si>
  <si>
    <t>CC0805KRX7R9BB223</t>
  </si>
  <si>
    <t>CAP ALUM 330UF 20% 6.3V SMD</t>
  </si>
  <si>
    <t>EEE-FK0J331P</t>
  </si>
  <si>
    <t>EDK337M010A9MAA</t>
  </si>
  <si>
    <t>CAP TANT 470UF 20% 6.3V 2917</t>
  </si>
  <si>
    <t>T495D477M006ATE100</t>
  </si>
  <si>
    <t>CAP CER 5.6PF 50V C0G/NPO 0805</t>
  </si>
  <si>
    <t>CC0805KRX7R9BB560</t>
  </si>
  <si>
    <t>LDO Voltage Regulators 3.0A LDO Adj. + Error Flag</t>
  </si>
  <si>
    <t>MIC290203A</t>
  </si>
  <si>
    <t>IC FF D-TYPE DUAL 1BIT 14SSOP</t>
  </si>
  <si>
    <t>SN74LS74ADBR</t>
  </si>
  <si>
    <t>Fixed Inductors 10uH 20% SMD 6040 AEC-Q200</t>
  </si>
  <si>
    <t>SRR6040A-100M</t>
  </si>
  <si>
    <t>Printed circuilt board (PCB)
Rigid PCB, 4Layer,FR4 , T=1.6mm,
Finished copper:1/1/1/1 OZ, immersion gold
Dark Green soldermak, white silkscreen</t>
  </si>
  <si>
    <t>PCB-NKT-01 Ver 2.2 Mainboard</t>
  </si>
  <si>
    <t>Memories card holder</t>
  </si>
  <si>
    <t>MMCSW</t>
  </si>
  <si>
    <t>IDC socket 2.54mm, 12 pin Right angle</t>
  </si>
  <si>
    <t>DC3 12</t>
  </si>
  <si>
    <t>Rigid PCB, FR-4 1.6 mm, ENIG</t>
  </si>
  <si>
    <t>PCB SIMSD</t>
  </si>
  <si>
    <t>Diode M7</t>
  </si>
  <si>
    <t>Schottky Diodes  3A 40V</t>
  </si>
  <si>
    <t>Led Blue SMD0805</t>
  </si>
  <si>
    <t>Led Yellow SMD0805</t>
  </si>
  <si>
    <t>HT17-2102UYC</t>
  </si>
  <si>
    <t>Tụ tantan 470uF/6.3V</t>
  </si>
  <si>
    <t>TAJD477K006RNJ</t>
  </si>
  <si>
    <t>Led White SMD0805</t>
  </si>
  <si>
    <t>HT17-2102UWC</t>
  </si>
  <si>
    <t>IC LM2576-5V SMD</t>
  </si>
  <si>
    <t>LM2576S-5.0/NOPB</t>
  </si>
  <si>
    <t>11.0592Mhz Crystal HC49 SMD</t>
  </si>
  <si>
    <t>RC0805FR-072K2L</t>
  </si>
  <si>
    <t>Transistor A1015 SOT23</t>
  </si>
  <si>
    <t>2SA1015LT1-BA</t>
  </si>
  <si>
    <t>cuộn dây 47nH SMD0805</t>
  </si>
  <si>
    <t>HK212547NJ-T</t>
  </si>
  <si>
    <t>8-Bit Bidirectional Level-Shifting and Voltage Translator</t>
  </si>
  <si>
    <t>TXB0108PWR</t>
  </si>
  <si>
    <t>C1815 Bipolar Transistors - BJT 60Vcbo 50Vceo 5.0V 150mA 400mA 400mW</t>
  </si>
  <si>
    <t>PCB, FR-4 ,2Layer,T=1.6mm</t>
  </si>
  <si>
    <t>NKT-01 MAIN</t>
  </si>
  <si>
    <t>PCB EXT1 V1.4</t>
  </si>
  <si>
    <t>PCB GP-280E  EXT1 V1.4</t>
  </si>
  <si>
    <t>100uH 10% Size 0410 Inductor</t>
  </si>
  <si>
    <t>AL0410-101K</t>
  </si>
  <si>
    <t>Đế 6 Pin 80mil</t>
  </si>
  <si>
    <t>XH2.54-6P</t>
  </si>
  <si>
    <t xml:space="preserve"> 1 MOhms ±5% 0.125W, 1/8W Chip Resistor 0805</t>
  </si>
  <si>
    <t>RC0805JR-071ML</t>
  </si>
  <si>
    <t>CAP CER 0.022UF 50V X7R 0805</t>
  </si>
  <si>
    <t>C0805C223K5RACTU</t>
  </si>
  <si>
    <t xml:space="preserve"> 
RES 39K OHM 5% 1/8W 0805</t>
  </si>
  <si>
    <t>RC0805JR-0739KL</t>
  </si>
  <si>
    <t>RES 47K OHM 5% 1/8W 0805</t>
  </si>
  <si>
    <t>RC0805JR-0747KL</t>
  </si>
  <si>
    <t>CAP CER 10UF 16V X5R 0805</t>
  </si>
  <si>
    <t>C0805C106M4PACTU</t>
  </si>
  <si>
    <t>CAP CER 1UF 50V X7R 0805</t>
  </si>
  <si>
    <t>C0805C105K5RACTU</t>
  </si>
  <si>
    <t>FERRITE BEAD 120 OHM 0805 1LN</t>
  </si>
  <si>
    <t>FBMH2012HM121-T</t>
  </si>
  <si>
    <t>đầu conector màu trắng</t>
  </si>
  <si>
    <t>nút nhấn màu trắng</t>
  </si>
  <si>
    <t>nút nhấn màu cam</t>
  </si>
  <si>
    <t>sai chân, thu lại lk</t>
  </si>
  <si>
    <t>đế 6pin</t>
  </si>
  <si>
    <t>STH-24-01</t>
  </si>
  <si>
    <t>MCM</t>
  </si>
  <si>
    <t>PCB Main_V1.0 (Smartcard_Programmer)</t>
  </si>
  <si>
    <t>PCBHP,IUT_Head_V1.1</t>
  </si>
  <si>
    <t>Capacitor 10uF-50V, Ceramic, Y5V 1210, SMD (Tụ 106 không phân cực) (RN: CAP020)</t>
  </si>
  <si>
    <t>GRM32DF51H106ZA01L</t>
  </si>
  <si>
    <t>Capacitor 106 (Capacitor 10UF-16V, Tantalum, 10%, 1206 SMD) (RN: CAP023)</t>
  </si>
  <si>
    <t>293D106X9016A2TE3</t>
  </si>
  <si>
    <t>CAP CER 0.1UF 10V X5R 0402</t>
  </si>
  <si>
    <t>CAP CER 1UF 10V X5R 0402 (RN: CAP096 or CAP224)</t>
  </si>
  <si>
    <t>CAP CER 1UF 50V X5R 0603 (RN: CAP140)</t>
  </si>
  <si>
    <t>GRT188R61H105KE13D (490-12330-1-ND)</t>
  </si>
  <si>
    <t>CAP CER 0.47UF 50V X5R 0402 (RN: CAP141)</t>
  </si>
  <si>
    <t>CAP CER 0.1UF 10V X5R 0402 (RN: CAP105)</t>
  </si>
  <si>
    <t>GRM155R61A104KA01D</t>
  </si>
  <si>
    <t>CAP CER 10UF 16V X5R 0603 (RN: CAP072, CAP108)</t>
  </si>
  <si>
    <t>GRM188R61C106KAALD</t>
  </si>
  <si>
    <t>CAP CER 22UF 25V X5R 1206</t>
  </si>
  <si>
    <t>CAP CER 4.7UF 50V X7R 1206 (RN: CAP167)</t>
  </si>
  <si>
    <t>GRM31CR71H475KA12L</t>
  </si>
  <si>
    <t>CAP CER 2700PF 50V X7R 0402</t>
  </si>
  <si>
    <t>GRM155R71H272JA01D</t>
  </si>
  <si>
    <t>CAP CER 39PF 50V C0G/NP0 0402</t>
  </si>
  <si>
    <t>GRM1555C1H390JA01D</t>
  </si>
  <si>
    <t>04025A390KAT2A</t>
  </si>
  <si>
    <t>CAP ALUM 330UF 20% 35V RADIAL</t>
  </si>
  <si>
    <t>860080574014</t>
  </si>
  <si>
    <t>CAP ALUM 100UF 20% 35V SMD</t>
  </si>
  <si>
    <t>865080545012</t>
  </si>
  <si>
    <t>B4B-PH-K-S(LF)(SN)</t>
  </si>
  <si>
    <t>BAT54S (DIODE SCHOTTKY 30V 200MA, SOT23)</t>
  </si>
  <si>
    <t>BAT54SW</t>
  </si>
  <si>
    <t>4148 (Diode SS SWITCH 75V 0.3A, SOD80) (RN: DSP011)</t>
  </si>
  <si>
    <t>TVS DIODE 3.3VWM 9.4VC SOD523 (RN: CPP006)</t>
  </si>
  <si>
    <t xml:space="preserve">ESD3V3D5-TP </t>
  </si>
  <si>
    <t>MOSFET N-CH 40V 60A POWERPAK1212 (RN: DSP082)</t>
  </si>
  <si>
    <t>SIS476DN-T1-GE3</t>
  </si>
  <si>
    <t>DIODE SCHOTTKY 40V 10A TO277A (RN: DSP104)</t>
  </si>
  <si>
    <t>SS10P4-M3/86A</t>
  </si>
  <si>
    <t>TVS DIODE 24V 38.9V DO214AC</t>
  </si>
  <si>
    <t>SMAJ24CA</t>
  </si>
  <si>
    <t>DIODE SCHOTTKY 40V 15A SOD80</t>
  </si>
  <si>
    <t>LS103A-GS08</t>
  </si>
  <si>
    <t>TVS DIODE 5V 9.2V DO214AC</t>
  </si>
  <si>
    <t>SMAJ5.0A</t>
  </si>
  <si>
    <t>400 W TVS IN SMA FLAT</t>
  </si>
  <si>
    <t>SMA4F12A</t>
  </si>
  <si>
    <t>TVS DIODE 5.5V 8V 10USON (RN: CPP067)</t>
  </si>
  <si>
    <t>TPD4EUSB30DQAR</t>
  </si>
  <si>
    <t>DIODE ZENER 15V 300MW SOD523</t>
  </si>
  <si>
    <t>BZT52C15T-7</t>
  </si>
  <si>
    <t>DIODE SCHOTTKY 40V 1A SOD323F</t>
  </si>
  <si>
    <t>PMEG4010CEJ,115</t>
  </si>
  <si>
    <t>VARISTOR 32.5V 30A 0612</t>
  </si>
  <si>
    <t>B72724A2170S162</t>
  </si>
  <si>
    <t>CD4504BPWR, IC VOLT-LVL SHIFTER HEX 16-TSSOP (RN: IC6003)</t>
  </si>
  <si>
    <t>A1015, TRANS PNP 50V 150MA S-MINI</t>
  </si>
  <si>
    <t>TRANS NPN 50V 0.15A S-MINI (RN: DSP004)</t>
  </si>
  <si>
    <t>2SC2712-YLFCT-ND</t>
  </si>
  <si>
    <t>MOSFET P-CH 60V 185MA SOT23-3</t>
  </si>
  <si>
    <t>TP0610K-T1-E3</t>
  </si>
  <si>
    <t>LOAD SWITCH SC59</t>
  </si>
  <si>
    <t>AP2331W-7</t>
  </si>
  <si>
    <t>FERRITE BEAD 100 OHM 0603 1LN (RN: ELF022 - chuyển từ mã CAP284)</t>
  </si>
  <si>
    <t>BLM18KG101TN1D</t>
  </si>
  <si>
    <t>FERRITE BEAD 220 OHM 0603 1LN (RN: ELF018)</t>
  </si>
  <si>
    <t>BLM18KG221SN1D</t>
  </si>
  <si>
    <t>FIXED IND 3.6UH 4.9A 19.5 MOHM</t>
  </si>
  <si>
    <t>NR8040T3R6N</t>
  </si>
  <si>
    <t>CMC 2LN 100MA 90 OHM SMD</t>
  </si>
  <si>
    <t>LCFE121002A900TG</t>
  </si>
  <si>
    <t>Green Led ,0603 SMD</t>
  </si>
  <si>
    <t>LTST-C190KGKT</t>
  </si>
  <si>
    <t>Red Led, 0603 SMD</t>
  </si>
  <si>
    <t>LTST-C190KRKT</t>
  </si>
  <si>
    <t>LED BLUE CLEAR 0603 SMD</t>
  </si>
  <si>
    <t>LTST-C193TBKT-5A</t>
  </si>
  <si>
    <t>230208_PCB521_Main_V1.0 (Smartcard_Programmer)</t>
  </si>
  <si>
    <t>PCB 521_Main_V1.0</t>
  </si>
  <si>
    <t>Resistor 6K8, Single, 1%, 1/10W, 0603 SMD</t>
  </si>
  <si>
    <t>ERJ-3EKF6801V</t>
  </si>
  <si>
    <t>Resistor 22 Ohm, Array, 1206, SMD</t>
  </si>
  <si>
    <t>EXB38V220JV</t>
  </si>
  <si>
    <t>Resistor 20K, Single, 1%, 1/10W, 0603 SMD</t>
  </si>
  <si>
    <t>Resistor 47K, Single, 5% 1/10W 0402, SMD</t>
  </si>
  <si>
    <t>RES SMD 220 OHM 1% 1/10W 0402 (RN: RES030)</t>
  </si>
  <si>
    <t>ERJ-2RKF2200X </t>
  </si>
  <si>
    <t>ERJ-3EKF4702V (P47.0KHCT-ND)</t>
  </si>
  <si>
    <t>RES SMD 71.5K OHM 1% 1/16W 0402 (RN: RES277)</t>
  </si>
  <si>
    <t>RES SMD 1K OHM 1% 1/10W 0402 (RN: RES152)</t>
  </si>
  <si>
    <t>ERJ-2RKF1001X (P1.00KLCT-ND)</t>
  </si>
  <si>
    <t>RES SMD 4.7K OHM 1% 1/10W 0402 (RN: RES153)</t>
  </si>
  <si>
    <t>ERJ-2RKF4701X</t>
  </si>
  <si>
    <t>RES SMD 10.2K OHM 1% 1/10W 0402 (RN: RES162)</t>
  </si>
  <si>
    <t>RES SMD 12K OHM 1% 1/10W 0402 (RN: RES173)</t>
  </si>
  <si>
    <t>RES SMD 6.8K OHM 1% 1/10W 0402 (RN: RES174)</t>
  </si>
  <si>
    <t>ERJ-2RKF6801X</t>
  </si>
  <si>
    <t>RES SMD 56K OHM 1% 1/10W 0402 (RN: RES059)</t>
  </si>
  <si>
    <t>ERJ-2RKF5602X</t>
  </si>
  <si>
    <t>RES SMD 95.3K OHM 1% 1/16W 0402 (RN: RES278)</t>
  </si>
  <si>
    <t>RC0402FR-0795K3L</t>
  </si>
  <si>
    <t>RES SMD 2.2K OHM 1% 1/16W 0402 (RN: RES283)</t>
  </si>
  <si>
    <t>RC0402FR-072K2L</t>
  </si>
  <si>
    <t>RES SMD 422K OHM 1% 1/10W 0402</t>
  </si>
  <si>
    <t>ERJ-2RKF4223X</t>
  </si>
  <si>
    <t>RES SMD 30.1K OHM 1% 1/10W 0402</t>
  </si>
  <si>
    <t>ERJ-2RKF3012X</t>
  </si>
  <si>
    <t>RES SMD 93.1K OHM 1% 1/16W 0402</t>
  </si>
  <si>
    <t>RC0402FR-0793K1L</t>
  </si>
  <si>
    <t>RES SMD 22.1K OHM 1% 1/16W 0402</t>
  </si>
  <si>
    <t>RC0402FR-0722K1L</t>
  </si>
  <si>
    <t>RES SMD 200K OHM 1% 1/16W 0402</t>
  </si>
  <si>
    <t>RC0402FR-07200KL</t>
  </si>
  <si>
    <t>RES SMD 15.8K OHM 1% 1/10W 0402</t>
  </si>
  <si>
    <t>ERJ-2RKF1582X</t>
  </si>
  <si>
    <t>RES SMD 4.7K OHM 1% 0.4W 0805</t>
  </si>
  <si>
    <t>ESR10EZPF4701</t>
  </si>
  <si>
    <t>BUZZER MAGNETIC 3V 12MM RADIAL</t>
  </si>
  <si>
    <t>PB-12N23P-03Q</t>
  </si>
  <si>
    <t>Capacitor 0.1UF-25V, Ceramic, 10% X5R 0402 (RN: CAP009)</t>
  </si>
  <si>
    <t>CAP TANT 100UF 10V 20% 1411 (RN: CAP060)</t>
  </si>
  <si>
    <t>F931A107MBA</t>
  </si>
  <si>
    <t>DIODE ZENER 2.4V 300MW SOD323</t>
  </si>
  <si>
    <t>MM3Z2V4T1G</t>
  </si>
  <si>
    <t xml:space="preserve">NDS352AP (MOSFET P-CH 30V-900MA, SSOT3)	</t>
  </si>
  <si>
    <t>NDS352AP</t>
  </si>
  <si>
    <t>SWM_MOSFET P-CH -20 V -3.5 A (RN: DSP026)</t>
  </si>
  <si>
    <t>IC OPAMP GP 1.3MHZ RRO SOT23-5 (RN: IC5012)</t>
  </si>
  <si>
    <t>IC REG LINEAR 5V 250MA SOT23-5</t>
  </si>
  <si>
    <t>S-1212B50-M5T1U</t>
  </si>
  <si>
    <t>IC PROG CURRENT SOURCE TSOT23-8</t>
  </si>
  <si>
    <t>LT3092ETS8#PBF</t>
  </si>
  <si>
    <t>FERRITE BEAD 180 OHM 0603 1LN (RN: ELF003)</t>
  </si>
  <si>
    <t>BLM18PG181SN1D </t>
  </si>
  <si>
    <t>230330_PCB529_HP,IUT_Head_V1.1 (Smartcard_Programmer)</t>
  </si>
  <si>
    <t>PCB 529_HP_IUT_He
ad_V1.1_01</t>
  </si>
  <si>
    <t>RES SMD 100 OHM 0.1% 1/16W 0402</t>
  </si>
  <si>
    <t>RT0402BRD07100RL</t>
  </si>
  <si>
    <t>RC0402DR-07100RL</t>
  </si>
  <si>
    <t>RES SMD 100K OHM 1% 1/10W 0402 (RN: RES041)</t>
  </si>
  <si>
    <t>RC1005F104CS</t>
  </si>
  <si>
    <t>Thin Film Resistors - SMD 172Ohm,0603,0.1%,50p pm,100mW,75V</t>
  </si>
  <si>
    <t>RN73H1JTTD1720B50</t>
  </si>
  <si>
    <t>MLN</t>
  </si>
  <si>
    <t>100V 4.7nF X7R ±10% 0402 Multilayer Ceramic Capacitors MLCC - SMD/SMT ROHS</t>
  </si>
  <si>
    <t>CC0402KRX7R0BB472</t>
  </si>
  <si>
    <t>100V 1nF X7R ±10% 0402 Multilayer Ceramic Capacitors MLCC - SMD/SMT ROHS</t>
  </si>
  <si>
    <t>CC0402KRX7R0BB102</t>
  </si>
  <si>
    <t>SOT-23 Bipolar latch Hall IC built-in pull-up resistor  (3.8 V to 60 V supply voltage)</t>
  </si>
  <si>
    <t xml:space="preserve">AH402FSU </t>
  </si>
  <si>
    <t>Mater : FR4
Layer : 2L
Thickness : 1.6mm
Soldermask : Green
Silkreen : White
Finish : HASL 
Demention : 10.5 x 8 mm</t>
  </si>
  <si>
    <t>Đầu PH2.0mm 3 Chân Thẳng Xuyên Lỗ</t>
  </si>
  <si>
    <t>ACA</t>
  </si>
  <si>
    <t>WCAP-CSGP Multilayer Ceramic Chip Capacitor, General Purpose, 0603, X7R, 100nF, 50VDC</t>
  </si>
  <si>
    <t>885012206095</t>
  </si>
  <si>
    <t>5A, 40V, Schottky Rectifier</t>
  </si>
  <si>
    <t>SS54FSH</t>
  </si>
  <si>
    <t>WE-PD2 SMT Power Inductor, size 5848, 47µH, 0.86A, 0.37Ω</t>
  </si>
  <si>
    <t>744774147</t>
  </si>
  <si>
    <t/>
  </si>
  <si>
    <t>SMBM03</t>
  </si>
  <si>
    <t>CONN HEADER SMD 6POS 1.25MM</t>
  </si>
  <si>
    <t>BM06B-GHS-TBT(LF)(SN)(N)</t>
  </si>
  <si>
    <t>RES 0.3 OHM 1% 1/2W 1206</t>
  </si>
  <si>
    <t>ERJ-8BQFR30V</t>
  </si>
  <si>
    <t>IC LED DRVR RGLTR PWM 1A TSOT25</t>
  </si>
  <si>
    <t>AL8860WT-7</t>
  </si>
  <si>
    <t>BATT LITH 3V 5.5MAH COIN 6.8MM</t>
  </si>
  <si>
    <t>MS621FE-FL11E</t>
  </si>
  <si>
    <t>CAP CER 10000PF 25V X7R 0603</t>
  </si>
  <si>
    <t>885012206065</t>
  </si>
  <si>
    <t>885012206076</t>
  </si>
  <si>
    <t>CAP CER 10UF 25V X5R 0603</t>
  </si>
  <si>
    <t>885012106031</t>
  </si>
  <si>
    <t>CAP CER 47PF 50V C0G/NP0 0402</t>
  </si>
  <si>
    <t>885012005059</t>
  </si>
  <si>
    <t>885012005055</t>
  </si>
  <si>
    <t>CAP CER 2.2UF 10V X7R 0603</t>
  </si>
  <si>
    <t>885012206027</t>
  </si>
  <si>
    <t>885012106012</t>
  </si>
  <si>
    <t>DIODE SCHOTTKY 40V 500MA SOD323</t>
  </si>
  <si>
    <t>PMEG4005AEAZ</t>
  </si>
  <si>
    <t>DIODE ARR SCHOTT 40V TO236AB</t>
  </si>
  <si>
    <t>PMEG4005CT</t>
  </si>
  <si>
    <t>TVS DIODE 5.5VWM 13VC DFN1006-2</t>
  </si>
  <si>
    <t>D5V0P1B2LP-7B</t>
  </si>
  <si>
    <t>150060BS75000</t>
  </si>
  <si>
    <t>SMA PCB THT JACK STRAIGHT WR-SMA</t>
  </si>
  <si>
    <t>60312002114503</t>
  </si>
  <si>
    <t>CONN HEADER SMD 4POS 1.25MM</t>
  </si>
  <si>
    <t>BM04B-GHS-TBT</t>
  </si>
  <si>
    <t>PN-13104</t>
  </si>
  <si>
    <t>PN-13101</t>
  </si>
  <si>
    <t>FIXED IND 47NH 200MA 1.15OHM SMD</t>
  </si>
  <si>
    <t>RES 330 OHM 1% 1/10W 0603</t>
  </si>
  <si>
    <t>CRCW0603330RFKEAC</t>
  </si>
  <si>
    <t>RES 27 OHM 1% 1/10W 0603</t>
  </si>
  <si>
    <t>CRCW060327R0FKEAC</t>
  </si>
  <si>
    <t>RES SMD 16.9 OHM 1% 1/10W 0603</t>
  </si>
  <si>
    <t>CRCW060316R9FKEA</t>
  </si>
  <si>
    <t>RES SMD 2.2K OHM 1% 1/10W 0603</t>
  </si>
  <si>
    <t>CRCW06032K20FKEA</t>
  </si>
  <si>
    <t>RES 121 OHM 1% 1/10W 0603</t>
  </si>
  <si>
    <t>CRCW0603121RFKEAC</t>
  </si>
  <si>
    <t>RF SHIELD 0.65" X 0.65" SOLDER</t>
  </si>
  <si>
    <t>BMI-S-202-F</t>
  </si>
  <si>
    <t>TVS DIODE 5VWM 9.8VC SOT23-3</t>
  </si>
  <si>
    <t>SM05.TCT</t>
  </si>
  <si>
    <t>IC REG LINEAR 3.3V 600MA SOT25</t>
  </si>
  <si>
    <t>AP2112K-3.3TRG1</t>
  </si>
  <si>
    <t>SENSOR FLIPCORE/HALL SPI 12WLCSP</t>
  </si>
  <si>
    <t>BMM150</t>
  </si>
  <si>
    <t>SWITCH SELECTOR 3POS 6A 120V</t>
  </si>
  <si>
    <t>C464558</t>
  </si>
  <si>
    <t>IC MCU 32BIT 256KB FLSH 48UFQFPN</t>
  </si>
  <si>
    <t>STM32L431CCU6</t>
  </si>
  <si>
    <t>1/1 Transceiver Half CANbus 8-HVSON (3x3)</t>
  </si>
  <si>
    <t>TJA1051TK/3/1J</t>
  </si>
  <si>
    <t>Intelligent control LED integrated light source</t>
  </si>
  <si>
    <t>WS2812B-B/W</t>
  </si>
  <si>
    <t>WE-XTAL Quartz Crystal, SMT, CFPX-180, 8MHz, +/-30ppm</t>
  </si>
  <si>
    <t>830108313809</t>
  </si>
  <si>
    <t>WCAP-CSGP Multilayer Ceramic Chip Capacitor, General Purpose, 0402, X7R, 100nF, 50VDC</t>
  </si>
  <si>
    <t>Chip Capacitor 100uF 6.3V 1206</t>
  </si>
  <si>
    <t>885012109004</t>
  </si>
  <si>
    <t>WCAP-CSGP Multilayer Ceramic Chip Capacitor, General Purpose, 0805, X5R, 22uF, 16VDC</t>
  </si>
  <si>
    <t>885012107011</t>
  </si>
  <si>
    <t>WCAP-CSGP Multilayer Ceramic Chip Capacitor, General Purpose, 0402, X5R, 220nF, 16VDC</t>
  </si>
  <si>
    <t>885012105017</t>
  </si>
  <si>
    <t>LED GREEN 0603 SMD</t>
  </si>
  <si>
    <t>TVS DIODE 20VWM 32.4VC DO214AA</t>
  </si>
  <si>
    <t>SMBJ20CA</t>
  </si>
  <si>
    <t>MF-MSMF110/24X-2</t>
  </si>
  <si>
    <t>WE-MAPI SMT Power Inductor, size 5030, 6.8µH, 4.3A, 48.3mΩ</t>
  </si>
  <si>
    <t>74438367068</t>
  </si>
  <si>
    <t>CRCW040210R0FKED</t>
  </si>
  <si>
    <t>CRCW04021K00FKED</t>
  </si>
  <si>
    <t>CRCW06031R00FKEA</t>
  </si>
  <si>
    <t>RES SMD 2 OHM 1% 1/10W 0603</t>
  </si>
  <si>
    <t>CRCW06032R00FKEA</t>
  </si>
  <si>
    <t>CRCW040210K0FKED</t>
  </si>
  <si>
    <t>RES 47K OHM 5% 1/16W 0402</t>
  </si>
  <si>
    <t>CRCW040247K0JNEDC</t>
  </si>
  <si>
    <t>RES 5.6K OHM 1% 1/16W 0402</t>
  </si>
  <si>
    <t>CRCW04025K60FKEDC</t>
  </si>
  <si>
    <t>RES SMD 3.9K OHM 1% 1/16W 0402</t>
  </si>
  <si>
    <t>CRCW04023K90FKED</t>
  </si>
  <si>
    <t>RES SMD 1.2K OHM 1% 1/16W 0402</t>
  </si>
  <si>
    <t>CRCW04021K20FKED</t>
  </si>
  <si>
    <t>RC0402FR-0710KL</t>
  </si>
  <si>
    <t>RC0402FR-075K6L</t>
  </si>
  <si>
    <t>RES 680 OHM 1% 1/16W 0402</t>
  </si>
  <si>
    <t>CRCW0402680RFKEDC</t>
  </si>
  <si>
    <t>RES 30K OHM 1% 1/16W 0402</t>
  </si>
  <si>
    <t>ERJ-2RKF3002X</t>
  </si>
  <si>
    <t>RES SMD 100 OHM 1% 1/16W 0402</t>
  </si>
  <si>
    <t>CRCW0402100RFKED</t>
  </si>
  <si>
    <t>RES 0.001 OHM 1% 3W 2512</t>
  </si>
  <si>
    <t>WSLP25121L000FEA</t>
  </si>
  <si>
    <t>RES SMD 158K OHM 1% 1/16W 0402</t>
  </si>
  <si>
    <t>CRCW0402158KFKED</t>
  </si>
  <si>
    <t>IC MCU 8BIT 16KB FLASH 20QFN</t>
  </si>
  <si>
    <t>EFM8BB21F16I-C-QFN20</t>
  </si>
  <si>
    <t>MOS Drivers QFN-24</t>
  </si>
  <si>
    <t>FD6288Q</t>
  </si>
  <si>
    <t>AON7418</t>
  </si>
  <si>
    <t>RMCF0402FT680R</t>
  </si>
  <si>
    <t>AC0402FR-0730KL</t>
  </si>
  <si>
    <t>IC PWR MONITOR 10VSSOP</t>
  </si>
  <si>
    <t>INA228AQDGSRQ1</t>
  </si>
  <si>
    <t>885012108005</t>
  </si>
  <si>
    <t>CAP CER 47UF 10V X5R 1206</t>
  </si>
  <si>
    <t>885012108012</t>
  </si>
  <si>
    <t>GG060305100N2P</t>
  </si>
  <si>
    <t>GG0603052R542P</t>
  </si>
  <si>
    <t>FILTER LC HI FREQ 220000PF 0805</t>
  </si>
  <si>
    <t>NFM21HC224R1A3D</t>
  </si>
  <si>
    <t>WR-PHD Socket Header, SMT, Vertical, pitch 1.27mm, 2 Row, 10P</t>
  </si>
  <si>
    <t>62301021021</t>
  </si>
  <si>
    <t>CONN HEADER SMD 10POS 1.25MM</t>
  </si>
  <si>
    <t>BM10B-GHS-TBT</t>
  </si>
  <si>
    <t>CONN HEADER GH SIDE 6POS 1.25MM</t>
  </si>
  <si>
    <t>SM06B-GHS-TB(LF)(SN)</t>
  </si>
  <si>
    <t>CONN HEADER GH SIDE 4POS 1.25MM</t>
  </si>
  <si>
    <t>SM04B-GHS-TB(LF)(SN)</t>
  </si>
  <si>
    <t>RES SMD 442K OHM 1% 1/10W 0603</t>
  </si>
  <si>
    <t>CRCW0603442KFKEA</t>
  </si>
  <si>
    <t>RES SMD 24.9K OHM 1% 1/10W 0603</t>
  </si>
  <si>
    <t>CRCW060324K9FKEA</t>
  </si>
  <si>
    <t>RES SMD 680 OHM 1% 1/10W 0603</t>
  </si>
  <si>
    <t>CRCW0603680RFKEA</t>
  </si>
  <si>
    <t>CRCW060322R0FKEAC</t>
  </si>
  <si>
    <t>CRCW060347K0FKEA</t>
  </si>
  <si>
    <t>RES 1.5K OHM 1% 1/10W 0603</t>
  </si>
  <si>
    <t>CRCW06031K50FKEAC</t>
  </si>
  <si>
    <t>RES SMD 25.5K OHM 1% 1/10W 0603</t>
  </si>
  <si>
    <t>CRCW060325K5FKEA</t>
  </si>
  <si>
    <t>RES,470R,1%,100MW,0603,SMD</t>
  </si>
  <si>
    <t>RMCF0603FT470R</t>
  </si>
  <si>
    <t>CRCW12060000Z0EA</t>
  </si>
  <si>
    <t>RMCF0603FT47K0</t>
  </si>
  <si>
    <t>RF TXRX MOD WIFI PCB TRACE SMD</t>
  </si>
  <si>
    <t>ESP-07S</t>
  </si>
  <si>
    <t>IC GATE OR 1CH 2-INP 5TSOP</t>
  </si>
  <si>
    <t>MC74VHC1G32DTT1G</t>
  </si>
  <si>
    <t>IC GATE NAND 1CH 2-INP SC88A</t>
  </si>
  <si>
    <t>M74VHC1G135DFT1G</t>
  </si>
  <si>
    <t>IC BATT PROTECTION LI-ION 8WSON</t>
  </si>
  <si>
    <t>BQ24315</t>
  </si>
  <si>
    <t>IC OR CTRLR SRC SELECT 8TSSOP</t>
  </si>
  <si>
    <t>TPS2115APWR</t>
  </si>
  <si>
    <t>IC INVERTER 1CH 1-INP SOT23-5</t>
  </si>
  <si>
    <t>SN74AHC1G04DBVT</t>
  </si>
  <si>
    <t>CAP CER 10PF 50V C0G/NP0 0603</t>
  </si>
  <si>
    <t>SMT MICRO SD CARD CONNECTOR, PUS</t>
  </si>
  <si>
    <t>CONN FFC BOTTOM 24POS 0.5MM R/A</t>
  </si>
  <si>
    <t>FIXED IND 180NH 650MA 200MOHM SM</t>
  </si>
  <si>
    <t>MLJ1608WR18JT000</t>
  </si>
  <si>
    <t>WR-PHD 1.27 MM DUAL SMT PIN HEAD</t>
  </si>
  <si>
    <t>WR-UMRF_PCB RECEPTACLE_SMT_3 PAD</t>
  </si>
  <si>
    <t>RES SMD 300 OHM 1% 1/10W 0603</t>
  </si>
  <si>
    <t>CRCW0603300RFKEA</t>
  </si>
  <si>
    <t>LED RGB CLEAR 4PLCC SMD</t>
  </si>
  <si>
    <t>XZM2CRKM2DGFBB45SCCB</t>
  </si>
  <si>
    <t>SWITCH TACTILE SPST-NO 0.05A 16V</t>
  </si>
  <si>
    <t>434123025826</t>
  </si>
  <si>
    <t>IC MCU 32BIT 2MB FLASH 100LQFP</t>
  </si>
  <si>
    <t>STM32H743VIT6</t>
  </si>
  <si>
    <t>IC REG LINEAR 2.8V 250MA SOT23-3</t>
  </si>
  <si>
    <t>MCP1700T-2802E/TT</t>
  </si>
  <si>
    <t>IC REG LINEAR 1.5V 200MA SOT23-3</t>
  </si>
  <si>
    <t>MCP1700T-1502E/TT</t>
  </si>
  <si>
    <t>SV610-915MHz</t>
  </si>
  <si>
    <t>PCB Camera_V2.3 PCB 4Layer FR4 T=1.0mm</t>
  </si>
  <si>
    <t>PCB Camera_V2.3</t>
  </si>
  <si>
    <t>PCB CC_V2.3 PCB 4Layer FR4 T=1.0mm</t>
  </si>
  <si>
    <t>PCB CC_V2.3</t>
  </si>
  <si>
    <t>PCB GPS_V2.3 PCB 4Layer FR4 T=1.0mm</t>
  </si>
  <si>
    <t>PCB GPS_V2.3</t>
  </si>
  <si>
    <t>PCB LED_V2.3 PCB 4Layer FR4 T=1.6mm</t>
  </si>
  <si>
    <t>PCB LED_V2.3</t>
  </si>
  <si>
    <t>PCB ESC_V2.3 PCB 4Layer FR4 T=1.6mm</t>
  </si>
  <si>
    <t>PCB ESC_V2.3</t>
  </si>
  <si>
    <t>MMT</t>
  </si>
  <si>
    <t xml:space="preserve">IC_STC3115_Battery-Gauge-IC </t>
  </si>
  <si>
    <t>SHT31-DIS-F2.5kS</t>
  </si>
  <si>
    <t>SW_SM_PUSH_BUTTON_B3U-3000P</t>
  </si>
  <si>
    <t>B3U-3000P</t>
  </si>
  <si>
    <t xml:space="preserve">IC_MCP3564_Delta_Sigma_ADC </t>
  </si>
  <si>
    <t>MCP3564RT-E/ST</t>
  </si>
  <si>
    <t xml:space="preserve">RES_0402_0R_50V_100MW  </t>
  </si>
  <si>
    <t>IC_PIC16F15344-I-ST</t>
  </si>
  <si>
    <t>PIC16F15344-I-ST</t>
  </si>
  <si>
    <t xml:space="preserve">FUSE_RESETTABLE_NANOSMDC150F      </t>
  </si>
  <si>
    <t>NANOSMDC150F-2</t>
  </si>
  <si>
    <t xml:space="preserve">CAP_CER_0805_100N_10%_50V_X7R        </t>
  </si>
  <si>
    <t xml:space="preserve">08055C104KAT2A        </t>
  </si>
  <si>
    <t>RC0402FR-0710RL</t>
  </si>
  <si>
    <t xml:space="preserve">RES_0805_390R_1%_250MW               </t>
  </si>
  <si>
    <t>RC0805FR-07390RL</t>
  </si>
  <si>
    <t xml:space="preserve">CAP_CER_0805_33P_5%_50V_COG/NP0      </t>
  </si>
  <si>
    <t>WE885012007013</t>
  </si>
  <si>
    <t>885012007013</t>
  </si>
  <si>
    <t xml:space="preserve">CAP_CER_0805_1N_10%_50V_X7R  </t>
  </si>
  <si>
    <t>WE885012007088</t>
  </si>
  <si>
    <t>885012007088</t>
  </si>
  <si>
    <t xml:space="preserve">CAP_CER_0805_1U_10%_100V_X7S </t>
  </si>
  <si>
    <t>WE885012207078</t>
  </si>
  <si>
    <t>885012207078</t>
  </si>
  <si>
    <t>TRANSISTOR_OPAMP_LT6015_SINGLE_SOT23-5</t>
  </si>
  <si>
    <t xml:space="preserve">LT6015                    </t>
  </si>
  <si>
    <t>DIODE_TVS_SMBJ54A</t>
  </si>
  <si>
    <t xml:space="preserve">SMBJ54A                   </t>
  </si>
  <si>
    <t xml:space="preserve">IND_1206_22U_WE-7447709220 </t>
  </si>
  <si>
    <t xml:space="preserve">WE7447709220  </t>
  </si>
  <si>
    <t>IC_TLV70233DBVR_3.3V-LDO-300MA</t>
  </si>
  <si>
    <t xml:space="preserve">TLV70233DBVR              </t>
  </si>
  <si>
    <t>LED_SM_APT2012LSECK/J3-PRV_RED</t>
  </si>
  <si>
    <t>APT2012LSECK/J3-PRV</t>
  </si>
  <si>
    <t xml:space="preserve">IND_322510_1U5_SRP3212A-1R5M </t>
  </si>
  <si>
    <t xml:space="preserve">TRANSISTOR_OPAMP_LM339_4CH_COMP </t>
  </si>
  <si>
    <t>LM339PWR</t>
  </si>
  <si>
    <t xml:space="preserve">SPEAKER_BUZZER_CMT-0502-75-SMT </t>
  </si>
  <si>
    <t>PTS645VM39-2 LFS</t>
  </si>
  <si>
    <t>IC_74HC4066_Bilateral-Switch_TSSOP14</t>
  </si>
  <si>
    <t>74HC4066PW-T</t>
  </si>
  <si>
    <t xml:space="preserve">CAP_CER_0402_220N_10%_50V_X7R  </t>
  </si>
  <si>
    <t xml:space="preserve">GRM155C8YA224ME01J </t>
  </si>
  <si>
    <t>DIODE_TVS_WE824011</t>
  </si>
  <si>
    <t>824011</t>
  </si>
  <si>
    <t>FERRITE_0805_2K7_BLM21BD272</t>
  </si>
  <si>
    <t>BLM21BD272SN1L</t>
  </si>
  <si>
    <t xml:space="preserve">DIODE_CMCHOKES_0603USB-142ML </t>
  </si>
  <si>
    <t>0603USB-142ML</t>
  </si>
  <si>
    <t>FUSE_RESETTABLE_NANOSMDC075F</t>
  </si>
  <si>
    <t>NANOSMDC075F-2</t>
  </si>
  <si>
    <t>RES_0402_20K_1%_63MW</t>
  </si>
  <si>
    <t>RC0402JR-0720KL</t>
  </si>
  <si>
    <t>DIODE_ZENER_DZ2W05100L_SOD123</t>
  </si>
  <si>
    <t>BZT52C5V1-7-F</t>
  </si>
  <si>
    <t>RES_0402_20R_1%_63MW</t>
  </si>
  <si>
    <t>RC0402FR-0720RL</t>
  </si>
  <si>
    <t>Standoffs &amp; Spacers SURFACE MOUNT STANDOFF, M2.5</t>
  </si>
  <si>
    <t>SMTSO-M25-6ET</t>
  </si>
  <si>
    <t>TRANS NPN 60V 2A SOT23-3</t>
  </si>
  <si>
    <t>NSS60201LT1G</t>
  </si>
  <si>
    <t xml:space="preserve">THERMISTOR_10K_NTC_3380K_0603 </t>
  </si>
  <si>
    <t>NCP18XH103F03RB</t>
  </si>
  <si>
    <t>1A USB/DC INPUT MICROCHIP BATTERY MANAGEMENT</t>
  </si>
  <si>
    <t>MCP73837-FCI/UN</t>
  </si>
  <si>
    <t>MCP73837T-FCI/UN</t>
  </si>
  <si>
    <t xml:space="preserve">LED SM WE 150080RS75000 Red  </t>
  </si>
  <si>
    <t>LED_SM_KP1608MGC_2.1V_20MA_GREEN</t>
  </si>
  <si>
    <t>150060VS55040</t>
  </si>
  <si>
    <t>Green LED 0805</t>
  </si>
  <si>
    <t xml:space="preserve">RES_0402_1K1_1%_63MW </t>
  </si>
  <si>
    <t>RC0402DR-071K1L</t>
  </si>
  <si>
    <t>SW_SM_PUSH_BUTTON_PTS647SM70SMTR2LFS</t>
  </si>
  <si>
    <t>PTS 647 SM70 SMTR2 LFS</t>
  </si>
  <si>
    <t>IC_PCA9548ADGVR_I2C-SWITCHER-TVSOP-24</t>
  </si>
  <si>
    <t xml:space="preserve">PCA9548ADGVR    </t>
  </si>
  <si>
    <t>DIODE ZENER 3.3V 225MW SOT23-3</t>
  </si>
  <si>
    <t>SZBZX84C3V3ET1G</t>
  </si>
  <si>
    <t xml:space="preserve">DIODE_BAT54A_SOT23_A  </t>
  </si>
  <si>
    <t>BAT54AWF</t>
  </si>
  <si>
    <t xml:space="preserve">IC_MCP1726-3302E/SN_SOIC-8  </t>
  </si>
  <si>
    <t>MCP1726T-3302E/SN</t>
  </si>
  <si>
    <t>Transistor NPN BC818-40LT1G</t>
  </si>
  <si>
    <t>BC817-25,215</t>
  </si>
  <si>
    <t xml:space="preserve">SENSOR_MS5637-02BA03 </t>
  </si>
  <si>
    <t>MS563702BA03-50</t>
  </si>
  <si>
    <t>THERMISTOR_10K_NTC_3380K_0603</t>
  </si>
  <si>
    <t>ERT-J1VR103H</t>
  </si>
  <si>
    <t>DIODE_ZENER_BZX84C3V3_SOT23</t>
  </si>
  <si>
    <t>BZX84-C3V3,215</t>
  </si>
  <si>
    <t>CON SOCKET 26-28AWG CRIMP TIN</t>
  </si>
  <si>
    <t>0500798000</t>
  </si>
  <si>
    <t xml:space="preserve">CON_USB-TYPE-C   </t>
  </si>
  <si>
    <t xml:space="preserve">632723300021  </t>
  </si>
  <si>
    <t>TRANS NPN 25V 500MA SOT23-3</t>
  </si>
  <si>
    <t>BC818-40LT1G</t>
  </si>
  <si>
    <t>REG102NA-3.3/3K</t>
  </si>
  <si>
    <t xml:space="preserve">TRANSISTOR_OPAMP_MCP6V91UT    </t>
  </si>
  <si>
    <t>MAX4124EUK+T</t>
  </si>
  <si>
    <t>RES SMD 0 OHM JUMPER 1/8W 0805</t>
  </si>
  <si>
    <t>ERJ-6GEY0R00V</t>
  </si>
  <si>
    <t>SIMPLELINK BLUETOOTH LOW ENERG</t>
  </si>
  <si>
    <t>CC2650MODAMOHT</t>
  </si>
  <si>
    <t>IC REG LINEAR 5V 700MA 8SOIC</t>
  </si>
  <si>
    <t>LT1129CS8-5#PBF</t>
  </si>
  <si>
    <t>CAP CER 100UF 6.3V X5R 1210</t>
  </si>
  <si>
    <t>GRM32ER60J107ME20K</t>
  </si>
  <si>
    <t>P9235A-RNDGI8</t>
  </si>
  <si>
    <t>MOSFET P-CH 30V 3.6A SSOT-6</t>
  </si>
  <si>
    <t>FDC654P</t>
  </si>
  <si>
    <t>1.13K OHM 1%</t>
  </si>
  <si>
    <t>RC0402FR-071K13L</t>
  </si>
  <si>
    <t>IC FLASH 4M SPI 104MHZ 8USON</t>
  </si>
  <si>
    <t>W25X40CLUXIG TR</t>
  </si>
  <si>
    <t>RC0603JR-071KP</t>
  </si>
  <si>
    <t>1206 50V 0.033uF</t>
  </si>
  <si>
    <t>C3216C0G1H333J085AA</t>
  </si>
  <si>
    <t>RES SMD 270 OHM 1% 1/16W 0402</t>
  </si>
  <si>
    <t>RC0402FR-07270RL</t>
  </si>
  <si>
    <t>30V 0.2A</t>
  </si>
  <si>
    <t>BAT54AHMFHT116</t>
  </si>
  <si>
    <t>6.2V 5% 1W 10MA</t>
  </si>
  <si>
    <t>DZ2W06200L</t>
  </si>
  <si>
    <t>0603 10KOHMS 3380K</t>
  </si>
  <si>
    <t>NCP18XH103F0SRB</t>
  </si>
  <si>
    <t>WCAP-CSGP 0.047uF WURTH MULTILAYER CERAMIC CAPACITORS MLCC</t>
  </si>
  <si>
    <t>885012205035</t>
  </si>
  <si>
    <t>2A 60V LOW VF</t>
  </si>
  <si>
    <t>NTS260SFT1G</t>
  </si>
  <si>
    <t>RES_0402_22K_1%_63MW</t>
  </si>
  <si>
    <t>RC0402FR-0722KL</t>
  </si>
  <si>
    <t>2K2 5%</t>
  </si>
  <si>
    <t>RR2012(0805)L222JT</t>
  </si>
  <si>
    <t>56K 0402 1%</t>
  </si>
  <si>
    <t>RC0402FR-0756KL</t>
  </si>
  <si>
    <t>IC BUS SWITCH 1X8:1 24TSSOP</t>
  </si>
  <si>
    <t>TCA9548APWR</t>
  </si>
  <si>
    <t xml:space="preserve">CAP_CER_0805_330P_10%_200V_X7R       </t>
  </si>
  <si>
    <t>C0805C331J5GACTU</t>
  </si>
  <si>
    <t xml:space="preserve">CAP_CER_0805_150P_5%_100V_COG/NP0    </t>
  </si>
  <si>
    <t>WE885012207081</t>
  </si>
  <si>
    <t>885012207081</t>
  </si>
  <si>
    <t>1UF 16V X7R 10%</t>
  </si>
  <si>
    <t>CC0603C105K4RAC7411</t>
  </si>
  <si>
    <t xml:space="preserve">RES_0805_47K_1%_250MW                </t>
  </si>
  <si>
    <t>RC0805FR-0747KL</t>
  </si>
  <si>
    <t>RC0805FR-07470RL</t>
  </si>
  <si>
    <t>CAP_CER_0603_10U_10%_16V_X5R</t>
  </si>
  <si>
    <t>IC REG LINER 3.3V 1A SOT223-S</t>
  </si>
  <si>
    <t>MCP1826T-3302E/DC</t>
  </si>
  <si>
    <t>0.1UF 25V 10%</t>
  </si>
  <si>
    <t>CC0402KPX7R8BB104</t>
  </si>
  <si>
    <t>1462042-8</t>
  </si>
  <si>
    <t>SN74LVC1G08DCKR</t>
  </si>
  <si>
    <t xml:space="preserve">DIODE_ZENER_DZ2W06200L_SOD123 </t>
  </si>
  <si>
    <t>PDZ6.2BGWX</t>
  </si>
  <si>
    <t>MOSFET N-CH DIGITAL ON SEMI</t>
  </si>
  <si>
    <t>FDV301N</t>
  </si>
  <si>
    <t xml:space="preserve">LED_SM_BI-COLOUR_KPHBM-2012QBDSURKC </t>
  </si>
  <si>
    <t>APHBM2012SURKCGKC</t>
  </si>
  <si>
    <t>TRANSISTOR_MOSFET_PMV33UPE_SOT23</t>
  </si>
  <si>
    <t>PMV33UPE,215</t>
  </si>
  <si>
    <t xml:space="preserve">IC_MCP4921-E/SN_SOIC-8_1-channel-DAC </t>
  </si>
  <si>
    <t>IC_MP3437_DCDC-Boost_TSOT23-8</t>
  </si>
  <si>
    <t>TLV70233DBVT</t>
  </si>
  <si>
    <t>CAP_CER_0805_22U_20%_25V_X5R</t>
  </si>
  <si>
    <t>GRM21BR61E226ME44L</t>
  </si>
  <si>
    <t>C2012X5R1V226M125AC</t>
  </si>
  <si>
    <t>NPN Transistor PBSS4041</t>
  </si>
  <si>
    <t>PBSS4041NT,215</t>
  </si>
  <si>
    <t>RES_0603_680K_1%_63MW</t>
  </si>
  <si>
    <t>KTR03EZPF6803</t>
  </si>
  <si>
    <t>RES_0402_1R_1%_63MW</t>
  </si>
  <si>
    <t>RC0402FR-071RL</t>
  </si>
  <si>
    <t xml:space="preserve">CURRENT_SENSE_0603_10m_1%_125mW   </t>
  </si>
  <si>
    <t xml:space="preserve">RES_0402_84K5_1%_63MW       </t>
  </si>
  <si>
    <t>RC0402FR-0784K5L</t>
  </si>
  <si>
    <t>PTC RESET FUSE 16V 1.1A 1812</t>
  </si>
  <si>
    <t>0ZCG0110AF2C</t>
  </si>
  <si>
    <t>AMS1117-3.3 MDC</t>
  </si>
  <si>
    <t>RES SMD 17.8K OHM 1% 1/8W 0805</t>
  </si>
  <si>
    <t>RC0805FR-0717K8L</t>
  </si>
  <si>
    <t>RES 0.1 OHM 1% 1/2W 1206</t>
  </si>
  <si>
    <t>CSR1206FTR100</t>
  </si>
  <si>
    <t>SENSOR DIGITAL -55C-125C S0</t>
  </si>
  <si>
    <t>STLM75M2F</t>
  </si>
  <si>
    <t>CAP CER 1500PF 100V X7R 0805</t>
  </si>
  <si>
    <t>885012207117</t>
  </si>
  <si>
    <t>CAP CER 0.12UF 50V X7R 0805</t>
  </si>
  <si>
    <t>CC0805KRX7R9BB124</t>
  </si>
  <si>
    <t>IC SMART BATTERY CHARGER 24-SSOP</t>
  </si>
  <si>
    <t>LTC4100EG#PBF</t>
  </si>
  <si>
    <t>16V 0.1UF X7R 0402</t>
  </si>
  <si>
    <t>CC0402C104M4RACAUTO</t>
  </si>
  <si>
    <t>SSOT-6 P-CH-20V ON SEMI MOSFET</t>
  </si>
  <si>
    <t>FDC642P</t>
  </si>
  <si>
    <t>IC REG BUCK ADJUSTABLE 3A 8SOPWR</t>
  </si>
  <si>
    <t>TPS54339DDAR</t>
  </si>
  <si>
    <t>GREEN 525nm ĐÈN LED</t>
  </si>
  <si>
    <t>APT2012ZGC</t>
  </si>
  <si>
    <t>MOSFET2N-CH 30V 6A 8DFN</t>
  </si>
  <si>
    <t>A0N7810</t>
  </si>
  <si>
    <t>100MA 80V PNP</t>
  </si>
  <si>
    <t>BC856BLT3G</t>
  </si>
  <si>
    <t>MOSFET 2N-CH 30V 9A 8DFN</t>
  </si>
  <si>
    <t>AON7804</t>
  </si>
  <si>
    <t>LED RED</t>
  </si>
  <si>
    <t>10K OHM 1608 SMD</t>
  </si>
  <si>
    <t>NCU18XH103F60RB</t>
  </si>
  <si>
    <t>HSMF-A341-A00J1</t>
  </si>
  <si>
    <t>10UF 16V X5R 10%</t>
  </si>
  <si>
    <t>EMK212ABJ106KG-T</t>
  </si>
  <si>
    <t>CAP CER 33PF 100V C0G/NP0 0603</t>
  </si>
  <si>
    <t>GRM1885C2A330JA01D</t>
  </si>
  <si>
    <t>250MW 24V ĐI ỐT ZENER</t>
  </si>
  <si>
    <t>BZX84-C24,215</t>
  </si>
  <si>
    <t>BZX84-C3V3</t>
  </si>
  <si>
    <t>NCU18XH103J6SRB</t>
  </si>
  <si>
    <t>PCH+NCH 1.8V DRIVESON SEMI MOSFET</t>
  </si>
  <si>
    <t>MCH6660-TL-W</t>
  </si>
  <si>
    <t>MOSFET P-CH 40V 10A 8SOIC</t>
  </si>
  <si>
    <t>A04485</t>
  </si>
  <si>
    <t>CAP CER 0.1UF 50V X7R 0805</t>
  </si>
  <si>
    <t>CL21B104KBFNNNG</t>
  </si>
  <si>
    <t>CAP CER 0.047UF 50V X7R 1206</t>
  </si>
  <si>
    <t>CC1206KRX7R9BB473</t>
  </si>
  <si>
    <t>FILTER LC(T) 0.1UF SMD</t>
  </si>
  <si>
    <t>ACH32C-104-T</t>
  </si>
  <si>
    <t>RES SMD 75OHM 5% 1/10W 0603</t>
  </si>
  <si>
    <t>220PF 0805</t>
  </si>
  <si>
    <t>100R 0603</t>
  </si>
  <si>
    <t>CONN HOUSING 2POS 1.25MM NATURAL</t>
  </si>
  <si>
    <t>0510210200</t>
  </si>
  <si>
    <t>3K3 0805</t>
  </si>
  <si>
    <t>RR2012L332JT</t>
  </si>
  <si>
    <t>CAP CER 1PF 100V C0G/NP0 0402</t>
  </si>
  <si>
    <t>GRM1555C2A1R0CA01D</t>
  </si>
  <si>
    <t>100NF 25V X5R 10%</t>
  </si>
  <si>
    <t>CC0402KRX5R8BB104</t>
  </si>
  <si>
    <t>FUSE 2.5A 63VAC/DC SLOW 1206</t>
  </si>
  <si>
    <t>0685T2500-01</t>
  </si>
  <si>
    <t>RES SMD 1.13K OHM 1% 1/8W 0805</t>
  </si>
  <si>
    <t>RC0805FR-071K13L</t>
  </si>
  <si>
    <t>1UF 16VDC 0603 10%</t>
  </si>
  <si>
    <t>EMK107BJ105KAHT</t>
  </si>
  <si>
    <t>RES SMD 54.9K OHM 1% 1/8W 0805</t>
  </si>
  <si>
    <t>RC0805FR-0754K9L</t>
  </si>
  <si>
    <t>SRR6040A-330M</t>
  </si>
  <si>
    <t>IC EEPROM 256K I2C 1MHZ 8UDFN</t>
  </si>
  <si>
    <t>AT24C256C-MAHL-T</t>
  </si>
  <si>
    <t>module integrates</t>
  </si>
  <si>
    <t>SKW72</t>
  </si>
  <si>
    <t>FIXED IND 3.9UH 4.8A 14.6 MOHM</t>
  </si>
  <si>
    <t>SRU80443-3R9Y</t>
  </si>
  <si>
    <t xml:space="preserve"> BỘ ỔN ÁP LDO</t>
  </si>
  <si>
    <t>TPS7A0515PDBVR</t>
  </si>
  <si>
    <t>ADA4177-2ARZ</t>
  </si>
  <si>
    <t>FIXED IND 39UH 2.8A 70 MOHM SMD</t>
  </si>
  <si>
    <t>SRR1260-390M</t>
  </si>
  <si>
    <t>1.0UF 25V 10%</t>
  </si>
  <si>
    <t>0603X105K250CT</t>
  </si>
  <si>
    <t>DIODE ZENER SINGLE</t>
  </si>
  <si>
    <t>BZX84J-B4V3,115</t>
  </si>
  <si>
    <t>WCAP-CSGP 6800PF</t>
  </si>
  <si>
    <t>885012205049</t>
  </si>
  <si>
    <t>47UF 10V X5R 20%</t>
  </si>
  <si>
    <t>CAP CER 10UF 10V X5R 0603</t>
  </si>
  <si>
    <t>MICRO USB B RECPT</t>
  </si>
  <si>
    <t>105017-0001</t>
  </si>
  <si>
    <t>SCHOTTKY 30V DUAL CC</t>
  </si>
  <si>
    <t>BAT54C,215</t>
  </si>
  <si>
    <t>LED VÀNG</t>
  </si>
  <si>
    <t>RES SMD 4.7K OHM 5% 1/8W 0805</t>
  </si>
  <si>
    <t>ERJ-6GEYJ472V</t>
  </si>
  <si>
    <t>RES SMD OHM JUMPER 1/10W 0603</t>
  </si>
  <si>
    <t>AC0603FR-070RL</t>
  </si>
  <si>
    <t>Diode Schottky 40 V 2A Surface Mount SMB from onsemi</t>
  </si>
  <si>
    <t>CAP CER 1UF 16V X5R 0603</t>
  </si>
  <si>
    <t>CGA3E1X5R1C105K080AC</t>
  </si>
  <si>
    <t>DIODE ZENER 5.1V 5% 1W 20mA</t>
  </si>
  <si>
    <t>DZ2W05100L</t>
  </si>
  <si>
    <t>CAP CER 0.1UF 35V X5R 0603</t>
  </si>
  <si>
    <t>GMK107BJ104KAHT</t>
  </si>
  <si>
    <t>CC080KRX7R9BB223</t>
  </si>
  <si>
    <t>RR2012L102JT</t>
  </si>
  <si>
    <t>ECJ-2VC1H105J</t>
  </si>
  <si>
    <t>100V .047UF C0G 1206</t>
  </si>
  <si>
    <t>C1206C473J1GEC7210</t>
  </si>
  <si>
    <t>OPA551UA</t>
  </si>
  <si>
    <t>DIODE SCHOTTKY 40V 1A SOD123</t>
  </si>
  <si>
    <t>CDBW140-G</t>
  </si>
  <si>
    <t>RES 6.04K OHM 1% 1/8W 0805</t>
  </si>
  <si>
    <t>RMCF0805FT6K04</t>
  </si>
  <si>
    <t>CAP CER 1UF 50V X5R 0805</t>
  </si>
  <si>
    <t>UMK212BJ105KG-T</t>
  </si>
  <si>
    <t>CAP CER 2.2UF 50V X7R 1206</t>
  </si>
  <si>
    <t>CL31B225KBHNNNE</t>
  </si>
  <si>
    <t>CAP CER 0.068UF 16V X7R 0805</t>
  </si>
  <si>
    <t>GRM219R71C683KA01D</t>
  </si>
  <si>
    <t>VARISTOR 33V 100A 2SMD N0 LEAD</t>
  </si>
  <si>
    <t>LED GREEM CLEAR CHIP SMD</t>
  </si>
  <si>
    <t>APT1608SGC</t>
  </si>
  <si>
    <t>NRVBAF440T3G</t>
  </si>
  <si>
    <t>FERRITE BEAD 1KOHM 1810 1LN</t>
  </si>
  <si>
    <t>FBMH4525HM102NTV</t>
  </si>
  <si>
    <t>PTS645SK43SMTR92 LFS</t>
  </si>
  <si>
    <t>LED_SM_APT2012LVBC_BLUE</t>
  </si>
  <si>
    <t>APT2012LVBC/D</t>
  </si>
  <si>
    <t>MOSFET N-CH 40V 13.5A 8-S0IC</t>
  </si>
  <si>
    <t>A04484</t>
  </si>
  <si>
    <t>TAJE477K10RNJ</t>
  </si>
  <si>
    <t>16B MCU 8KB 1KBRAM</t>
  </si>
  <si>
    <t>PIC24F08KM101-I/S0</t>
  </si>
  <si>
    <t>P9235A-0NDGI</t>
  </si>
  <si>
    <t>RES SMD 3.9 OHM 5% 1/4W 1206</t>
  </si>
  <si>
    <t>RC1206JR-073R9L</t>
  </si>
  <si>
    <t>C0805C103K5RACTU</t>
  </si>
  <si>
    <t>CAP CER 47UF 6.3V X5R 1206</t>
  </si>
  <si>
    <t>C3216X5R0J476M160AC</t>
  </si>
  <si>
    <t>APHCM2012SURCK-F01</t>
  </si>
  <si>
    <t>NPS3005DV</t>
  </si>
  <si>
    <t>LOW-SATURATION ON SEMI EEPROM</t>
  </si>
  <si>
    <t>CAT24C256HU4IGT3</t>
  </si>
  <si>
    <t>0.047UF 1206 50V</t>
  </si>
  <si>
    <t>GCM31M5C1H473FA16L</t>
  </si>
  <si>
    <t>10K 0805</t>
  </si>
  <si>
    <t>0.1UF 50V 5%</t>
  </si>
  <si>
    <t>GRM31C5C1H104JA1L</t>
  </si>
  <si>
    <t>0.02OHM 1% 1/2W</t>
  </si>
  <si>
    <t>MFC0603-R02FT5</t>
  </si>
  <si>
    <t>GRM155C81E104KA12D</t>
  </si>
  <si>
    <t>RR2012(0805)L103JT</t>
  </si>
  <si>
    <t>CAP CER 0.1UF 16V X7R 0603</t>
  </si>
  <si>
    <t>C0603C104M4RACTU</t>
  </si>
  <si>
    <t>5.1V 250MW ZENER</t>
  </si>
  <si>
    <t>BZX84C5V1LT1G</t>
  </si>
  <si>
    <t>RES THICK FILM 10KOHM 1% 0.0625W</t>
  </si>
  <si>
    <t>MCWR04X1002FTL</t>
  </si>
  <si>
    <t>4K7 0402 5%</t>
  </si>
  <si>
    <t>RC0402JR-074K7L</t>
  </si>
  <si>
    <t>PCB 834B_002_E_ANISYS-BIOFEEDBACK-MAIN-BOARD</t>
  </si>
  <si>
    <t>CON_HDR_2W_2MM_ST_TMM-102-01-G-S</t>
  </si>
  <si>
    <t>53047-0210</t>
  </si>
  <si>
    <t xml:space="preserve">CON_COIN_BATTERY_HOLDER_2032 </t>
  </si>
  <si>
    <t>PCB_PBI1_01_001_B
_HarmstringTrainer_Main_Board"</t>
  </si>
  <si>
    <t>PCB SAV1_001_C_Savantini_Main_Board_Transformer</t>
  </si>
  <si>
    <t>PCB_SAV1_001_C 130323</t>
  </si>
  <si>
    <t>Rigid PCB, 4Layer,FR4 , T=1.6mm,
Finished copper:1/1/1/1 OZ, immersion gold
Green soldermak, white silkscreen</t>
  </si>
  <si>
    <t>PCB_PBI01_A_Harm
string Trainer_Main_Board</t>
  </si>
  <si>
    <t>Flex-rigid PCB , 4Layers
Rigid part: T=1.6MM, FR-4 , Green Solder mask,White silkscreen,Finished copper: 1/0.5/0.5/1 OZ, ENIG
Flex part: T= 0.12MM, 2L, Yellow coverlay, finished copper 0.5/0.5OZ
Piece Size (mm): 76 x 26
Panel size (mm): 90 x 118
ARRAY: 4</t>
  </si>
  <si>
    <t>PCB LUC1_03_IUK _Enuresis_A</t>
  </si>
  <si>
    <t>SIMLOCK</t>
  </si>
  <si>
    <t>PCB_911_001_C_O scillating-Cast-Saw</t>
  </si>
  <si>
    <t xml:space="preserve">CON_HDR_4W_2MM_ST </t>
  </si>
  <si>
    <t xml:space="preserve">CON_HDR_6W_2R_2MM_ST  </t>
  </si>
  <si>
    <t xml:space="preserve">SW_SM_PUSH-BUTTON_PTS645SL70-2LFS  </t>
  </si>
  <si>
    <t>PTS645SL70-2 LFS</t>
  </si>
  <si>
    <t xml:space="preserve">CON_HDR_14W_2R_2.54MM_ST </t>
  </si>
  <si>
    <t>SSW-107-01-T-D</t>
  </si>
  <si>
    <t>PCB_834_150_A_Anisys-Side-Button</t>
  </si>
  <si>
    <t xml:space="preserve">CAP_ELEC_220U_20%_63V_5MM            </t>
  </si>
  <si>
    <t>EEU-FC1J221S</t>
  </si>
  <si>
    <t xml:space="preserve">CON_HDR_11W_2.54MM_ST   </t>
  </si>
  <si>
    <t>SSW-111-01-G-S</t>
  </si>
  <si>
    <t xml:space="preserve">SW_SM_PUSH_BUTTON_PTS645V </t>
  </si>
  <si>
    <t>PTS645VL832LFS</t>
  </si>
  <si>
    <t>IC MCU 8BIT 14KB FLASH 28S0IC</t>
  </si>
  <si>
    <t>PIC16F1716-I/SO</t>
  </si>
  <si>
    <t>MAG1_05_A_Magsti
m_TMS_Compact</t>
  </si>
  <si>
    <t>IC_CD74HC14M96_Schmitt_Trigger_TSSOP14</t>
  </si>
  <si>
    <t xml:space="preserve">CD74HC14M96 </t>
  </si>
  <si>
    <t>IC_LDL1117_SOT223_LDO_Regulator</t>
  </si>
  <si>
    <t xml:space="preserve">LDL1117S50R </t>
  </si>
  <si>
    <t xml:space="preserve">RES_0402_20K_1%_63MW </t>
  </si>
  <si>
    <t xml:space="preserve">RC0402FR-0720KL </t>
  </si>
  <si>
    <t xml:space="preserve">RES_0603_1M_1%_63MW  </t>
  </si>
  <si>
    <t>ERJ-3EKF1004V</t>
  </si>
  <si>
    <t>CAP_CER_0402_12P_5%_50V_COG/NP0</t>
  </si>
  <si>
    <t>C0402C120J5GACTU</t>
  </si>
  <si>
    <t xml:space="preserve">RES_0402_820R_1%_63MW </t>
  </si>
  <si>
    <t>RC0402FR-07820RL</t>
  </si>
  <si>
    <t xml:space="preserve">RES_0402_51K_1%_63MW </t>
  </si>
  <si>
    <t xml:space="preserve">RC0402FR-0751KL </t>
  </si>
  <si>
    <t xml:space="preserve">CAP_CER_0402_100N_10%_100V_X7R  </t>
  </si>
  <si>
    <t>GRM155R71C104KA88D</t>
  </si>
  <si>
    <t xml:space="preserve">RES_0402_15K_1%_63MW </t>
  </si>
  <si>
    <t>RC0402FR-0715KL</t>
  </si>
  <si>
    <t>RES_0402_36K_1%_63MW</t>
  </si>
  <si>
    <t>RC0402FR-0736KL</t>
  </si>
  <si>
    <t xml:space="preserve">RES_0402_220R_1%_63MW  </t>
  </si>
  <si>
    <t>RC0402FR-07220RL</t>
  </si>
  <si>
    <t>CAP_CER_0603_1U_10%_50V_X5R</t>
  </si>
  <si>
    <t>CAP_CER_0603_4U7_10%_16V_X5R</t>
  </si>
  <si>
    <t>CL10A475KO8NNNC</t>
  </si>
  <si>
    <t xml:space="preserve">IND_1008_1U_LQM2HPN1R0MJ0L </t>
  </si>
  <si>
    <t>LQM2HPN1R0MJ0L</t>
  </si>
  <si>
    <t xml:space="preserve">IC_SGM41518_PMIC_1200mA    </t>
  </si>
  <si>
    <t xml:space="preserve">SGM41518 </t>
  </si>
  <si>
    <t>IC_TCA9548ADGVR_I2C-SWITCHER-TVSOP-24</t>
  </si>
  <si>
    <t xml:space="preserve">NANOSMDC150F-2  </t>
  </si>
  <si>
    <t>LED_SM_APT2012LSECKJ3RV_RED</t>
  </si>
  <si>
    <t>APT2012LSECKJ3RV</t>
  </si>
  <si>
    <t>LED_SM_APT2012LZGCK_GREEN</t>
  </si>
  <si>
    <t>APT2012LZGCK</t>
  </si>
  <si>
    <t>LED_SM_APT2012SECK_ORANGE</t>
  </si>
  <si>
    <t>APT2012SECK</t>
  </si>
  <si>
    <t xml:space="preserve">NPN Transistor BC818-40LT1G </t>
  </si>
  <si>
    <t xml:space="preserve">BC818-40LT1G </t>
  </si>
  <si>
    <t xml:space="preserve">TRANSISTOR_FSB660A_SOT23  </t>
  </si>
  <si>
    <t>FSB660A</t>
  </si>
  <si>
    <t>TRANSISTOR_MOSFET_NPN_SI2302DDS-T1-GE3_SOT23</t>
  </si>
  <si>
    <t>DIODE_BAT54A_SOT23</t>
  </si>
  <si>
    <t>BAT54A,215</t>
  </si>
  <si>
    <t>DIODE_SCHOTTKY_PMEG3010CEH_SOD123F</t>
  </si>
  <si>
    <t>PMEG3010CEH</t>
  </si>
  <si>
    <t>RES-SMD; 47KOHM,1%,0402,1/16W</t>
  </si>
  <si>
    <t>RC0402FR-0747KL</t>
  </si>
  <si>
    <t>GRM188R61E106MA73J</t>
  </si>
  <si>
    <t>LDL1117S33R</t>
  </si>
  <si>
    <t xml:space="preserve">FUSE_RESETTABLE_2920L500/16MR_16V_5A </t>
  </si>
  <si>
    <t>2920L500/16MR</t>
  </si>
  <si>
    <t>CON_USB-TYPE-C_SM_AMP</t>
  </si>
  <si>
    <t>12401598E4#2A</t>
  </si>
  <si>
    <t xml:space="preserve">DIODE_TVS_ESDA25P35-1U1M </t>
  </si>
  <si>
    <t>SW_SM_PUSH_BUTTON_PTS647SM50SMTR2L</t>
  </si>
  <si>
    <t>PTS 647 SM50 SMTR2 LFS</t>
  </si>
  <si>
    <t>Rigid PCB, 2Layer,FR4 , T=1.6mm,
Finished copper:1/1 OZ, HASL Lead Free
Green soldermak, white silkscreen
Piece Size(mm): 12 x 8.4
Array: 30
Panel size(mm): 70 x 58.4</t>
  </si>
  <si>
    <t>PCB_834_001_I_Anisys_Main_Board_110924</t>
  </si>
  <si>
    <t>CON_HDR_2W_2MM_JST</t>
  </si>
  <si>
    <t>S2B-PH-K-S</t>
  </si>
  <si>
    <t xml:space="preserve">CON_HDR_2W_2_54MM_ST </t>
  </si>
  <si>
    <t>691210910002</t>
  </si>
  <si>
    <t>PCB_MAG1_01_D_Magstim_Connector_211124</t>
  </si>
  <si>
    <t>CON_HDR_150W_AMPHENOL_10115913-101LF</t>
  </si>
  <si>
    <t>10115913-101LF</t>
  </si>
  <si>
    <t>NEW</t>
  </si>
  <si>
    <t>CAP ALUM 47UF 10% 35V RADIAL</t>
  </si>
  <si>
    <t>UKL1V470KPDANATD</t>
  </si>
  <si>
    <t>100nF (0.1uF) 50V Multilayer Ceramic Capacitor</t>
  </si>
  <si>
    <t>178MU0002</t>
  </si>
  <si>
    <t>CL21B104KBFXPJE</t>
  </si>
  <si>
    <t>100nF/50V/C0603</t>
  </si>
  <si>
    <t>10000pF ±10% 50V Ceramic Capacitor X7R 0603 (1608 Metric)</t>
  </si>
  <si>
    <t>CGA3E2X7R1H103K080AA</t>
  </si>
  <si>
    <t>4.7µF ±10% 35V Ceramic Capacitor X5R 0603</t>
  </si>
  <si>
    <t>CL10A475KL8NRNC</t>
  </si>
  <si>
    <t xml:space="preserve"> 
CAP TANT 100UF 10% 10V 2312</t>
  </si>
  <si>
    <t>TPSC107K010T0100</t>
  </si>
  <si>
    <t>VARISTOR 33V 250A DISC 7MM</t>
  </si>
  <si>
    <t>MOV-07D330KTR</t>
  </si>
  <si>
    <t>CAP CER 2.2UF 50V X5R 0603</t>
  </si>
  <si>
    <t>GRM188R61H225KE11D</t>
  </si>
  <si>
    <t>Header IDC, 4 x 1 Pin Vertical 2.54mm Pitch (Non-Boxed, Male)</t>
  </si>
  <si>
    <t>XH 2.54 4P</t>
  </si>
  <si>
    <t>CAP CER 22UF 25V X5R 0805</t>
  </si>
  <si>
    <t>GRT21BR61E226ME13L</t>
  </si>
  <si>
    <t>20pF</t>
  </si>
  <si>
    <t>CL10C200JB8NNNC</t>
  </si>
  <si>
    <t>35YXF330MEFCT810X16</t>
  </si>
  <si>
    <t>GMK107AB7105KAHT</t>
  </si>
  <si>
    <t>Default Diode</t>
  </si>
  <si>
    <t>SS34-HF</t>
  </si>
  <si>
    <t>Diode  Standard Rectifier SMD 1000V 1A SMA</t>
  </si>
  <si>
    <t>SM4007PL-TP</t>
  </si>
  <si>
    <t>diode tvs</t>
  </si>
  <si>
    <t>PSD12C</t>
  </si>
  <si>
    <t>SS36</t>
  </si>
  <si>
    <t>Diode SMD Zener 5V1 0.5W</t>
  </si>
  <si>
    <t>TZS4687-GS08</t>
  </si>
  <si>
    <t>Resettable Fuses</t>
  </si>
  <si>
    <t>RUEF185</t>
  </si>
  <si>
    <t>Linear Voltage Regulator IC  1 Output  800mA SOT-223</t>
  </si>
  <si>
    <t>LM1117IMP-3.3/NOPB</t>
  </si>
  <si>
    <t>SN65176BDR</t>
  </si>
  <si>
    <t>Microcoaxial RF, 50 Ohm, PCB Vertical Jack Receptacle, SMT, 1.25mm Mounted Height</t>
  </si>
  <si>
    <t>KF7.62-2 Barrier Terminal 2 Position 20A 300V Pitch 7.62mm PCB</t>
  </si>
  <si>
    <t>KF7.62-2P</t>
  </si>
  <si>
    <t>1uH_SMD_8D43</t>
  </si>
  <si>
    <t>SMMS0630-1R0M</t>
  </si>
  <si>
    <t>22uH_SMD_8D43</t>
  </si>
  <si>
    <t>XRRH8D43-220M</t>
  </si>
  <si>
    <t>15uH_SMD,7.3x7.3mm</t>
  </si>
  <si>
    <t>YPRH0704-150M</t>
  </si>
  <si>
    <t>Esp-32S</t>
  </si>
  <si>
    <t>ESP32-WROOM-32UE-N16</t>
  </si>
  <si>
    <t>NPN 600mW, ECB</t>
  </si>
  <si>
    <t>RES SMD 0.0 OHM JUMPER 1/8W 0805</t>
  </si>
  <si>
    <t>CR0805-J-000-ELF</t>
  </si>
  <si>
    <t>3 kOhms ±1% 0.1W, 1/10W Chip Resistor 0603 (1608 Metric) Automotive AEC-Q200 Thick Film</t>
  </si>
  <si>
    <t>RMCF0603FT3K00</t>
  </si>
  <si>
    <t>PTC RESET FUSE 6V 2A 1206</t>
  </si>
  <si>
    <t>MF-NSMF200-2</t>
  </si>
  <si>
    <t>RC0603FR-077K5L</t>
  </si>
  <si>
    <t>RC0603FR-0720KL</t>
  </si>
  <si>
    <t>RC0603JR-0720RL</t>
  </si>
  <si>
    <t>RES SMD 0.0OHM JUMPER 1/10W 0603</t>
  </si>
  <si>
    <t>RC0603FR-0751K1L</t>
  </si>
  <si>
    <t>RC0603FR-13120KL</t>
  </si>
  <si>
    <t>24 kOhms ±1% 0.1W Chip Resistor 0603 (1608 Metric)</t>
  </si>
  <si>
    <t>RC0603FR-0724KL</t>
  </si>
  <si>
    <t>RMCF0603FT10K0</t>
  </si>
  <si>
    <t>RES SMD 470K OHM 1% 1/10W 0603</t>
  </si>
  <si>
    <t>RC0603FR-07470KL</t>
  </si>
  <si>
    <t>CONN Nanosim 7Push 1.27mm</t>
  </si>
  <si>
    <t>SIM-1-A</t>
  </si>
  <si>
    <t xml:space="preserve">Switch button </t>
  </si>
  <si>
    <t>TS-1093A-A11B2-D2</t>
  </si>
  <si>
    <t>Switching Voltage Regulators</t>
  </si>
  <si>
    <t>TPS5430DDAR</t>
  </si>
  <si>
    <t>2A 380KHz 20V PWM Buck DC/DC Converter</t>
  </si>
  <si>
    <t>TD1410</t>
  </si>
  <si>
    <t>CONN SD CARD PUSH-PUSH R/A SMD</t>
  </si>
  <si>
    <t>TF-CARD H1.8</t>
  </si>
  <si>
    <t>STM32G0B0CET6</t>
  </si>
  <si>
    <t>SENSOR ANALOG 0C-100C TO92-3</t>
  </si>
  <si>
    <t>LM35DZ/LFT1</t>
  </si>
  <si>
    <t>Module LAN</t>
  </si>
  <si>
    <t>WIZ850io</t>
  </si>
  <si>
    <t>XTAL SMD 3215, 32.768kHz, Cl=9pF, Total Tol: ±50ppm</t>
  </si>
  <si>
    <t>32.768K12.5PI/3215E</t>
  </si>
  <si>
    <t>CAP CER 0.1UF 25V X7R 0603</t>
  </si>
  <si>
    <t>CC0603KRX7R8BB104</t>
  </si>
  <si>
    <t>CC0603MRX5R6BB106</t>
  </si>
  <si>
    <t>CAP POL 100UF 10V 20% 5.3x5.3</t>
  </si>
  <si>
    <t>PCG1A101MCL1GS</t>
  </si>
  <si>
    <t>CAP CER 22UF 10V 20% 0805</t>
  </si>
  <si>
    <t>CC0805MKX5R6BB226</t>
  </si>
  <si>
    <t>CAP CER 2.2UF 25V X5R 0603</t>
  </si>
  <si>
    <t>CC0603KRX5R8BB225</t>
  </si>
  <si>
    <t>2A Ceramic Fast Fuse</t>
  </si>
  <si>
    <t>Fast Fuse 5A</t>
  </si>
  <si>
    <t>FIXED IND 1UH 10.3A CYNTEC</t>
  </si>
  <si>
    <t>VCMT053T-1R0MN5</t>
  </si>
  <si>
    <t>RES SMD 49K9 OHM 1% 1/10W 0603</t>
  </si>
  <si>
    <t>RC0603FR-07680RL</t>
  </si>
  <si>
    <t>RC0603JR-0768RL</t>
  </si>
  <si>
    <t>RES 732K 1% 0603</t>
  </si>
  <si>
    <t>RC0603FR-07732KL</t>
  </si>
  <si>
    <t>RES 374R 1% 0603</t>
  </si>
  <si>
    <t>RC0603FR-07374RL</t>
  </si>
  <si>
    <t>3.7-A boost converter with 0.5-V ultra-low input voltage 6-SOT-5X3 -40 to 125</t>
  </si>
  <si>
    <t>TPS61023DRLR</t>
  </si>
  <si>
    <t>1-cell, 1-A stand-alone linear battery charger with power path and solar input support 10-WSON -40 to 125</t>
  </si>
  <si>
    <t>BQ25185DLHR</t>
  </si>
  <si>
    <t>CAP CER 33PF 50V C0G/NP0 0402</t>
  </si>
  <si>
    <t>GJM1555C1H330FB01D</t>
  </si>
  <si>
    <t>Rigid PCB, 2Layer,FR4 , T=1.6mm,
Finished copper:1/1 OZ,ENIG
RED soldermak, white silkscreen
Piece Size(mm): 120 x 118</t>
  </si>
  <si>
    <t>PCCC V1.1.0_004</t>
  </si>
  <si>
    <t>Tụ Gốm 1206 10uF 16V</t>
  </si>
  <si>
    <t>Bus Wire Female-Female Connector 4 Way, Pitch 2.54mm, Length 20cm</t>
  </si>
  <si>
    <t>PIN CR1220-3V</t>
  </si>
  <si>
    <t>WR-PHD 2.54 mm Angled Socket Header</t>
  </si>
  <si>
    <t>CONN Đầu XH 2.54mm 4 Chân Cong Xuyên Lỗ, 3A 250V</t>
  </si>
  <si>
    <t>BAT54C</t>
  </si>
  <si>
    <t>'LED Green 0805 SMD</t>
  </si>
  <si>
    <t>NCD0805G1</t>
  </si>
  <si>
    <t>3.3k Ohms Jumper 0.125W, 1/8W Chip Resistor 0805 (2012 Metric) Moisture Resistant Thick Film</t>
  </si>
  <si>
    <t xml:space="preserve"> ERJ-3GEYJ332V</t>
  </si>
  <si>
    <t>N706-CB_109PIN_LCC+LGA_R</t>
  </si>
  <si>
    <t>N706-CB-02-S1</t>
  </si>
  <si>
    <t>BatteryConnector</t>
  </si>
  <si>
    <t>BATTERY CASE 2*18650</t>
  </si>
  <si>
    <t>33p/50V/C0603</t>
  </si>
  <si>
    <t>USB-5</t>
  </si>
  <si>
    <t>Ăng Ten 2.4GHz 3dBi Đầu SMA</t>
  </si>
  <si>
    <t>2.4G Antena</t>
  </si>
  <si>
    <t>4.7µF ±10% 50V Ceramic Capacitor X7R 0805 (2012 Metric)</t>
  </si>
  <si>
    <t>CGA4J1X7R1H475K125AE</t>
  </si>
  <si>
    <t>RES 10.5K OHM 1% 1/8W 0805</t>
  </si>
  <si>
    <t>RMCF0805FT10K5</t>
  </si>
  <si>
    <t>HR961160C</t>
  </si>
  <si>
    <t>CAP CER 10PF 10V 10% NP0 0805</t>
  </si>
  <si>
    <t>CL21F106ZPFNNNE</t>
  </si>
  <si>
    <t>Tụ 1nF 0805 50V</t>
  </si>
  <si>
    <t>1.8nH 0603</t>
  </si>
  <si>
    <t>2pF 0603</t>
  </si>
  <si>
    <t>Batteries Lithium 3200mAH, 3.7-4.2VDC support</t>
  </si>
  <si>
    <t xml:space="preserve">INR18650-32E </t>
  </si>
  <si>
    <t>PCB Generate Files</t>
  </si>
  <si>
    <t>0.5R 0603</t>
  </si>
  <si>
    <t>RL0603JR-070R5L</t>
  </si>
  <si>
    <t>RES 82K OHM 1% 1/10W 0603</t>
  </si>
  <si>
    <t>LED Red 55mW 0805 Light Emitting Diodes</t>
  </si>
  <si>
    <t>XL-2012SURC</t>
  </si>
  <si>
    <t>dây bus gắn màn hình _255pcs
dây bus gắn nắp_218 pcs</t>
  </si>
  <si>
    <t>NIC</t>
  </si>
  <si>
    <t>CAP CER 4.7UF 6.3V X5R 0201</t>
  </si>
  <si>
    <t>GMC02X5R475M6R3NT</t>
  </si>
  <si>
    <t>187-CL03A475MQ5C65C</t>
  </si>
  <si>
    <t>CAP CER 10PF 25V NP0 0201</t>
  </si>
  <si>
    <t>TMK063CG100DT-F</t>
  </si>
  <si>
    <t>CAP CER 1.2PF 25V C0G/NP0 0201</t>
  </si>
  <si>
    <t>GRM0335C1E1R2WA01D</t>
  </si>
  <si>
    <t>CAP CER 820PF 25V X7R 0201</t>
  </si>
  <si>
    <t>GRM033R71E821JA01D</t>
  </si>
  <si>
    <t>CAP CER 18PF 25V C0G/NP0 0201</t>
  </si>
  <si>
    <t>GJM0335C1E180GB01D</t>
  </si>
  <si>
    <t>CAP CER 12PF 25V NP0 0201</t>
  </si>
  <si>
    <t>GRM0335C1E120FA01D</t>
  </si>
  <si>
    <t>CAP CER 22UF 6.3V X5R 0603</t>
  </si>
  <si>
    <t>C1608X5R0J226M080AC</t>
  </si>
  <si>
    <t>JMK107BBJ226MA-T</t>
  </si>
  <si>
    <t>CAP CER 47UF 20% 50V X7R 0603</t>
  </si>
  <si>
    <t>ZRB18AR60J476ME01L</t>
  </si>
  <si>
    <t>CAP CER 220UF 20% 6.3V X5R 1206 (3216 Metric)</t>
  </si>
  <si>
    <t>GRM31CR60J227ME11L</t>
  </si>
  <si>
    <t>CAP CER 1UF 6.3V X5R 0201</t>
  </si>
  <si>
    <t>CM03X5R105K06AH</t>
  </si>
  <si>
    <t>JMK063ABJ105KP-F</t>
  </si>
  <si>
    <t>CAP CER 2.2PF ±0.1pF 50V C0G/NP0 0402</t>
  </si>
  <si>
    <t>CL05C2R2BB5NNNC</t>
  </si>
  <si>
    <t>GRM0225C1H2R2CA03L</t>
  </si>
  <si>
    <t>CAP CER 1PF ±0.1pF 50V NP0 0201</t>
  </si>
  <si>
    <t>CC0201BRNPO9BN1R0</t>
  </si>
  <si>
    <t>CAP CER 1.5PF 50V C0G/NP0 0201</t>
  </si>
  <si>
    <t>GJM0335C1H1R5BB01D</t>
  </si>
  <si>
    <t>CAP CER 0.047UF 16V X6S 0201</t>
  </si>
  <si>
    <t>C0603X6S1C473K030BC</t>
  </si>
  <si>
    <t>FIXED IND 2.2UH 1.2A 140MOHM SMD</t>
  </si>
  <si>
    <t>CKP20162R2M-T</t>
  </si>
  <si>
    <t>FIXED IND 15NH 600MA 130MOHM SMD</t>
  </si>
  <si>
    <t>LQW18AN15NJ00D</t>
  </si>
  <si>
    <t>FIXED IND 3.3NH 380MA 400MOHM SM</t>
  </si>
  <si>
    <t>744901033</t>
  </si>
  <si>
    <t>FERRITE BEAD 600 OHM 0402 1LN</t>
  </si>
  <si>
    <t>BLM15AG601SN1D</t>
  </si>
  <si>
    <t>FIXED IND 15NH 320MA 460MOHM SMD</t>
  </si>
  <si>
    <t>HK100515NJ-T</t>
  </si>
  <si>
    <t>FIXED IND 4.7NH 320MA 600MOHM SM</t>
  </si>
  <si>
    <t>744901047</t>
  </si>
  <si>
    <t>FIXED IND 10NH 100MA 1.3 OHM SMD</t>
  </si>
  <si>
    <t>LQP15MN10NG02D</t>
  </si>
  <si>
    <t>RES SMD 11K OHM 1% 1/20W 0201</t>
  </si>
  <si>
    <t>CRCW020111K0FNED</t>
  </si>
  <si>
    <t>RES SMD 10K OHM 5% 1/20W 0201</t>
  </si>
  <si>
    <t>CRCW020110K0JNED</t>
  </si>
  <si>
    <t>RES SMD 16K OHM 1% 1/20W 0201</t>
  </si>
  <si>
    <t>RC0201FR-0716KL</t>
  </si>
  <si>
    <t>RES 270 OHM 5% 1/20W 0201 SMD</t>
  </si>
  <si>
    <t>ERJ-U01J271C</t>
  </si>
  <si>
    <t>RES SMD 20K OHM 1% 1/20W 0201</t>
  </si>
  <si>
    <t>667-ERJ-1GNF2002C</t>
  </si>
  <si>
    <t>CRG0603ZR</t>
  </si>
  <si>
    <t>RES SMD 1K OHM 5% 1/20W 0201</t>
  </si>
  <si>
    <t>ERJ-1GNJ102C</t>
  </si>
  <si>
    <t>XFMR BALUN RF 3.0-8.0GHZ UWB SMD</t>
  </si>
  <si>
    <t>HHM1595A1</t>
  </si>
  <si>
    <t>IC REG BUCK 1.8V 600MA 5DSBGA</t>
  </si>
  <si>
    <t>LM3671TLX-1.8/NOPB</t>
  </si>
  <si>
    <t>NTH</t>
  </si>
  <si>
    <t>Cap Cer 10UF 10V X7R 0603</t>
  </si>
  <si>
    <t>GRM188Z71A106KA73D</t>
  </si>
  <si>
    <t>Tvs Diode, Bidir, 60V, 600W, Do-214Aa-2 Rohs Compliant: Yes |Yageo SMBJ60CA/TR13</t>
  </si>
  <si>
    <t>SMBJ60CA/TR13</t>
  </si>
  <si>
    <t>LED Uni-Color Blue 465nm 2-Pin SMD T/R</t>
  </si>
  <si>
    <t>APA2107LVBC/D</t>
  </si>
  <si>
    <t>SMD Chip Resistor, 220 Ohm, Â± 1%, 100 mW, 0603 [1608 Metric], Thick Film, General Purpose</t>
  </si>
  <si>
    <t>RC0603FR-10220RL</t>
  </si>
  <si>
    <t>SMD Chip Resistor, 3.3 kOhm, Â± 1%, 100 mW, 0603 [1608 Metric], Thick Film, General Purpose</t>
  </si>
  <si>
    <t>RC0603FR-133K3L</t>
  </si>
  <si>
    <t>SMD Current Sense Resistor, 20 Milliohm, Â± 1%, 100 mW, 0603 [1608 Metric], Metal Film</t>
  </si>
  <si>
    <t>PE0603FRF070R02L</t>
  </si>
  <si>
    <t>Dual Channel Single ADC Delta-Sigma 3ksps 20-bit Serial 28-Pin SOIC T/R</t>
  </si>
  <si>
    <t>DDC112U/1K</t>
  </si>
  <si>
    <t>GCJ188R71H104KA12D</t>
  </si>
  <si>
    <t>CAP CER 10UF 50V X5R 0805</t>
  </si>
  <si>
    <t>GRM21BR61H106KE43K</t>
  </si>
  <si>
    <t>CAP CER 75PF 50V C0G/NP0 0603</t>
  </si>
  <si>
    <t>GRM1885C1H750JA01D</t>
  </si>
  <si>
    <t>GRM1885C1H120JA01D</t>
  </si>
  <si>
    <t>GCM31CR71H225KA55K</t>
  </si>
  <si>
    <t>GCJ188R71H103KA01D</t>
  </si>
  <si>
    <t>TVS DIODE 60VWM 96.8VC DO214AA</t>
  </si>
  <si>
    <t>Varistor 1 Circuit Surface Mount, MLCV 0603 (1608 Metric)</t>
  </si>
  <si>
    <t>CG0603MLC-3.3LEA</t>
  </si>
  <si>
    <t>FUSE-POLY-24V-200mA-1206L020YR</t>
  </si>
  <si>
    <t>1206L020YR</t>
  </si>
  <si>
    <t>J-FPC-8-0522710879</t>
  </si>
  <si>
    <t xml:space="preserve">	
FIXED IND 10UH 1A 480 MOHM SMD 10 uH</t>
  </si>
  <si>
    <t>CC453232A-100KL</t>
  </si>
  <si>
    <t>FIXED IND 1UH 1.7A 128 MOHM SMD</t>
  </si>
  <si>
    <t>DFE18SAN1R0MG0L</t>
  </si>
  <si>
    <t>FERRITE BEAD 300 OHM 0805 1LN</t>
  </si>
  <si>
    <t>2508053017Y3</t>
  </si>
  <si>
    <t>LED-G-0603-LTST-S270KGKT</t>
  </si>
  <si>
    <t>LTST-S270KGKT</t>
  </si>
  <si>
    <t>RES SMD 15 OHM 1% 1/4W 0603</t>
  </si>
  <si>
    <t>RCS060315R0FKEA</t>
  </si>
  <si>
    <t>RES 10K OHM 1% 1/10W 0603</t>
  </si>
  <si>
    <t>RC0603FR-1010KL</t>
  </si>
  <si>
    <t>RES 470 OHM 1% 1/10W 0603</t>
  </si>
  <si>
    <t>RC0603FR-10470RL</t>
  </si>
  <si>
    <t>RES 49.9 OHM 1% 1/10W 0603</t>
  </si>
  <si>
    <t>RC0603FR-0749R9L</t>
  </si>
  <si>
    <t>RES 100 OHM 1% 1/4W 1206</t>
  </si>
  <si>
    <t>RC1206FR-10100RL</t>
  </si>
  <si>
    <t>RES 6.8K OHM 1% 1/10W 0603</t>
  </si>
  <si>
    <t>RC0603FR-136K8L</t>
  </si>
  <si>
    <t>I2C Digital Isolator 3000Vrms 2 Channel 50kV/Âµs CMTI 8-SOIC (0.154", 3.90mm Width)</t>
  </si>
  <si>
    <t>ISO1640BDR</t>
  </si>
  <si>
    <t>CONN FFC FPC TOP 24POS 0.5MM R/A</t>
  </si>
  <si>
    <t>SFV24R-2STBE1HLF</t>
  </si>
  <si>
    <t>CABLE FFC/FPC 8POS 1MM 2"</t>
  </si>
  <si>
    <t>Graphic LCD Display Module TFT - Color 1.3" (33.02mm) 240 x 240</t>
  </si>
  <si>
    <t>PCB X64 Rev 0-MI</t>
  </si>
  <si>
    <t>Layer Count： 6 L Rigid board Copper Thickness ： 1/1OZ Smallest hole：8mil
Material Type： FR4 tg170 Board Size：406*218mm Blind&amp;burried Vias ：NO
Surface Finish ： ENIG 1U'' Array Size：406*228mm （1UP） Hole to Track Spacing ：5 mil
Gold finger(Pin) ： NO Board Thickness ： 1.6mm Non -Conductive Resin ：NO
IPC Standard ： IPC 2 Track Width&amp;Gap ：≥4/4mil Conductive Resin ：NO
Soldermask Colour ： Green Impedance Control ： NO
Silkscreen Colour ： White Others:via tented</t>
  </si>
  <si>
    <t>PCB Test for X64 Rev 0-MI</t>
  </si>
  <si>
    <t>GỬI KH 10.3.25</t>
  </si>
  <si>
    <t>FAIL</t>
  </si>
  <si>
    <t>PRD</t>
  </si>
  <si>
    <t>06035C104KAT2A</t>
  </si>
  <si>
    <t>CAP CER 10UF 50V Y5V 1210</t>
  </si>
  <si>
    <t>12105G106ZAT2A</t>
  </si>
  <si>
    <t>CAP CER 15PF 50V C0G/NP0 0805</t>
  </si>
  <si>
    <t>C0805C150K5GACTU</t>
  </si>
  <si>
    <t>CAP CER 2700PF 50V C0G/NP0 0805</t>
  </si>
  <si>
    <t>GRM2165C1H272FA01D</t>
  </si>
  <si>
    <t>GRM31CR61A476ME15L</t>
  </si>
  <si>
    <t>CAP ALUM 10UF 20% 16V SMD</t>
  </si>
  <si>
    <t>UWX1C100MCL2GB</t>
  </si>
  <si>
    <t>C0805C104K3RALTU</t>
  </si>
  <si>
    <t>CAP CER 750PF 50V C0G/NP0 0805</t>
  </si>
  <si>
    <t>C0805C751J5GACTU</t>
  </si>
  <si>
    <t>CAP 2.2uF 10V CERAMIC X5R 0603</t>
  </si>
  <si>
    <t>CC0603KRX5R6BB225</t>
  </si>
  <si>
    <t>CAP CERM 10UF 10V X5R 0805</t>
  </si>
  <si>
    <t>C0805C106K8PACTU</t>
  </si>
  <si>
    <t>C3225X6S0J107M250AC</t>
  </si>
  <si>
    <t>GRM188R61A474KA61D</t>
  </si>
  <si>
    <t>CAP CERAMIC 1.0UF 10V X5R 0603</t>
  </si>
  <si>
    <t>GRM188R61A105KA61D</t>
  </si>
  <si>
    <t>CAP CER 0.022UF 50V C0G/NP0 0805</t>
  </si>
  <si>
    <t>GRM21B5C1H223JA01L</t>
  </si>
  <si>
    <t>GRM21B5C1H223JA01K</t>
  </si>
  <si>
    <t>CAP 10000PF 50V CERAMIC X7R 0603</t>
  </si>
  <si>
    <t>C0603C103J5RACTU</t>
  </si>
  <si>
    <t>CAP ALUM 1000UF 20% 50V SMD</t>
  </si>
  <si>
    <t>EEE-FK1H102AM</t>
  </si>
  <si>
    <t>CAP CER 15PF 50V 5% NP0 0603</t>
  </si>
  <si>
    <t>C1608C0G1H150J</t>
  </si>
  <si>
    <t>CGA3E2C0G1H150J080AD</t>
  </si>
  <si>
    <t>RES SMD 22.6K OHM 1% 1/8W 0805</t>
  </si>
  <si>
    <t>CRCW080522K6FKEA</t>
  </si>
  <si>
    <t>RES SMD 90.9K OHM 1% 1/8W 0805</t>
  </si>
  <si>
    <t>ERJ-6ENF9092V</t>
  </si>
  <si>
    <t>RES 12K OHM 1/10W 0.1% 0603 SMD</t>
  </si>
  <si>
    <t>RES SMD 64.9K OHM 1% 1/8W 0805</t>
  </si>
  <si>
    <t>ERJ-6ENF6492V</t>
  </si>
  <si>
    <t>RES 1.5K OHM 1/10W 5% 0603 SMD</t>
  </si>
  <si>
    <t>ERJ-3GEYJ152V</t>
  </si>
  <si>
    <t>RES SMD 499 OHM 1% 1/10W 0603</t>
  </si>
  <si>
    <t>RES SMD 40.2K OHM 1% 1/10W 0603</t>
  </si>
  <si>
    <t>RC0603FR-0740K2L</t>
  </si>
  <si>
    <t>RES 0.0 OHM 1/10W 5% 0603 SMD</t>
  </si>
  <si>
    <t>CRCW06030000Z0EA</t>
  </si>
  <si>
    <t>RES 100 OHM 1/10W 1% 0603 SMD</t>
  </si>
  <si>
    <t>CRCW0603100RFKEA</t>
  </si>
  <si>
    <t>RES 470 OHM 1/10W 5% 0603 SMD</t>
  </si>
  <si>
    <t>CRCW0603470RJNEA</t>
  </si>
  <si>
    <t>RES 10 OHM 1/10W 1% 0603 SMD</t>
  </si>
  <si>
    <t>CR0603-FX-10R0ELF</t>
  </si>
  <si>
    <t>RES 12.1K OHM 1/10W 0.1% 0603</t>
  </si>
  <si>
    <t>CRCW060312K1FKEA</t>
  </si>
  <si>
    <t>RES 150K OHM 1/10W 5% 0603 SMD</t>
  </si>
  <si>
    <t>CRCW0603150KJNEA</t>
  </si>
  <si>
    <t>RES SMD 47 OHM 1% 1/10W 0603</t>
  </si>
  <si>
    <t>ERJ-3EKF47R0V</t>
  </si>
  <si>
    <t>RES 4.7K OHM 1/10W 5% 0603 SMD</t>
  </si>
  <si>
    <t>CRCW06034K70JNEA</t>
  </si>
  <si>
    <t>RES SMD 2.7 OHM 5% 1/10W 0603</t>
  </si>
  <si>
    <t>ERJ-3GEYJ2R7V</t>
  </si>
  <si>
    <t>3x6x2.5mm Momentary Tact Smd Smt Pushbutton Micro Switch 2 Pin</t>
  </si>
  <si>
    <t>MICRO SWITCH 3X6X2.5MM</t>
  </si>
  <si>
    <t>IC REG BUCK SPLIT RAIL ADJ 10SON</t>
  </si>
  <si>
    <t>TPS54541DPRT</t>
  </si>
  <si>
    <t>IC BUFF DVR TRI-ST DL INV 8TSSOP</t>
  </si>
  <si>
    <t>74LVC2G241DP,125</t>
  </si>
  <si>
    <t>OPTO INSOLATOR TRANS 5KVRMS 4SMD</t>
  </si>
  <si>
    <t>PC817XNNIP0F</t>
  </si>
  <si>
    <t>IC AUDIO CODEC 24BIT SER 32VQFN</t>
  </si>
  <si>
    <t>TLV320AIC3104IRHBR</t>
  </si>
  <si>
    <t>GRM31CR61C226ME15L</t>
  </si>
  <si>
    <t>MAX485ESD</t>
  </si>
  <si>
    <t>ERJ-3EKF3302V</t>
  </si>
  <si>
    <t>SELEDAT</t>
  </si>
  <si>
    <t>SAMSUNG ELECTRO-MECHANICS - CL10A105KO8NNNC - CAP, 1UF, 16V, MLCC, 0603</t>
  </si>
  <si>
    <t>CL10A105KO8NNNC</t>
  </si>
  <si>
    <t>Ceramic capacitor SMD 0805 10 µF 16 V 10 %</t>
  </si>
  <si>
    <t>CL21A106KOQNNNG</t>
  </si>
  <si>
    <t>CAP ALUM POLY 47UF 20% 20V SMD</t>
  </si>
  <si>
    <t>APXG200ARA470ME61G</t>
  </si>
  <si>
    <t>CAP CER 0.047UF 16V X7R 0402</t>
  </si>
  <si>
    <t>CC0402JRX7R7BB473</t>
  </si>
  <si>
    <t>MURATA - GRM188R61C475KAAJD - SMD Multilayer Ceramic Capacitor, 4.7 µF, 16 V, 0603 [1608 Metric], ± 10%, X5R, GRM Series</t>
  </si>
  <si>
    <t>GRM188R61C475KAAJD</t>
  </si>
  <si>
    <t>SAMSUNG ELECTRO-MECHANICS - CL05B103KO5NNNC - SMD Multilayer Ceramic Capacitor, 0.01 µF, 16 V, 0402 [1005 Metric], ± 10%, X7R, CL Series</t>
  </si>
  <si>
    <t>CL05B103KO5NNNC</t>
  </si>
  <si>
    <t>Multilayer Ceramic Capacitors MLCC - SMD/SMT 0402 2200pF 50volts X7R 5%</t>
  </si>
  <si>
    <t>GRM155R71H222JA01D</t>
  </si>
  <si>
    <t>CC0402GRNPO9BN101</t>
  </si>
  <si>
    <t>CC0402JRNPO9BN100</t>
  </si>
  <si>
    <t>AVX - F930J107MBA - Surface Mount Tantalum Capacitor, 100 µF, 6.3 V, 1411 [3528 Metric], F93 Series, ± 20%, -55 °C</t>
  </si>
  <si>
    <t>F930J107MBA</t>
  </si>
  <si>
    <t>Cap Ceramic 24pF 50V C0G 5% Pad SMD 0402 125C T/R</t>
  </si>
  <si>
    <t>CC0402JRNPO9BN240</t>
  </si>
  <si>
    <t>CAP CER 39PF 50V NP0 0402</t>
  </si>
  <si>
    <t>YAGEO - CC0402KRX7R9BB331 - SMD Multilayer Ceramic Capacitor, 330 pF, 50 V, 0402 [1005 Metric], ± 10%, X7R, CC Series</t>
  </si>
  <si>
    <t>CC0402KRX7R9BB331</t>
  </si>
  <si>
    <t>DIODES INC. - B540C-13-F - Redresseur Schottky, 40 V, 5 A, Une, DO-214AB (SMC), 2 Broche(s), 550 mV</t>
  </si>
  <si>
    <t>B540C-13-F</t>
  </si>
  <si>
    <t>ON SEMICONDUCTOR - BAT54CTT1G - Small Signal Schottky Diode, Dual Common Cathode, 30 V, 200 mA, 320 mV, 600 mA, 125 °C</t>
  </si>
  <si>
    <t>BAT54CTT1G</t>
  </si>
  <si>
    <t>In a Pack of 100, ON Semiconductor ESD9B5.0ST5G, Bi-Directional TVS Diode, 0.3W, 2-Pin SOD-923</t>
  </si>
  <si>
    <t>QX-PTV1608ZGSC</t>
  </si>
  <si>
    <t>WE-CBF Ferrite Bead 0805 600Ohm 200mA</t>
  </si>
  <si>
    <t>742792042</t>
  </si>
  <si>
    <t>FERRITE BEAD 60 OHM 0603 1LN</t>
  </si>
  <si>
    <t>MPZ1608D600BTA00</t>
  </si>
  <si>
    <t>MPZ1608Y600BTA00</t>
  </si>
  <si>
    <t>CAP FEEDTHRU 1UF 20% 6.3V 0603</t>
  </si>
  <si>
    <t>NFM18PS105R0J3D</t>
  </si>
  <si>
    <t>CONN JACK 4COND 3.5MM SMD R/A</t>
  </si>
  <si>
    <t>SJ-43515RS-SMT-TR</t>
  </si>
  <si>
    <t>TF memory card socket</t>
  </si>
  <si>
    <t>USB type 16 pin</t>
  </si>
  <si>
    <t>H186-CF1S07-13EBDR</t>
  </si>
  <si>
    <t>VISHAY - IHLP1212BZER1R0M11 - INDUCTOR, SHIELDED, 1UH, 4.5A, SMD, FULL REEL</t>
  </si>
  <si>
    <t>IHLP1212BZER1R0M11</t>
  </si>
  <si>
    <t>Ind Power Shielded 4.7uH 20% 100KHz Powdered Iron 9.5A (11.5 X 10.4 X 4mm) T/R</t>
  </si>
  <si>
    <t>LMLP1011M4R7DTAS</t>
  </si>
  <si>
    <t>ASPI-1040HI-4R7M-T05 (181pcs)</t>
  </si>
  <si>
    <t>Fixed Inductors 0805 0.56uH 10%</t>
  </si>
  <si>
    <t>LQM21NNR56K10D</t>
  </si>
  <si>
    <t>Connector Header Through Hole 2 position 0.098" (2.50mm)</t>
  </si>
  <si>
    <t>25SH-B-02-TS</t>
  </si>
  <si>
    <t>CONN HEADER VERT 7POS 1.25MM</t>
  </si>
  <si>
    <t>0530470710</t>
  </si>
  <si>
    <t>1.25mm Pitch PicoBlade™ Header, Surface Mount, Vertical, 6 Circuits</t>
  </si>
  <si>
    <t>53398-0671</t>
  </si>
  <si>
    <t>B4B-PH-SM4-TB(LF)(SN)</t>
  </si>
  <si>
    <t>Mosfet Transistor, N Channel, 22 A, 12 V, 0.0075 Ohm, 4.5 V, 800 Mv Rohs Compliant: Yes</t>
  </si>
  <si>
    <t>CSD13202Q2</t>
  </si>
  <si>
    <t>MOSFET P-CH 20V 5.7A 6TSOP</t>
  </si>
  <si>
    <t>PMN42XPEAH</t>
  </si>
  <si>
    <t>MOSFET N-CH 60V 190MA TO236AB</t>
  </si>
  <si>
    <t>NX138AKR</t>
  </si>
  <si>
    <t>MOSFET P-CH 30V 3.8A SOT23</t>
  </si>
  <si>
    <t>DMP3099L-13</t>
  </si>
  <si>
    <t>MOSFET N-CH 50V 0.5A SOT23</t>
  </si>
  <si>
    <t>DMN53D0L-7</t>
  </si>
  <si>
    <t>Thick Film Resistors 1/16W 5.1K ohm 5% AEC-Q200</t>
  </si>
  <si>
    <t>AC0402JR-075K1L</t>
  </si>
  <si>
    <t>Thick Film Resistors - SMD 1/16W 22ohm 5% AEC-Q200</t>
  </si>
  <si>
    <t>AC0402JR-0722RL</t>
  </si>
  <si>
    <t>SMD Chip Resistor, 0402 [1005 Metric], 158 ohm, ERJ2R Series, 50 V, Thick Film, 100 mW</t>
  </si>
  <si>
    <t>ERJ-2RKF1580X</t>
  </si>
  <si>
    <t>RESISTOR, 0402, 5K11 1%, 0.1W</t>
  </si>
  <si>
    <t>ERJ-2RKF5111X</t>
  </si>
  <si>
    <t>RES, THICK FILM, 680R, 100MW, 1%, REEL; Product Range:PANASONIC - ERJ Series; Resistance:680ohm; Power Rating:100mW; Resistance Tolerance:± 1%; Resistor Case Style:0402 [1005 Metric]; Resistor Element Material:Thick Film; Temperature Coefficient:± 100ppm/°C; Voltage Rating:50V; Packaging:Tape &amp; Reel; MSL:-; SVHC:No SVHC (16-Dec-2013); Reel Quantity:10000; Resistor Mounting:SMD; Resistor Terminals:Wraparound</t>
  </si>
  <si>
    <t>ERJ-2RKF6800X</t>
  </si>
  <si>
    <t>RES SMD 28.7K OHM 1% 1/10W 0402</t>
  </si>
  <si>
    <t>ERJ-2RKF2872X</t>
  </si>
  <si>
    <t>RES SMD 3.01K OHM 1% 1/16W 0402</t>
  </si>
  <si>
    <t>AC0402FR-073K01L</t>
  </si>
  <si>
    <t>RES SMD 976 OHM 1% 1/10W 0402</t>
  </si>
  <si>
    <t>ERJ-2RKF9760X</t>
  </si>
  <si>
    <t>RES, THICK FILM, 100R, 100mW, 1%, 0402</t>
  </si>
  <si>
    <t>ERJ-2RKF1000X</t>
  </si>
  <si>
    <t>PANASONIC - ERJ8CWFR020V - SMD Current Sense Resistors, AEC-Q200 ERJ Series, 0.02 ohm, 1 W, - 1% RoHS Compliant: Yes</t>
  </si>
  <si>
    <t>ERJ8CWFR020V</t>
  </si>
  <si>
    <t>RES SMD 1.78K OHM 1% 1/10W 0402</t>
  </si>
  <si>
    <t>ERJ-2RKF1781X</t>
  </si>
  <si>
    <t>Thick Film Resistors - SMD 1/16W 52.3K ohm 1% AEC-Q200</t>
  </si>
  <si>
    <t>AC0402FR-0752K3L</t>
  </si>
  <si>
    <t>Res Thick Film 0402 100K Ohm 1% 1/10W ±100ppm/°C Molded SMD Punched Carrier T/R</t>
  </si>
  <si>
    <t>ERJ-2RKF1003X</t>
  </si>
  <si>
    <t>PANASONIC ELECTRONIC COMPONENTS         ERJ2GEJ205X             SMD Chip Resistor, Thick Film, 2 Mohm, 50 V, 0402 [1005 Metric], 100 mW,  5%, ERJ2G Series</t>
  </si>
  <si>
    <t>ERJ-2GEJ205X</t>
  </si>
  <si>
    <t>PANASONIC - ERJ2RKF3300X - RES, 330R, 1%, 0.1W, 0402, THICK FILM</t>
  </si>
  <si>
    <t>ERJ-2RKF3300X</t>
  </si>
  <si>
    <t>Thick Film Resistors - SMD 1/16W 3.3K ohm 5% AEC-Q200</t>
  </si>
  <si>
    <t>AC0402JR-073K3L</t>
  </si>
  <si>
    <t>Thick Film Resistors - SMD 1/16W 1M ohm 5% AEC-Q200</t>
  </si>
  <si>
    <t>AC0402JR-071ML</t>
  </si>
  <si>
    <t>Thick Film Resistors - SMD 1/16W 49.9K ohm 1% AEC-Q200</t>
  </si>
  <si>
    <t>AC0402FR-0749K9L</t>
  </si>
  <si>
    <t>MURATA - NCP15XH103J03RC - Termistor, NTC, 10 kohm, seria NCP, 3380 K, SMD, 0402 [1005 jednostki metryczne]</t>
  </si>
  <si>
    <t>NCP15XH103J03RC</t>
  </si>
  <si>
    <t>4GB mircoSD card</t>
  </si>
  <si>
    <t>ON SEMICONDUCTOR - SMF05CT1G - TVS12.5 , SC-88</t>
  </si>
  <si>
    <t>SMF05CT1G</t>
  </si>
  <si>
    <t>IC BATT CHG LI-ION 1 CELL 24VQFN</t>
  </si>
  <si>
    <t>BQ25606RGER</t>
  </si>
  <si>
    <t>IC REG LDO 3.3V 1A 6SON</t>
  </si>
  <si>
    <t>TPS73733DRVR</t>
  </si>
  <si>
    <t>TPS74633PCQWDRVRQ1</t>
  </si>
  <si>
    <t>IC REG CTRLR MULT TOP 8VSSOP</t>
  </si>
  <si>
    <t>LM3488MMX/NOPB</t>
  </si>
  <si>
    <t>IC REG LINEAR 1.8V 200MA 4TMLF</t>
  </si>
  <si>
    <t>MIC94310-GYMT-TR</t>
  </si>
  <si>
    <t>NFC/RFID Tag and Reader 13.56MHz 2.7V to 5.5V 600uA 32-Pin VFQFPN T/R</t>
  </si>
  <si>
    <t>ST25R95-VMD5T</t>
  </si>
  <si>
    <t>IC MONO/AUD DAC CLASS-D LP 32QFN</t>
  </si>
  <si>
    <t>TLV320DAC3120IRHBR</t>
  </si>
  <si>
    <t>NXP - PCAL6416AHF,128 - I/O-Erweiterung, 16bit, 400 kHz, I2C, 1.65 V, 5.5 V, HWQFN</t>
  </si>
  <si>
    <t>PCAL6416AHF,128</t>
  </si>
  <si>
    <t>LED DRVR 3.3V/5V 16-Pin SOIC</t>
  </si>
  <si>
    <t>TPIC2810DR</t>
  </si>
  <si>
    <t>IC VOLT SUPERVISR 2.64V SOT23-3</t>
  </si>
  <si>
    <t>TLV803RDBZR</t>
  </si>
  <si>
    <t>Led Drvr 3-CH Individual Rgb Pwm 0.042A 10-PIN Dfn T/r</t>
  </si>
  <si>
    <t>870-31FL3193DLS2TR</t>
  </si>
  <si>
    <t>Crystal 27.12MHZ 10PF SMD</t>
  </si>
  <si>
    <t>NX2016SA-27.12MHZ-EXS00A-CS01188</t>
  </si>
  <si>
    <t>ABM11AIG-27.120MHZ-4Z-T3
 ECS-271.2-10-37-CKM-TR</t>
  </si>
  <si>
    <t>Common Anode RGB LED</t>
  </si>
  <si>
    <t>CE -1204RGB</t>
  </si>
  <si>
    <t>C6E -1204RGB</t>
  </si>
  <si>
    <t>LED Uni-Color Cool White 2-Pin Chip 1206(3216Metric) T/R</t>
  </si>
  <si>
    <t>QBLP615-IW-CW</t>
  </si>
  <si>
    <t>PANASONIC - ERJ2GEJ151X - SMD Chip Resistor, 0402 [1005 Metric], 150 ohm, ERJ2GE Series, 50 V, Thick Film, 100 mW</t>
  </si>
  <si>
    <t>ERJ-2GEJ151X</t>
  </si>
  <si>
    <t>PTS830GM140SMTRLFS</t>
  </si>
  <si>
    <t>PCB_MAIN</t>
  </si>
  <si>
    <t>PCB PAB_LIGHT</t>
  </si>
  <si>
    <t>PCB_LED</t>
  </si>
  <si>
    <t>PCB_BUTTON</t>
  </si>
  <si>
    <t>MOLEX - 53261-0371 1.25 mm, 3 Contacts, Header 53261</t>
  </si>
  <si>
    <t>53261-0371</t>
  </si>
  <si>
    <t>0402 82 pF 50 V ±2 % Tolerance NP0 SMT Multilayer Ceramic Capacitor</t>
  </si>
  <si>
    <t>CC0402GRNPO9BN820</t>
  </si>
  <si>
    <t>CAP CER 47PF 50V NPO 0402</t>
  </si>
  <si>
    <t>CC0402GRNPO9BN470</t>
  </si>
  <si>
    <t>SAMSUNG ELECTRO-MECHANICS - CL10A225KO8NNNC - SMD Multilayer Ceramic Capacitor, 2.2 µF, 16 V, 0603 [1608 Metric], ± 10%, X5R, CL Series</t>
  </si>
  <si>
    <t>CL10A225KO8NNNC</t>
  </si>
  <si>
    <t>Switch Tactile N.O. SPST Round Button Gull Wing 0.05A 12VDC 100000Cycles 2.45N SMD T/R</t>
  </si>
  <si>
    <t>PTS647SK70SMTR2LFS</t>
  </si>
  <si>
    <t>PANASONIC - ERJ8CWFR010V - CURRENT SENSE RES, 0R01, 1%, 1 W, 1206</t>
  </si>
  <si>
    <t>ERJ8CWFR010V</t>
  </si>
  <si>
    <t>Automotive ualified Single cell system-side CEDV fuel gauge 14-TSSOP -40 to 85</t>
  </si>
  <si>
    <t>BQ34210IPWRQ1</t>
  </si>
  <si>
    <t>ERJ-2GEJ101X</t>
  </si>
  <si>
    <t>Boost converter with adjustable output voltage.</t>
  </si>
  <si>
    <t>AW3611DNR</t>
  </si>
  <si>
    <t>1V8, LDO, 300mA, SOT 23-5L</t>
  </si>
  <si>
    <t>AW37030D180STR</t>
  </si>
  <si>
    <t>LED DRV, I2C, QFN5X5-44L</t>
  </si>
  <si>
    <t>AW21036QNR</t>
  </si>
  <si>
    <t>Multilayer Ceramic Capacitors MLCC - SMD/SMT 1uF+/-10% 16V X7R 2012</t>
  </si>
  <si>
    <t>CL21B105KOFNNNE</t>
  </si>
  <si>
    <t>Connector, 2 mm, 4 Contacts, Header 1 Rows</t>
  </si>
  <si>
    <t>S4B-PH-SM4-TB(LF)(SN)</t>
  </si>
  <si>
    <t xml:space="preserve">Tụ Gốm 1210 100uF 10V </t>
  </si>
  <si>
    <t>GRM32ER61A107ME20K</t>
  </si>
  <si>
    <t>ASPI-1040HI-4R7M-T05</t>
  </si>
  <si>
    <t>01.JB.EC3806F65N00</t>
  </si>
  <si>
    <t>DIODE ZENER 2.7V 200MW SOD323F</t>
  </si>
  <si>
    <t>MM3Z2V7B</t>
  </si>
  <si>
    <t>TEM QR SCA</t>
  </si>
  <si>
    <t>ốc vít M2.3x15mm</t>
  </si>
  <si>
    <t>Ốc vít 3x20mm</t>
  </si>
  <si>
    <t>SCA</t>
  </si>
  <si>
    <t>Tụ điện 0805 10 uF 6.3 V Â10 % 08056C106KAT2A</t>
  </si>
  <si>
    <t>08056C106KAT2A</t>
  </si>
  <si>
    <t>Cầu chì 0.05A(hold) 0.15A(trip) 30VDC 40A 0.5W 1.5s 3.6Ohm SMD '0805L005/30YR.</t>
  </si>
  <si>
    <t>0805L005/30YR</t>
  </si>
  <si>
    <t>1206L050/15YR</t>
  </si>
  <si>
    <t>Mạch điện tử tích hợp EEPROM 256KBIT SPI 8SOIC '25LC256-I/SN.</t>
  </si>
  <si>
    <t>25LC256-I/SN</t>
  </si>
  <si>
    <t>Đầu nối chưa hoàn chỉnh Data USB Mini-B Ver '500075-1517.</t>
  </si>
  <si>
    <t>500075-1517</t>
  </si>
  <si>
    <t>Đầu nối cáp điện kiểu giắc cắm HEADER 2 POS 2.54 61300211121</t>
  </si>
  <si>
    <t>61300211121</t>
  </si>
  <si>
    <t>A32956-ND</t>
  </si>
  <si>
    <t>Rờ le dán SPDT 440VAC 12VDC PC Pins 'ALZN1B12W.</t>
  </si>
  <si>
    <t>ALZN1B12W</t>
  </si>
  <si>
    <t>Đầu CH 3.96mm 2 Chân Thẳng Xuyên Lỗ</t>
  </si>
  <si>
    <t>B2P-VH-B(LF)(SN)</t>
  </si>
  <si>
    <t>Tụ điện '1210 22 uF 16V Â20% Capacitor 'C3225X7R1C226M250AC.</t>
  </si>
  <si>
    <t>C3225X7R1C226M250AC</t>
  </si>
  <si>
    <t xml:space="preserve">Tụ điện CER 1000PF 25V C0G/NPO 0603 CC0603JRNPO8BN102. </t>
  </si>
  <si>
    <t>Tụ điện SMD/SMT 100nF 16V X7R 10% CC0603KRX7R7BB104.</t>
  </si>
  <si>
    <t>CC0603KRX7R7BB104</t>
  </si>
  <si>
    <t>Tụ điện Capacitor 0.0047uF 10% X7R 50V 0603 CC0603KRX7R9BB472.</t>
  </si>
  <si>
    <t>CC0603KRX7R9BB472</t>
  </si>
  <si>
    <t>Cuộn cảm IND 4.7UH 2.8A 43.1 MOHM 'CDRH5D28RHPNP-4R7NC</t>
  </si>
  <si>
    <t>CDRH5D28RHPNP-4R7NC</t>
  </si>
  <si>
    <t>Tụ điện CER 0.1UF 16V X7R 0402 'CL05B104KO5NNNC</t>
  </si>
  <si>
    <t>CL05B104KO5NNNC</t>
  </si>
  <si>
    <t>Tụ điện CER 22PF 50V C0G/NP0 0603 'CL10C220JB81PNC.</t>
  </si>
  <si>
    <t>CL10C220JB81PNC</t>
  </si>
  <si>
    <t>Mạch điện tử tích hợp USB TO UART BRIDGE QFN28 'CP2102N-A02-GQFN28R.</t>
  </si>
  <si>
    <t>CP2102N-A02-GQFN28R</t>
  </si>
  <si>
    <t>Tinh thể thạch anh áp điện 8MHz 33pF 40Ohm 3-Pin CSMD T/R 'CSTNE8M00G55Z000R0.</t>
  </si>
  <si>
    <t>CSTNE8M00G55Z000R0</t>
  </si>
  <si>
    <t>Điện trở SMD 15K OHM 1% 1/10W 0603 ERJ-3EKF1502V</t>
  </si>
  <si>
    <t xml:space="preserve">Tinh thể thạch anh áp điện 25.00 MHZ 10.0PF SMD FA-238 25.0000MB-K0. </t>
  </si>
  <si>
    <t>FA-238 25.0000MB-K0</t>
  </si>
  <si>
    <t xml:space="preserve">Tấm mạch in đã lắp ráp hoàn chỉnh HR872130H HR872130 ' HR872130H </t>
  </si>
  <si>
    <t xml:space="preserve">HR872130H </t>
  </si>
  <si>
    <t>KF-45SM-9.50mm 2P</t>
  </si>
  <si>
    <t>Đầu nối chưa hoàn chỉnh Type B Female USB 3 9 Through Hole 'KUSBX-BS1N9-1-BL30</t>
  </si>
  <si>
    <t>KUSBX-BS1N9-1-BL30</t>
  </si>
  <si>
    <t>Đi ốt 'SMT Schottky 60V 2.1A 2-Pin DO-214AC 'MBRA160T3G.</t>
  </si>
  <si>
    <t>MBRA160T3G</t>
  </si>
  <si>
    <t>Cuộn cảm 1.10A 16V 1812 MF-MSMF110/16-2</t>
  </si>
  <si>
    <t>MF-MSMF110/16-2</t>
  </si>
  <si>
    <t>Mạch điện tử tích hợp 'IC REG BUCK ADJUSTABLE 3A 8SOIC 'MP2365DN-LF</t>
  </si>
  <si>
    <t>MP2365DN-LF</t>
  </si>
  <si>
    <t>Mạch điện tử tích hợp MP2365 Series 28 V 3 A 1.4 MHz MP2365DN-LF-Z.</t>
  </si>
  <si>
    <t>MP2365DN-LF-Z</t>
  </si>
  <si>
    <t>Cuộn cảm IND 2.2UH 1.5A 72 MOHM SMD 'NR3015T2R2M</t>
  </si>
  <si>
    <t>NR3015T2R2M</t>
  </si>
  <si>
    <t>RC0805JR-07100KL</t>
  </si>
  <si>
    <t>Mạch điện tử tích hợp 'RTL8153-VB-CG RTL8153 QFN48 'RTL8153-VB-CG</t>
  </si>
  <si>
    <t>RTL8153-VB-CG</t>
  </si>
  <si>
    <t>Mạch điện tử tích hợp Mosfet P-ch 20V 3.1A SOT23-3 'SI2301CDS-T1-E3.</t>
  </si>
  <si>
    <t>SI2301CDS-T1-E3</t>
  </si>
  <si>
    <t>Đầu nối chưa hoàn chỉnh Socket Strip With Pcb Tails, 0.100" 'SSW-102-02-T-S.</t>
  </si>
  <si>
    <t>SSW-102-02-T-S</t>
  </si>
  <si>
    <t>Nút nhấn SW603625-W2</t>
  </si>
  <si>
    <t>SW603625-W2</t>
  </si>
  <si>
    <t>Cuộn cảm '4.7uH 3.2A_Power Inductors CD32 'TMPC0312H-4R7MG.</t>
  </si>
  <si>
    <t>TMPC0312H-4R7MG</t>
  </si>
  <si>
    <t>UL-3.81-4-R</t>
  </si>
  <si>
    <t xml:space="preserve">Mạch điện tử tích hợp FLASH 8M SPI 104MHZ 8SOIC W25Q80DVSNIG TR. </t>
  </si>
  <si>
    <t>W25Q80DVSNIG TR</t>
  </si>
  <si>
    <t xml:space="preserve"> 
RES 100 OHM 5% 1/10W 0603</t>
  </si>
  <si>
    <t>CC0603JRNP09BN100</t>
  </si>
  <si>
    <t>SMD-0805 High Bright Green Chip LED</t>
  </si>
  <si>
    <t>PCB UBS-ENET_V3.0_4P</t>
  </si>
  <si>
    <t>RES 47K OHM 5% 1/10W 0603</t>
  </si>
  <si>
    <t>RES 1K OHM 5% 1/10W 0603</t>
  </si>
  <si>
    <t>Con 6 HB9500-6P 9.5MM (Có bảo vệ)</t>
  </si>
  <si>
    <t>HB9500-6P</t>
  </si>
  <si>
    <t>STECC</t>
  </si>
  <si>
    <t>Material : FR4
Thickness: 1.0mm
Copper : 1Oz
Soldermask : Green
Silkreen : White
Dimension : 24mm x 26mm</t>
  </si>
  <si>
    <t>PCB GERBER RECTIFIER</t>
  </si>
  <si>
    <t>BM08B-SRSS-TB(LF)(SN)</t>
  </si>
  <si>
    <t>PCB PressureSensor</t>
  </si>
  <si>
    <t>STK</t>
  </si>
  <si>
    <t>Integrated Circuit  MT4108A-EN</t>
  </si>
  <si>
    <t>MT4108A</t>
  </si>
  <si>
    <t>MT4108A-EN</t>
  </si>
  <si>
    <t>Integrated Circuit  MT3411AT-N</t>
  </si>
  <si>
    <t>MT3411AT-N-EN</t>
  </si>
  <si>
    <t>MAGNETIC SWITCH UNIPOLAR TO92-3</t>
  </si>
  <si>
    <t>SS441R</t>
  </si>
  <si>
    <t>Capacitor 1000PF/50V 5% 1608</t>
  </si>
  <si>
    <t>CC0603JRNPO9BN102</t>
  </si>
  <si>
    <t>Capacitor 0.1UF/50V 5% 1608</t>
  </si>
  <si>
    <t>Resistor 330ohm 0603</t>
  </si>
  <si>
    <t>RC0603FR-07330RL</t>
  </si>
  <si>
    <t>Thick Film Resistors - SMD 330 ohm 1% 75V AEC-Q200</t>
  </si>
  <si>
    <t>SR0603FR-7T330RL</t>
  </si>
  <si>
    <t>Thick Film Resistors - SMD 10K ohm 1% 75V AEC-Q200</t>
  </si>
  <si>
    <t>SR0603FR-7T10KL</t>
  </si>
  <si>
    <t>THERMISTOR NTC 10KOHM 3380K 0603</t>
  </si>
  <si>
    <t>Layer count: 2L Material: FR4 Copper : 2oz Thickness: 1.6mm
Part Size: 178 X 202 mm / 4 pcs Surface: hasl-lf Soldermask: Green Silkscreen: WHITE</t>
  </si>
  <si>
    <t xml:space="preserve">PCB EMEKA038-10(EMPC006)
</t>
  </si>
  <si>
    <t>PCB PCB SUNTOUR Update
21_01_2021--EMPCB002-01
Layer count: 2L Material: FR4 Copper : 2 oz Thickness: 1.6mm
Part Size: 207.88 X 221.88 mm / 4 pcs Surface: HAL LF Soldermask: Green Silkscreen: white</t>
  </si>
  <si>
    <t>PCB EMEKA010-01</t>
  </si>
  <si>
    <t>RMCF0603FT1K00</t>
  </si>
  <si>
    <t>CR0603-FX-1001ELF</t>
  </si>
  <si>
    <t>RES SMD 330 OHM 1% 1/10W 0603</t>
  </si>
  <si>
    <t>RMCF0603FT330R</t>
  </si>
  <si>
    <t>CR0603-FX-3300ELF</t>
  </si>
  <si>
    <t>CAP CER 1000PF 50V X7R 0603</t>
  </si>
  <si>
    <t>CC0603KRX7R9BB102</t>
  </si>
  <si>
    <t>CC0603KPX7R9BB103</t>
  </si>
  <si>
    <t>CAP CER 2.2UF 16V X5R 0805</t>
  </si>
  <si>
    <t>CC0805KRX5R7BB225</t>
  </si>
  <si>
    <t>TRANS PREBIAS NPN 50V 100MA SC75</t>
  </si>
  <si>
    <t>DTC114TET1G</t>
  </si>
  <si>
    <t>IC MCU 16BIT 16KB FLASH 20LSSOP</t>
  </si>
  <si>
    <t>R5F1006AASP#10</t>
  </si>
  <si>
    <t>IC OPAMP GP 1 CIRCUIT 5TSOP</t>
  </si>
  <si>
    <t>LMV321SN3T1G</t>
  </si>
  <si>
    <t>LM321SN3T1G</t>
  </si>
  <si>
    <t>SENSOR OPT SLOT PHOTOTRAN PCB MT</t>
  </si>
  <si>
    <t>RPI-579N1E</t>
  </si>
  <si>
    <t>EE-SX1041</t>
  </si>
  <si>
    <t>PCB, 2L,FR4,T=1.0MM, Green soldermak, white
silkscreen.Finished copper: 1/1 OZ
Finished surface: HALS lead free
Certification: Compliant ROHS
Use fly probe test, when run mass production, will
build fixture tooling to test, so at that time will
charge fixture cost.
Piece Size (mm):  38.08 x 24
Panel size (mm): 163.32 x 126.4
Array: 20</t>
  </si>
  <si>
    <t>ESEKA002-01</t>
  </si>
  <si>
    <t>PCB_SPM148 CAN-T1_STR</t>
  </si>
  <si>
    <t>Multilayer Ceramic Capacitors MLCC - SMD/SMT 0.39uF, +-10%, 25V</t>
  </si>
  <si>
    <t xml:space="preserve">0603B394K250CT </t>
  </si>
  <si>
    <t>NCS20061SN3T1G</t>
  </si>
  <si>
    <t>Gerber EMEKA104</t>
  </si>
  <si>
    <t>PCB GERBER 350 21.2.24</t>
  </si>
  <si>
    <t>PCB SUNTOUR Update 21-01-2021--EMPCB002-01</t>
  </si>
  <si>
    <t>Rigid PCB, 2Layer,FR4 , T=1.0mm,
Finished copper:1 OZ, HASL LEAD FREE
Green soldermak, white silkscreen
Piece Size(mm): 79 x 79
Array: 4
Panel size(mm): 150.2 x150.2</t>
  </si>
  <si>
    <t>PCB EMPCB010</t>
  </si>
  <si>
    <t>PCB C250_17012025</t>
  </si>
  <si>
    <t>THÙNG 1</t>
  </si>
  <si>
    <t>STR</t>
  </si>
  <si>
    <t>CAP CER 0.1UF 16V 5% X7R 0603</t>
  </si>
  <si>
    <t>Tụ Gốm 0603 100nF (0.1uF) 16V</t>
  </si>
  <si>
    <t>CAP CER 10PF 50V 5% NP0 0603</t>
  </si>
  <si>
    <t>GRM1885C1H100JA01D</t>
  </si>
  <si>
    <t>CAP CER 18PF 50V 5% NP0 0603</t>
  </si>
  <si>
    <t>GRM1885C1H180JA01D</t>
  </si>
  <si>
    <t>CAP CER 1UF 16V 10% X7R 0603</t>
  </si>
  <si>
    <t>EMK107B7105KAHT</t>
  </si>
  <si>
    <t>CAP TANT 330UF 10V 10% 2917</t>
  </si>
  <si>
    <t>TPSV337K010R0100</t>
  </si>
  <si>
    <t>CONN HEADER SMD 2POS 2MM</t>
  </si>
  <si>
    <t>B2B-PH-SM4-TBT(LF)(SN)</t>
  </si>
  <si>
    <t>CONN NANO SIM SMART CARD PUSH-PULL</t>
  </si>
  <si>
    <t>0473461001</t>
  </si>
  <si>
    <t>CONN SMA JACK R/A 50 OHM PCB</t>
  </si>
  <si>
    <t>7B-8.000MAAJ-T</t>
  </si>
  <si>
    <t>ABM3B-8.000MHZ-B-4-Y-T</t>
  </si>
  <si>
    <t>DIODE SCHOTTKY 20V 1A SOD123L</t>
  </si>
  <si>
    <t>MBR120LSFT1G</t>
  </si>
  <si>
    <t>FERRITE CHIP 220 OHM 3A 0805</t>
  </si>
  <si>
    <t>MPZ2012S221AT000</t>
  </si>
  <si>
    <t>FILTER CHIP 600 OHM 500MA 0603</t>
  </si>
  <si>
    <t>BLM18EG601SN1D</t>
  </si>
  <si>
    <t>IC EEPROM 16K I2C SOT23-5</t>
  </si>
  <si>
    <t>24AA16T-I/OT</t>
  </si>
  <si>
    <t>IC MCU 32BIT 1MB FLASH 320KB RAM 64LQFP</t>
  </si>
  <si>
    <t>STM32L496RGT3</t>
  </si>
  <si>
    <t>IC REG LINEAR 3.3V 150MA SOT23-5</t>
  </si>
  <si>
    <t>LD3985M33R</t>
  </si>
  <si>
    <t>MIC29302WU-TR</t>
  </si>
  <si>
    <t>IC TRNSLTR BIDIRECTIONAL 8 CHANNEL 20TSSOP</t>
  </si>
  <si>
    <t>LED GREEN CLEAR CHIP SMD 0603</t>
  </si>
  <si>
    <t>LED Xanh Lá 0603 Dán SMD Trong Suốt</t>
  </si>
  <si>
    <t>RES SMD 10 OHM 1% 1/10W 0603</t>
  </si>
  <si>
    <t>RC0603FR-0715KL</t>
  </si>
  <si>
    <t>RC0603FR-071KL</t>
  </si>
  <si>
    <t>NRC06F1001TRF</t>
  </si>
  <si>
    <t>NRC06F2201TRF</t>
  </si>
  <si>
    <t>RES SMD 390 OHM 1% 1/10W 0603</t>
  </si>
  <si>
    <t>CRCW060347K0FKEAC</t>
  </si>
  <si>
    <t>TRANS PREBIAS NPN 200MW SOT23-3</t>
  </si>
  <si>
    <t>DDTC143ZCA-7-F</t>
  </si>
  <si>
    <t>TVS DIODE 3.3V 8V CFP3</t>
  </si>
  <si>
    <t>PTVS3V3S1UR,115</t>
  </si>
  <si>
    <t>TVS DIODE 5.3V SOD523</t>
  </si>
  <si>
    <t>ESD7371XV2T1G</t>
  </si>
  <si>
    <t>TVS DIODE 5V 9.2V SOD123F</t>
  </si>
  <si>
    <t>SMF5.0A</t>
  </si>
  <si>
    <t>TVS DIODE 5V SOT666</t>
  </si>
  <si>
    <t>PESD5V0U5BV,115</t>
  </si>
  <si>
    <t>PCB TRANS_IOT_REV01</t>
  </si>
  <si>
    <t>CAP CER 18nF 50V X7R 0603</t>
  </si>
  <si>
    <t>C0603C183K5RACAUTO</t>
  </si>
  <si>
    <t>CL10B183KB8NNNC</t>
  </si>
  <si>
    <t>CAP CER 27PF 50V C0G/NP0 0603</t>
  </si>
  <si>
    <t>GRM1885C1H270JA01D</t>
  </si>
  <si>
    <t>CL10C270JB8NNNC</t>
  </si>
  <si>
    <t>TMK316B7225KLHT</t>
  </si>
  <si>
    <t>TMK107B7104KAHT</t>
  </si>
  <si>
    <t>CC0805KKX5R7BB106</t>
  </si>
  <si>
    <t>CAP CER 1000PF 50V 10% X7R 0603</t>
  </si>
  <si>
    <t>GRM188R71H102KA01D</t>
  </si>
  <si>
    <t>GCM188R71H102KA37J</t>
  </si>
  <si>
    <t>TVS DIODE 5VWM 9.2VC DO214AC</t>
  </si>
  <si>
    <t>BAT54WS-7-F</t>
  </si>
  <si>
    <t>DIODE SCHOTTKY 40V 3A DO214AC</t>
  </si>
  <si>
    <t>B340A-E3/61T</t>
  </si>
  <si>
    <t>TVS DIODE 12V 19.9V DO214AC</t>
  </si>
  <si>
    <t>SMAJ12A</t>
  </si>
  <si>
    <t>FERRITE CHIP 600 OHM 500MA 0603</t>
  </si>
  <si>
    <t>BLM18AG601SN1D</t>
  </si>
  <si>
    <t>OPTOISOLATOR 5KV TRANSISTOR 4SMD</t>
  </si>
  <si>
    <t>FOD817DSD</t>
  </si>
  <si>
    <t>CONN BARRIER STRIP 4CIRC 10MM 25A 450V</t>
  </si>
  <si>
    <t>KF1000-4</t>
  </si>
  <si>
    <t>CONN HEADER SMD 5POS 2.54MM</t>
  </si>
  <si>
    <t>TSM-105-01-T-SV</t>
  </si>
  <si>
    <t>FIXED IND 68UH 2.6A 98.5MOHM SMD</t>
  </si>
  <si>
    <t>784770680</t>
  </si>
  <si>
    <t>FIXED IND 10UH 500MA 300 MOHM</t>
  </si>
  <si>
    <t>MLZ2012N100LT000</t>
  </si>
  <si>
    <t>MOSFET P-CH 20V 2A TO-236AB</t>
  </si>
  <si>
    <t>NX2301P,215</t>
  </si>
  <si>
    <t>RES SMD 1K OHM 0.1% 1/8W 0805</t>
  </si>
  <si>
    <t>RT0805BRD071KL</t>
  </si>
  <si>
    <t>RES 77.7K OHM 0.1% 1/8W 0805</t>
  </si>
  <si>
    <t>RT0805BRD0778K7L</t>
  </si>
  <si>
    <t>RES SMD 2.4 OHM 0.25% 1/8W 0805</t>
  </si>
  <si>
    <t>ERJ-6DQF2R4V</t>
  </si>
  <si>
    <t>RC1206JR-071KL</t>
  </si>
  <si>
    <t>RES SMD 100 OHM 1% 1/10W 0603</t>
  </si>
  <si>
    <t>CRGCQ0603F100R</t>
  </si>
  <si>
    <t>RES SMD 1.8K OHM 1% 1/10W 0603</t>
  </si>
  <si>
    <t>RC0603FR-071K8L</t>
  </si>
  <si>
    <t>RES SMD 4.99K OHM 1% 1/10W 0603</t>
  </si>
  <si>
    <t>NRC06F4991TR10F</t>
  </si>
  <si>
    <t>RES SMD 49.9K OHM 1% 1/10W 0603</t>
  </si>
  <si>
    <t>CRCW060349K9FKEC</t>
  </si>
  <si>
    <t>RES SMD 60.4 OHM 1% 1/16W 0603</t>
  </si>
  <si>
    <t>4-1879335-4</t>
  </si>
  <si>
    <t>PE series PCB safety isolation transformer 1VA 220V-6V AC</t>
  </si>
  <si>
    <t>PE2812-I</t>
  </si>
  <si>
    <t>IC ENERGY METER 1.8V/3V 48TQFP</t>
  </si>
  <si>
    <t>ATM90E36A-AU-R</t>
  </si>
  <si>
    <t>ATM90E36A-AU-Y</t>
  </si>
  <si>
    <t>LM2596SX-5.0/NOPB</t>
  </si>
  <si>
    <t>IC MCU 8BIT 256KB FLASH 100TQFP</t>
  </si>
  <si>
    <t>IC OPAMP ZERO-DRIFT 1 CIRC 8SOIC</t>
  </si>
  <si>
    <t>OPA188AIDR</t>
  </si>
  <si>
    <t>CRYSTAL 16.3840MHZ 18PF SMD</t>
  </si>
  <si>
    <t>ABM8-16.384MHZ-B2-T</t>
  </si>
  <si>
    <t>FH1600096Q</t>
  </si>
  <si>
    <t>PCB TRANS-MAIN-VEV01</t>
  </si>
  <si>
    <t>CAP CER 1000PF 2KV X7R 1206</t>
  </si>
  <si>
    <t>C1206C102KGRACTU</t>
  </si>
  <si>
    <t>FUSE CLIP CARTRIDGE 10A PCB</t>
  </si>
  <si>
    <t>751.0062</t>
  </si>
  <si>
    <t>TERMINAL BLOCK SCREWLESS 1X10 2.54MM</t>
  </si>
  <si>
    <t>KF141-2.54-10-V</t>
  </si>
  <si>
    <t>TERMINAL BLOCK SCREWLESS 1X6 2.54MM</t>
  </si>
  <si>
    <t>KF141-2.54-6-V</t>
  </si>
  <si>
    <t>KF141-2.54-8-V</t>
  </si>
  <si>
    <t>RES 106K OHM 1% 1/10W 0603</t>
  </si>
  <si>
    <t>RC0603FR-07107KL</t>
  </si>
  <si>
    <t>RES SMD 1M OHM 5% 1/10W 0603</t>
  </si>
  <si>
    <t>RC0603JR-071ML</t>
  </si>
  <si>
    <t>PE series PCB safety isolation transformer 15VA 220V-9V AC</t>
  </si>
  <si>
    <t>PE4825D-I</t>
  </si>
  <si>
    <t>ANTENNA ACTIVE GPS</t>
  </si>
  <si>
    <t>BATTERY HOLDER COIN 12MM SMD</t>
  </si>
  <si>
    <t>BC501SM-TR</t>
  </si>
  <si>
    <t>CAP CER 10UF 6.3V 20% X5R 0603</t>
  </si>
  <si>
    <t>GRM188R71C105KA64D</t>
  </si>
  <si>
    <t>CAP CER 10000PF 16V 10% X7R 0603</t>
  </si>
  <si>
    <t>GRM188R71C103KA01D</t>
  </si>
  <si>
    <t>GRM0335C1H101JA01D</t>
  </si>
  <si>
    <t>CAP CER 1UF 6.3V X5R 0603</t>
  </si>
  <si>
    <t>JMK107BJ105KK-T</t>
  </si>
  <si>
    <t>CAP TANT 330UF 20% 6.3V 2917</t>
  </si>
  <si>
    <t>T491D337M006AT</t>
  </si>
  <si>
    <t>T495X337K010ATE060</t>
  </si>
  <si>
    <t>CONN NANO SIM CARD HINGED 6P 1.4MM SMD</t>
  </si>
  <si>
    <t>SIM8060-6-0-14-00-A</t>
  </si>
  <si>
    <t>FIXED IND 47NH 400MA 600 MOHM</t>
  </si>
  <si>
    <t>MLG1608B47NJT000</t>
  </si>
  <si>
    <t>ESDAULC6-3BP6</t>
  </si>
  <si>
    <t>Rigid PCB, 4Layer,FR4TG130-140 ,
T=1.6mm,
Finished copper:1.2/1/1/1.2 OZ, immersion
gold
Blue soldermak, white silkscreen, 
panel size: 215 x 130</t>
  </si>
  <si>
    <t>PCB THIBIDI_TRANS_MAIN_REV02A_20220329_2345_FAB</t>
  </si>
  <si>
    <t>Rigid PCB, 2Layer,FR4TG130-140 ,
T=1.6mm,
Finished copper:1/1 OZ, immersion gold
Blue soldermak, white silkscreen
Impedance:50+90OHM
panel size: 85 x 80</t>
  </si>
  <si>
    <t>PCB TRANS_IOT_REV02A_20220217_2230_FAB</t>
  </si>
  <si>
    <t>LM4040DIM3X-4.1/NOPB</t>
  </si>
  <si>
    <t>IC TRANSL TR BIDIRECTIONAL 20TSSOP</t>
  </si>
  <si>
    <t>TXB0108PWRG4</t>
  </si>
  <si>
    <t>RK73HJTTDD1004F</t>
  </si>
  <si>
    <t>MODULE DC-DC 5Vin 1-OUT 5V 0.2A 1W4</t>
  </si>
  <si>
    <t>R0E-0505S</t>
  </si>
  <si>
    <t>TVS DIODE 6VWM 10.3VC DO214AC</t>
  </si>
  <si>
    <t>SMAJ6.0A</t>
  </si>
  <si>
    <t>MOSFET P-CH 20V 4.2A SOT23-3</t>
  </si>
  <si>
    <t>DMP2305U-7</t>
  </si>
  <si>
    <t>RES 240K OHM 0.1% 1/8W 0805</t>
  </si>
  <si>
    <t>RT0805BRD07240KL</t>
  </si>
  <si>
    <t>IC TRANSCEIVER HALF RS422, RS485 1/1 8SOIC</t>
  </si>
  <si>
    <t>SN65HVD3082EDR</t>
  </si>
  <si>
    <t>IC PCF8574</t>
  </si>
  <si>
    <t>PCF8574</t>
  </si>
  <si>
    <t>PCB THIBIDI_TRANS_MAIN_REV03A_20221</t>
  </si>
  <si>
    <t>PCB THIBIDI_TRANS_IOT_REV03_2022111</t>
  </si>
  <si>
    <t>PCB THIBIDI_TRANS_INTERFACE_REV01A_</t>
  </si>
  <si>
    <t xml:space="preserve">PCBA </t>
  </si>
  <si>
    <t>LED GREEN CLEAR 0603 SMD</t>
  </si>
  <si>
    <t>598-8070-107F</t>
  </si>
  <si>
    <t>RMCF0603ZT0R00</t>
  </si>
  <si>
    <t>TEMP SENSOR WTRRF DS18B20 11050</t>
  </si>
  <si>
    <t>SEN-11050</t>
  </si>
  <si>
    <t>CURRENT TRANSFORMER 1000:1</t>
  </si>
  <si>
    <t>ZMCT103C</t>
  </si>
  <si>
    <t>CAP ALUM 470UF 20% 25V RADIAL</t>
  </si>
  <si>
    <t>25PK470MEFC8X11.5</t>
  </si>
  <si>
    <t>CONN HEADER VERT 6POS 2.54MM</t>
  </si>
  <si>
    <t>TSW-103-07-F-D</t>
  </si>
  <si>
    <t>CONN HEADER VERT 2POS 2MM</t>
  </si>
  <si>
    <t>B2B-PH-K-S(LF)(SN)</t>
  </si>
  <si>
    <t>TERMINAL BLOCK, PLUGGABLE, 2POS 3.81</t>
  </si>
  <si>
    <t>TBP02R1-381-02BE</t>
  </si>
  <si>
    <t>??u XH 2.54mm 4 Chân Th?ng Xuyên L?</t>
  </si>
  <si>
    <t>XH-4A</t>
  </si>
  <si>
    <t>VARISTOR 470V 4.5KA DISC 14MM</t>
  </si>
  <si>
    <t>B72214S0301K101</t>
  </si>
  <si>
    <t>LED-TH;LED RED DIFF 3MM ROUND T/H</t>
  </si>
  <si>
    <t>SSL-LX3034RD</t>
  </si>
  <si>
    <t>LED-TH;LED GRN DIFF 3MM ROUND T/H</t>
  </si>
  <si>
    <t>SSL-LX3034GD</t>
  </si>
  <si>
    <t>LED-TH;LED YLW DIFF 3MM ROUND T/H</t>
  </si>
  <si>
    <t>SSL-LX3034YD</t>
  </si>
  <si>
    <t>SWITCH TACTILE SPST-NO 0.1A 12V</t>
  </si>
  <si>
    <t>12MX12MX10M_TGIC</t>
  </si>
  <si>
    <t>BATTERY LITHIUM 3V COIN 12.5MM</t>
  </si>
  <si>
    <t>CR1220</t>
  </si>
  <si>
    <t>CONN SMA JACK 50 OHM PCB</t>
  </si>
  <si>
    <t>5-1814832-2</t>
  </si>
  <si>
    <t>CONN HEADER SMD 6POS 2.54MM</t>
  </si>
  <si>
    <t>PR20206VBNN</t>
  </si>
  <si>
    <t>CONN HEADER VERT 8POS 2.54MM</t>
  </si>
  <si>
    <t>TSW-104-07-F-D</t>
  </si>
  <si>
    <t>PCBA LCD-12C</t>
  </si>
  <si>
    <t>Board Mount Temperature Sensors Thermocouple InAmp</t>
  </si>
  <si>
    <t>AD8497ARMZ</t>
  </si>
  <si>
    <t>HDR 12X2 Female 2.54mm 双排 Gold 3A Brass -40℃~+105℃ 250V 260℃ Straight 2x12P 8.5mm Top 24 Square Holes Plugin,P=2.54mm  Female Headers ROHS</t>
  </si>
  <si>
    <t>X6521FV-2x12-C85D32</t>
  </si>
  <si>
    <t>691321300004</t>
  </si>
  <si>
    <t>150R ±0.5% ±25ppm/℃ 150Ω 1206  Chip Resistor - Surface Mount ROHS</t>
  </si>
  <si>
    <t>ARG06DTC1500</t>
  </si>
  <si>
    <t>Green 567nm~574nm -40℃~+80℃ Green/Yellow-Green 15° 60mW Plugin,D=5mm Light Emitting Diodes (LED) ROHS</t>
  </si>
  <si>
    <t>TZ-L2-05YYBYG1GDJ15-001</t>
  </si>
  <si>
    <t>Red -40℃~+80℃ 623nm~628nm Red 30° 60mW Plugin,D=5mm Light Emitting Diodes (LED) ROHS</t>
  </si>
  <si>
    <t>TZ-L2-05YYBR2RDJ30-004</t>
  </si>
  <si>
    <t>Connector XHB-4AW 2.5mm</t>
  </si>
  <si>
    <t>XHB-4AW</t>
  </si>
  <si>
    <t>PCB BST Led</t>
  </si>
  <si>
    <t>PCB Led Door-20230718T034251Z-001</t>
  </si>
  <si>
    <t>Vít Nhọn PWA M4 - Dài 10mm - Thép mạ đen</t>
  </si>
  <si>
    <t>PWA M4 x 10 x 8mm</t>
  </si>
  <si>
    <t>GCM188R71C104JA37D</t>
  </si>
  <si>
    <t>BC-PG7-G</t>
  </si>
  <si>
    <t>STM32L451CEU6TR</t>
  </si>
  <si>
    <t>SD-Card Connectors</t>
  </si>
  <si>
    <t>MEM2052-00-195-00-A</t>
  </si>
  <si>
    <t>Female RF Connector Straight 13.5mm</t>
  </si>
  <si>
    <t>2LC15SF014</t>
  </si>
  <si>
    <t>Tactile Switch 3.5x6mm - 2 Pin SMD</t>
  </si>
  <si>
    <t>147873-1</t>
  </si>
  <si>
    <t>ESD Suppressors / TVS Diodes 5V</t>
  </si>
  <si>
    <t>SP0402B-ULC-01ETG</t>
  </si>
  <si>
    <t>Schottky Diodes &amp; Rectifiers 3A</t>
  </si>
  <si>
    <t>SS310B-HF</t>
  </si>
  <si>
    <t>Diodes - General Purpose</t>
  </si>
  <si>
    <t xml:space="preserve">
1N4148W-7-F</t>
  </si>
  <si>
    <t>Zener Diodes - 5.1V</t>
  </si>
  <si>
    <t>Bipolar Transistors - BJT</t>
  </si>
  <si>
    <t>LEDs - SMD 0603 - Yellow</t>
  </si>
  <si>
    <t>LEDs - SMD 0603 - Red</t>
  </si>
  <si>
    <t>150060RS75000</t>
  </si>
  <si>
    <t>Power Inductors - SMD</t>
  </si>
  <si>
    <t>74479298210</t>
  </si>
  <si>
    <t>RF Inductors - SMD</t>
  </si>
  <si>
    <t>74479298222</t>
  </si>
  <si>
    <t>Terminal Straight 2 Pin 5mm 300V 10A</t>
  </si>
  <si>
    <t>KF128-5.08-2P-AA</t>
  </si>
  <si>
    <t>XH 2.54mm 3-Pin Straight Connector</t>
  </si>
  <si>
    <t>XH 2.54mm - 3 Pin</t>
  </si>
  <si>
    <t>XH 2.54mm 4-Pin Straight Connector</t>
  </si>
  <si>
    <t>XH 2.54mm - 4 Pin</t>
  </si>
  <si>
    <t>Header 4P</t>
  </si>
  <si>
    <t>NTC Thermistors</t>
  </si>
  <si>
    <t>103AT-2</t>
  </si>
  <si>
    <t>Crystals 16 MHz</t>
  </si>
  <si>
    <t>CSTNE16M0VH3L000R0</t>
  </si>
  <si>
    <t>Aluminum Electrolytic Capacitors - SMD</t>
  </si>
  <si>
    <t>EXV477M6R3A9MAA</t>
  </si>
  <si>
    <t>Capacitors MLCC - 0603</t>
  </si>
  <si>
    <t>C0603C475K9PACTU</t>
  </si>
  <si>
    <t>GRM188R61A475KE15D</t>
  </si>
  <si>
    <t>CL10B104KA8NNNC</t>
  </si>
  <si>
    <t>Capacitors MLCC - 0402</t>
  </si>
  <si>
    <t>CC0402KRX7R5BB104</t>
  </si>
  <si>
    <t>CC0603KRX7R8BB473</t>
  </si>
  <si>
    <t>CC0402JRNPO7BN220</t>
  </si>
  <si>
    <t>CC0402JRNPO9BN200</t>
  </si>
  <si>
    <t>CC0402JRNPO9BN150</t>
  </si>
  <si>
    <t>Resistors - 0402 - 1%</t>
  </si>
  <si>
    <t>Resistors - 0603 - 1%</t>
  </si>
  <si>
    <t>RC0402FR-101KL</t>
  </si>
  <si>
    <t>RC0402FR-0751RL</t>
  </si>
  <si>
    <t>SIM7600CE 4G LTE Cat-4 Module</t>
  </si>
  <si>
    <t>SIM7600CE</t>
  </si>
  <si>
    <t>IC MCU 32BIT 512KB FLASH 56VFQFN</t>
  </si>
  <si>
    <t>R7FA4W1AD2CNG#AA0</t>
  </si>
  <si>
    <t>T1-Z4-ASS</t>
  </si>
  <si>
    <t xml:space="preserve">T1-Z2
</t>
  </si>
  <si>
    <t>T1-Z5-ASS</t>
  </si>
  <si>
    <t>TDH</t>
  </si>
  <si>
    <t>0603N100J500CT</t>
  </si>
  <si>
    <t>865080353015</t>
  </si>
  <si>
    <t>DIODE GEN PURP 100V 200MA SOD80</t>
  </si>
  <si>
    <t>DIODE SCHOTTKY 45V 3A SOD128</t>
  </si>
  <si>
    <t>TSS83L45 MWG</t>
  </si>
  <si>
    <t>FIXED IND 47NH 300MA 1 OHM SMD</t>
  </si>
  <si>
    <t>L-14C47NJV4T</t>
  </si>
  <si>
    <t>TRANS NPN 40V 0.2A SOT23</t>
  </si>
  <si>
    <t>RES 15K OHM 1% 1/10W 0603</t>
  </si>
  <si>
    <t>RMCF0603FG15K0</t>
  </si>
  <si>
    <t>RES 30K OHM 1% 1/10W 0603</t>
  </si>
  <si>
    <t>RMCF0603FT30K0</t>
  </si>
  <si>
    <t>RES 0.1 OHM 1% 1W 2512</t>
  </si>
  <si>
    <t>RL2512FK-070R1L</t>
  </si>
  <si>
    <t>RELAY GEN PURPOSE DPDT 2A 5VDC</t>
  </si>
  <si>
    <t>EE2-5NU-L</t>
  </si>
  <si>
    <t>IC REG LINEAR 3.3V 300MA 4UDFN</t>
  </si>
  <si>
    <t>NCP114AMX330TCG</t>
  </si>
  <si>
    <t>IC MCU 16BIT 16KB FLASH 28TSSOP</t>
  </si>
  <si>
    <t>MSP430G2553IPW28R</t>
  </si>
  <si>
    <t>CONN UMCC JACK STR 50OHM SMD</t>
  </si>
  <si>
    <t>1909763-1</t>
  </si>
  <si>
    <t>CONN SIM CARD PUSH-PULL R/A SMD</t>
  </si>
  <si>
    <t>693010020611</t>
  </si>
  <si>
    <t>CRYSTAL 32.7680KHZ 6PF SMD</t>
  </si>
  <si>
    <t>ABS07-120-32.768KHZ-T</t>
  </si>
  <si>
    <t>RELAY GEN PURPOSE SPST 30A 12V</t>
  </si>
  <si>
    <t>T9GV1L14-12</t>
  </si>
  <si>
    <t>L76</t>
  </si>
  <si>
    <t>IC REG LINEAR 5V 1A DPAK</t>
  </si>
  <si>
    <t>MC7805CDTRKG</t>
  </si>
  <si>
    <t>STM8S003F3P6</t>
  </si>
  <si>
    <t>LED 7 Đoạn 0.36inch Đỏ 4 Số Dương Chung</t>
  </si>
  <si>
    <t>0.28INCH</t>
  </si>
  <si>
    <t>TRIMMER 20K OHM 0.5W PC PIN TOP</t>
  </si>
  <si>
    <t>3296W-1-203LF</t>
  </si>
  <si>
    <t>Main Water Well v1.3</t>
  </si>
  <si>
    <t>Relays Water Well v1.5</t>
  </si>
  <si>
    <t>Tụ Ceramic, MLCC, 22uF, 16V, X5R 1206 20%</t>
  </si>
  <si>
    <t>CAP CER 10UF 50V X5R 1206</t>
  </si>
  <si>
    <t>CL31A106KBHNNNE</t>
  </si>
  <si>
    <t>GCM188R71H104KA57D</t>
  </si>
  <si>
    <t xml:space="preserve">	RES 10K OHM 1% 1/10W 0603</t>
  </si>
  <si>
    <t>RES 47K OHM 1% 1/10W 0603</t>
  </si>
  <si>
    <t>AC0603FR-0747KL</t>
  </si>
  <si>
    <t>PWR MGMT SPECIALIZED REGULATOR</t>
  </si>
  <si>
    <t>TPS56339DDCR</t>
  </si>
  <si>
    <t>Tụ Gốm 0603 6.8nF 50V</t>
  </si>
  <si>
    <t>Nút Nhấn 3x6mm Cao 2.5mm 2 Chân SMD Đầu Đỏ</t>
  </si>
  <si>
    <t xml:space="preserve">PCB GERBER MAIN </t>
  </si>
  <si>
    <t>PCB Water Well v1</t>
  </si>
  <si>
    <t>C Ổn Áp 3.3V 1A SOT-223</t>
  </si>
  <si>
    <t>DIODE SCHOTTKY 45V 2A SOD123FL</t>
  </si>
  <si>
    <t>NTS245SFT1G</t>
  </si>
  <si>
    <t>PCBA Main Water Well v1.3</t>
  </si>
  <si>
    <t>CONN PCI EXP MIN FML 52POS 0.031</t>
  </si>
  <si>
    <t>2041119-1</t>
  </si>
  <si>
    <t>LRC0603CJ47NGV001T</t>
  </si>
  <si>
    <t xml:space="preserve">CABLE RF SMA MALE 1.13Ipex </t>
  </si>
  <si>
    <t>Edgeboard Connectors ROHS</t>
  </si>
  <si>
    <t>MM60-EZH059-B5-R650</t>
  </si>
  <si>
    <t>CH340G</t>
  </si>
  <si>
    <t>Củ 2021</t>
  </si>
  <si>
    <t>Mới 2024</t>
  </si>
  <si>
    <t>sample 2021</t>
  </si>
  <si>
    <t>TTTH</t>
  </si>
  <si>
    <t>Led red 0603 ( gói 10 con )</t>
  </si>
  <si>
    <t>STLED-0603-R</t>
  </si>
  <si>
    <t xml:space="preserve">Fixed Inductors WE-LQS 8040 47uH 1.55A 136mOhm </t>
  </si>
  <si>
    <t>74404084470</t>
  </si>
  <si>
    <t>2SC1815-HF TRANS NPN 0.15A 50V SOT23</t>
  </si>
  <si>
    <t>RMCF0603JT100K</t>
  </si>
  <si>
    <t>RES 2M2 OHM 1% 1/10W 0603</t>
  </si>
  <si>
    <t>RMCF0603FT2M20</t>
  </si>
  <si>
    <t>RC0603FR-072M2L</t>
  </si>
  <si>
    <t>điện trở 4.7Mohm 0805</t>
  </si>
  <si>
    <t>STSRES4.7-0805-5%</t>
  </si>
  <si>
    <t>Đầu XH 2.54mm 4 Chân Thẳng Xuyên Lỗ</t>
  </si>
  <si>
    <t>Header 4P PH2.54-4P đực</t>
  </si>
  <si>
    <t>BF90 Cổng USB Cái 2.0 Type B 4 Chân Cong 90 Độ Xuyên Lỗ</t>
  </si>
  <si>
    <t>BF90</t>
  </si>
  <si>
    <t>Dây bus, dây bẹ đực cái 15cm (sợi)</t>
  </si>
  <si>
    <t>IP-MF-15CM</t>
  </si>
  <si>
    <t>Sub-panel 4x5
Size 58x37mm
FR4, 1.6mm, 1oz
2 Layers, Green</t>
  </si>
  <si>
    <t>PCB Interface Board V2.0</t>
  </si>
  <si>
    <t xml:space="preserve">CAP CER 22UF 16V X5R 1206 </t>
  </si>
  <si>
    <t xml:space="preserve">MOSFET 2.5V Drive Nch MOSFET </t>
  </si>
  <si>
    <t>RK7002BMT116</t>
  </si>
  <si>
    <t xml:space="preserve">DIODE GEN PURP 1KV 1A SMA </t>
  </si>
  <si>
    <t>RC1206JR-075K6L</t>
  </si>
  <si>
    <t>TRIMMER 1M OHM 0.1W J LEAD TOP</t>
  </si>
  <si>
    <t>TC33X-2-105E</t>
  </si>
  <si>
    <t>Header 4P PH2.0-4P cái</t>
  </si>
  <si>
    <t>Sub-panel 3x3</t>
  </si>
  <si>
    <t>PCB DELAY 60V</t>
  </si>
  <si>
    <t>PCB POWER DELAY V1.2</t>
  </si>
  <si>
    <t>PCB POWER DELAY V1.1</t>
  </si>
  <si>
    <t>SN74HC14DR</t>
  </si>
  <si>
    <t>100nF (0.1uF) 25V 0603</t>
  </si>
  <si>
    <t>0.1uf/25V</t>
  </si>
  <si>
    <t>220K 0603</t>
  </si>
  <si>
    <t>2.54mm-40x2-MH</t>
  </si>
  <si>
    <t xml:space="preserve">MMBT3904-7-F </t>
  </si>
  <si>
    <t>SRA-12VDC</t>
  </si>
  <si>
    <t>Diode 1N5822</t>
  </si>
  <si>
    <t>1N5822</t>
  </si>
  <si>
    <t>FUSE AUTO 80A 32VDC BLADE MAX</t>
  </si>
  <si>
    <t>APX-80A</t>
  </si>
  <si>
    <t>LED SMD G T 5mA LTST-C193KGKT-5A 1.6X0.8mm</t>
  </si>
  <si>
    <t>LTST-C193KGKT-5A</t>
  </si>
  <si>
    <t>OPTOISOLATOR 5KV TRANS 4-DIP</t>
  </si>
  <si>
    <t>PC816</t>
  </si>
  <si>
    <t>TERM BLOCK HDR 2POS 90DEG 5.08MM</t>
  </si>
  <si>
    <t>KF-5.08-2-R</t>
  </si>
  <si>
    <t>IC SHIFT REGISTER 8BIT 16SOIC</t>
  </si>
  <si>
    <t>74HC595D,118</t>
  </si>
  <si>
    <t>DARLINGTON TRANSISTOR ARR SOP-18</t>
  </si>
  <si>
    <t>ULN2803A</t>
  </si>
  <si>
    <t>PCB Inverter 3KVA v1.1</t>
  </si>
  <si>
    <t>STFUSE8A</t>
  </si>
  <si>
    <t>MODULE LED MATRIX 8X8 20x20MM</t>
  </si>
  <si>
    <t>M722UYOWB/A7/P44</t>
  </si>
  <si>
    <t>KF2EDG-5.08 2P Thẳng</t>
  </si>
  <si>
    <t>10uf/ 25v</t>
  </si>
  <si>
    <t>HK4100F-DC 12V-SHG</t>
  </si>
  <si>
    <t>SWITCH TACTILE</t>
  </si>
  <si>
    <t>LMK107BBJ106KALT</t>
  </si>
  <si>
    <t>EMK107B7104KA-T</t>
  </si>
  <si>
    <t>RES SMD 5.6K OHM 5% 1/10W 0603</t>
  </si>
  <si>
    <t>RC0603JR-075K6L</t>
  </si>
  <si>
    <t>DIODE ARRAY SCHOTTKY 20V SOT23-3</t>
  </si>
  <si>
    <t>SDM40E20LS-7-F</t>
  </si>
  <si>
    <t>CONN HEADER R/A 4POS 2.5MM</t>
  </si>
  <si>
    <t>RES SMD 1.6K OHM 5% 1/10W 0603</t>
  </si>
  <si>
    <t>RC0603JR-071K6L</t>
  </si>
  <si>
    <t>RC1206JR-07330RL</t>
  </si>
  <si>
    <t>RES SMD 20K OHM 5% 1/8W 0805</t>
  </si>
  <si>
    <t>RC0805JR-0720KL</t>
  </si>
  <si>
    <t>Capacitors 4.7uF 100V SMD D6.3xL5.4mm SMD ROHS</t>
  </si>
  <si>
    <t>RVT4.7UF100V67RV0118</t>
  </si>
  <si>
    <t xml:space="preserve">DIODE ZENER 12V 500MW SOD80C </t>
  </si>
  <si>
    <t>BZV55-C12,115</t>
  </si>
  <si>
    <t>DIODE GEN PURP 75V 200MA SOT23-3</t>
  </si>
  <si>
    <t>BAS16</t>
  </si>
  <si>
    <t>Cuộn cảm 4.7UH 3A 71 Mohm SMD 744774047.</t>
  </si>
  <si>
    <t>744774047</t>
  </si>
  <si>
    <t>MOSFET N-CH 60V 2.6A SOT23-3</t>
  </si>
  <si>
    <t>SI2308CDS-T1-GE3</t>
  </si>
  <si>
    <t>Resistor 0603 100M Ohms ±5% 75V</t>
  </si>
  <si>
    <t>0603WAJ0107T5E</t>
  </si>
  <si>
    <t>0603 1/10W 1% T/R-5000</t>
  </si>
  <si>
    <t>0603WAF2205T5E</t>
  </si>
  <si>
    <t>PCB TEST CME</t>
  </si>
  <si>
    <t>Tụ ceramic</t>
  </si>
  <si>
    <t>GRM31CR61E106KA12L</t>
  </si>
  <si>
    <t>12VDC 1A SPDT 8 Chân</t>
  </si>
  <si>
    <t>HK19F-DC12V-SHG</t>
  </si>
  <si>
    <t>IC REG BUCK 5V 1A 8SOIC</t>
  </si>
  <si>
    <t>HT7886</t>
  </si>
  <si>
    <t>Led matrix 8x8 F3.0mm 1088BS</t>
  </si>
  <si>
    <t>1088BS</t>
  </si>
  <si>
    <t>Led matrix 8x8 F3.0mm 1088AS</t>
  </si>
  <si>
    <t>1088AS</t>
  </si>
  <si>
    <t>Tụ Gốm 0603 33pF 50V</t>
  </si>
  <si>
    <t xml:space="preserve">IC REG BUCK 5.0V 3A TO263-5 </t>
  </si>
  <si>
    <t>LM2576SX-5.0/NOPB</t>
  </si>
  <si>
    <t>PCB LED MATRIX V2.2</t>
  </si>
  <si>
    <t>CAP-CER,SMD; 330pF,5%,0603, 50V,X7R</t>
  </si>
  <si>
    <t>C0603C331J5GACTU</t>
  </si>
  <si>
    <t>10UF 25V 0603 10%</t>
  </si>
  <si>
    <t>GRM188R61E106KA73J</t>
  </si>
  <si>
    <t>RES SMD 10k OHM 1% 1/10W 0603</t>
  </si>
  <si>
    <t>RC0603FR-1310KL</t>
  </si>
  <si>
    <t>Điện trở 5.6R 0603 1%</t>
  </si>
  <si>
    <t>Diode zener 1N4734 IN4734 1W 5.6V</t>
  </si>
  <si>
    <t>Điện trở 5.6R 1W 1%</t>
  </si>
  <si>
    <t>Điện Trở 6.8 Ohm 0603 5%</t>
  </si>
  <si>
    <t>Cap ALU 6.3x8.0-2.5</t>
  </si>
  <si>
    <t>Tụ Hóa 220uF 16V 6x7mm XuyênLỗ</t>
  </si>
  <si>
    <t>Điện Trở 470 KOhm 0603 1%</t>
  </si>
  <si>
    <t>RES 470K OHM 1% 1/10W 0603</t>
  </si>
  <si>
    <t>RMCF0603FT470K</t>
  </si>
  <si>
    <t>CAP CER 0.1UF 250V X7R 1206</t>
  </si>
  <si>
    <t>C1206C104KARACTU</t>
  </si>
  <si>
    <t>LED đỏ 1206</t>
  </si>
  <si>
    <t>15-21SURC/S530-A3/TR8</t>
  </si>
  <si>
    <t>DSS110</t>
  </si>
  <si>
    <t>12V/500mW</t>
  </si>
  <si>
    <t>FDLL4148-D87Z</t>
  </si>
  <si>
    <t>390K</t>
  </si>
  <si>
    <t>RMCF0603FT390K</t>
  </si>
  <si>
    <t>Điện Trở 590 KOhm 0603 1%</t>
  </si>
  <si>
    <t>RMCF0603FT590K</t>
  </si>
  <si>
    <t>Điện Trở 10 KOhm 0603 1%</t>
  </si>
  <si>
    <t>CRG0603F10K</t>
  </si>
  <si>
    <t>Điện Trở 100 KOhm 1206 1%</t>
  </si>
  <si>
    <t>RC1206FR-07100KL</t>
  </si>
  <si>
    <t>1.5M</t>
  </si>
  <si>
    <t>RC0603FR-071M5L</t>
  </si>
  <si>
    <t>MP9486A</t>
  </si>
  <si>
    <t>MP9486AGN-Z</t>
  </si>
  <si>
    <t>EL357</t>
  </si>
  <si>
    <t>PCB HB interface UPS 231219</t>
  </si>
  <si>
    <t>Điện Trở 2.2 MOhm 0603 1%</t>
  </si>
  <si>
    <t>Đầu XH 2.0mm 4 Chân Thẳng Xuyên Lỗ</t>
  </si>
  <si>
    <t>Header 4P PH2.0-4P đực</t>
  </si>
  <si>
    <t>CAP CER 4.7UF 35V X5R 0805</t>
  </si>
  <si>
    <t>GMK212BBJ475MD-T</t>
  </si>
  <si>
    <t>RES SMD 22 OHM 5% 1/10W 0603</t>
  </si>
  <si>
    <t>RES 22 OHM 1% 1/2W 1206</t>
  </si>
  <si>
    <t>RC1206FR-7W22RL</t>
  </si>
  <si>
    <t>GRM188R61A226ME15D</t>
  </si>
  <si>
    <t>IC TRANSCEIVER HALF 1/1 8SOIC</t>
  </si>
  <si>
    <t>CRYSTAL 11.0592MHZ 18PF SMD</t>
  </si>
  <si>
    <t>RH100-11.0592-18-3030-EXT-TR</t>
  </si>
  <si>
    <t>TVS SOD123FL 5V 200W UNIDIR</t>
  </si>
  <si>
    <t>DIODE SCHOTTKY 2.0A 100V</t>
  </si>
  <si>
    <t>B2100A-13-F</t>
  </si>
  <si>
    <t>TRANS PREBIAS NPN 50V SOT23-3</t>
  </si>
  <si>
    <t>DDTD113ZC-7-F</t>
  </si>
  <si>
    <t>ERJ-3GEYJ32V</t>
  </si>
  <si>
    <t>DDTC1432CA-7-F</t>
  </si>
  <si>
    <t>SMT</t>
  </si>
  <si>
    <t>100UF/35V</t>
  </si>
  <si>
    <t>470UF/16V</t>
  </si>
  <si>
    <t>ECA-1CM471BJ</t>
  </si>
  <si>
    <t>IP-MF-30CM</t>
  </si>
  <si>
    <t>74HC574D</t>
  </si>
  <si>
    <t>ĐVT= tape (1tape=40pcs)</t>
  </si>
  <si>
    <t>loại thanh hàng rào đôi</t>
  </si>
  <si>
    <t>224pcs khác màu</t>
  </si>
  <si>
    <t>NK24-02-01/SAMPLE TVE Led matrix</t>
  </si>
  <si>
    <t>TVE</t>
  </si>
  <si>
    <t>Magnetic locks MC500DL</t>
  </si>
  <si>
    <t>MC500DL</t>
  </si>
  <si>
    <t>Magnetic-lock brackets PLMC500D</t>
  </si>
  <si>
    <t>PLMC500D</t>
  </si>
  <si>
    <t>Magnetic-lock brackets  PZMC500</t>
  </si>
  <si>
    <t>PZMC500</t>
  </si>
  <si>
    <t>Heatshink 120x100x18</t>
  </si>
  <si>
    <t>Khóa</t>
  </si>
  <si>
    <t>PZEC235</t>
  </si>
  <si>
    <t>EC235-1</t>
  </si>
  <si>
    <t>MC270L</t>
  </si>
  <si>
    <t>Emergency  button with key manual reset, GREEN color</t>
  </si>
  <si>
    <t>YX-BP562</t>
  </si>
  <si>
    <t xml:space="preserve">Cấp nguồn điện NDR-120-12 </t>
  </si>
  <si>
    <t xml:space="preserve">NDR-120-12 </t>
  </si>
  <si>
    <t>PZMC270-300</t>
  </si>
  <si>
    <t>PLMC270</t>
  </si>
  <si>
    <t>PFEC130</t>
  </si>
  <si>
    <t>AK-R-159 94*34mm</t>
  </si>
  <si>
    <t>PCB BUTTON</t>
  </si>
  <si>
    <t>PCB-034-B1_FAB</t>
  </si>
  <si>
    <t>PCB-041-A1_LED30CM</t>
  </si>
  <si>
    <t>PCB Gerber S2</t>
  </si>
  <si>
    <t>PCB Gerber MB</t>
  </si>
  <si>
    <t>PCB GATE WAY</t>
  </si>
  <si>
    <t>PCB-006-A1_FAB</t>
  </si>
  <si>
    <t>PCB REV05</t>
  </si>
  <si>
    <t>PCB SENSOR-RELAY</t>
  </si>
  <si>
    <t>PCB LIGHT</t>
  </si>
  <si>
    <t>Glass</t>
  </si>
  <si>
    <t>Mặt kính NFC</t>
  </si>
  <si>
    <t>PCB DIM</t>
  </si>
  <si>
    <t>PCB-036-A1_FAB</t>
  </si>
  <si>
    <t>PCB CONTROLER</t>
  </si>
  <si>
    <t>PCB-035-A2_FAB</t>
  </si>
  <si>
    <t>Rigid PCB, 2Layer,FR-370HR , T=1.6mm,
Finished copper:1/1 OZ, immersion gold 2-5U"
Matte Black soldermak, white silkscreen, Piece Size(mm): 87 x 121.5, Array: 1, Panel size(mm): 97 x 121.5.</t>
  </si>
  <si>
    <t>PCB VNG-PCB-041-A1</t>
  </si>
  <si>
    <t>Mặt kính NFC Reader</t>
  </si>
  <si>
    <t>Press Button Glass</t>
  </si>
  <si>
    <t>Press RFID Glass</t>
  </si>
  <si>
    <t>Mặt kính Button</t>
  </si>
  <si>
    <t>Công suất bộ nguồn 320W-Nguồn vào AC220V-Nguồn ra 24VDC-13A</t>
  </si>
  <si>
    <t>RSP-320-24</t>
  </si>
  <si>
    <t>Converter 9V-40V to 24V6A</t>
  </si>
  <si>
    <t>TBC094024C145Z</t>
  </si>
  <si>
    <t>Dây nguồn input 48-52V,output DC12V</t>
  </si>
  <si>
    <t>https://www.thegioiic.com/products/lm2596s-mach-giam-ap-3a</t>
  </si>
  <si>
    <t>LM2596S</t>
  </si>
  <si>
    <t>Hộp Thép 1.2mm, sơn tĩnh điện</t>
  </si>
  <si>
    <t>PSU CASE TRẮNG</t>
  </si>
  <si>
    <t>HỘP NHỰA  KW 31</t>
  </si>
  <si>
    <t>KW-31</t>
  </si>
  <si>
    <t>Băng keo xanh</t>
  </si>
  <si>
    <t>Thermal tape 25mmx25m</t>
  </si>
  <si>
    <t>MICA DIMMING HUB(dây 3A)</t>
  </si>
  <si>
    <t>Plastic Housing 190*190*35</t>
  </si>
  <si>
    <t>AK-NW-41</t>
  </si>
  <si>
    <t>300MA, Ultra-low Noise, Ultra-fast Cmos Ldo Regulator</t>
  </si>
  <si>
    <t>RT9193-33GU5</t>
  </si>
  <si>
    <t>FIXED IND 220UH 5A 52 MOHM SMD</t>
  </si>
  <si>
    <t>PM2120-221K-RC</t>
  </si>
  <si>
    <t xml:space="preserve">	SMD MODULE, ESP32-D0WDQ6, 32MBIT</t>
  </si>
  <si>
    <t>ESP32-WROOM-32</t>
  </si>
  <si>
    <t>CAP CER 0.056UF 50V X7R 0402</t>
  </si>
  <si>
    <t>GRM155R7H563KE14D</t>
  </si>
  <si>
    <t>FIXED IND 2.2UH 1.3A 100MOHM SMD</t>
  </si>
  <si>
    <t>LQM2HPN2R2MG0L</t>
  </si>
  <si>
    <t>TLV1117-33IDCYR</t>
  </si>
  <si>
    <t>RES SMD 2 OHM 5% 1W 2512</t>
  </si>
  <si>
    <t>ERJ-1TYJ2R0U</t>
  </si>
  <si>
    <t>CAP CER 20PF 50V C0G/NP0 0402</t>
  </si>
  <si>
    <t>MCR03EZPJ100</t>
  </si>
  <si>
    <t xml:space="preserve">	CONN FPC BOTTOM 12POS .5MM R/A</t>
  </si>
  <si>
    <t>5051101292</t>
  </si>
  <si>
    <t>IC DRVR/RCVR MLTCH RS232 16TSSOP</t>
  </si>
  <si>
    <t>MAX3232CPW</t>
  </si>
  <si>
    <t>CONN FFC TOP 12POS 0.50MM R/A</t>
  </si>
  <si>
    <t>SFV12R-2STE1HLF</t>
  </si>
  <si>
    <t>RES 110K OHM 1% 1/16W 0402</t>
  </si>
  <si>
    <t>RMCF0402FT110K</t>
  </si>
  <si>
    <t>RES SMD 10K OHM 5% 1/10W 0402, RES SMD 10K OHM 5% 1/16W 0402</t>
  </si>
  <si>
    <t>ERJ-2GEJ103X</t>
  </si>
  <si>
    <t>RES SMD 1K OHM 5% 1/10W 0402</t>
  </si>
  <si>
    <t>ERJ-2GEJ102X</t>
  </si>
  <si>
    <t>SMD Chip Resistor, 1 kOhm, ± 1%, 100 mW, 0603 [1608 Metric], Thick Film, General Purpose</t>
  </si>
  <si>
    <t>RC0603FR-101KL</t>
  </si>
  <si>
    <t>LED XANH DƯƠNG 0603</t>
  </si>
  <si>
    <t>Trans Mosfet P-ch 20V 2A 3-PIN SOT-23 T/r</t>
  </si>
  <si>
    <t>FDN340P</t>
  </si>
  <si>
    <t>MMBT Series 40 V 200 mA SMT NPN Silicon General Purpose Transistor - SOT-23</t>
  </si>
  <si>
    <t>MPZ1608D101BTA00</t>
  </si>
  <si>
    <t>CAP CER SMD 10uF 10V 20% X5R 0603</t>
  </si>
  <si>
    <t>LMK107BJ106MALTD</t>
  </si>
  <si>
    <t>Multilayer Ceramic Capacitors MLCC - SMD/SMT 22nF 50V X7R 10%</t>
  </si>
  <si>
    <t>CC0603KRX7R9BB223</t>
  </si>
  <si>
    <t>RES 0.4 OHM 1% 1/4W 1206</t>
  </si>
  <si>
    <t>RL1206FR-070R4L</t>
  </si>
  <si>
    <t>CAP CER SMD 0.47uF 16V 10% X7R 0603</t>
  </si>
  <si>
    <t>EMK107B7474KA-T</t>
  </si>
  <si>
    <t>LED XANH 1206</t>
  </si>
  <si>
    <t>LED GREEN CLEAR 2V 20mA 0805 SMD</t>
  </si>
  <si>
    <t>LTST-S220KGKT</t>
  </si>
  <si>
    <t>LED TRẮNG 0603</t>
  </si>
  <si>
    <t>Blue 470nm LED Indication - Discrete 3.3V 2-SMD, No Lead Exposed Pad</t>
  </si>
  <si>
    <t>LTST-S220TBKT</t>
  </si>
  <si>
    <t>RES 6.8 OHM 1% 1/4W 1206</t>
  </si>
  <si>
    <t>RC1206FR-076R8L</t>
  </si>
  <si>
    <t>RES 0 OHM JUMPER 1/4W 1206</t>
  </si>
  <si>
    <t xml:space="preserve">FUSE BRD MNT 15A </t>
  </si>
  <si>
    <t>10x3.6MM 15A</t>
  </si>
  <si>
    <t>MOSFET N-CH 30V 161A DPAK</t>
  </si>
  <si>
    <t>IRLR7843TRPBF</t>
  </si>
  <si>
    <t>Antenna IPX 15cm</t>
  </si>
  <si>
    <t>Antenna IPX</t>
  </si>
  <si>
    <t>SMD Battery Holders, Clips &amp; Contacts RoHS 1220 batteries</t>
  </si>
  <si>
    <t>CR1220-2ZX</t>
  </si>
  <si>
    <t>DIODE SCHOTTKY 100V 150MA SOD123</t>
  </si>
  <si>
    <t>BAT46ZFILM</t>
  </si>
  <si>
    <t>IC REG MULT CONFG ADJ 3A D2PAK-5</t>
  </si>
  <si>
    <t>LM2596DSADJR4G</t>
  </si>
  <si>
    <t>CAP CER 0402 1NF 50V X7R 10%</t>
  </si>
  <si>
    <t>C0402C102K5REC7867</t>
  </si>
  <si>
    <t>RES SMD 5K OHM 1% 1/16W 0402</t>
  </si>
  <si>
    <t>RC0402JR-075KL</t>
  </si>
  <si>
    <t>C0603X104K5RAC</t>
  </si>
  <si>
    <t>MSASL168BB5106MTNB33</t>
  </si>
  <si>
    <t>CAP CER SMD 0.1uF 16V 5% X7R 0603</t>
  </si>
  <si>
    <t>GRM188R71C104JA01D</t>
  </si>
  <si>
    <t>CAP 220 µF 35V Aluminum Electrolytic Capacitors Radial</t>
  </si>
  <si>
    <t>220uF/35V</t>
  </si>
  <si>
    <t>PTC Resettable Fuse 0.2A(hold) 0.4A(trip) 30V 1812</t>
  </si>
  <si>
    <t>SMD1812B020TF</t>
  </si>
  <si>
    <t>RES 100K OHM 1% 1/8W 0805</t>
  </si>
  <si>
    <t>RC0805FR-07100KL</t>
  </si>
  <si>
    <t>SWITCH TACTILE 4x4x4.3MM</t>
  </si>
  <si>
    <t>BTN 4x4x4.3 MM</t>
  </si>
  <si>
    <t>MOSFET N 80V 49A TDSON-8</t>
  </si>
  <si>
    <t>BSC117N08NS5ATMA1</t>
  </si>
  <si>
    <t>GBGM-C191KSKT-5A</t>
  </si>
  <si>
    <t>CAP CER SMD 0.1uF 50V 10% X7R 0603</t>
  </si>
  <si>
    <t>GRM188R71H104KA93D</t>
  </si>
  <si>
    <t>PCB Gerber DIMHUB_Y45</t>
  </si>
  <si>
    <t>PCB Gerber DC02 Y 46</t>
  </si>
  <si>
    <t>PCB Gerber OIMHUB 28</t>
  </si>
  <si>
    <t>PCB Gerber DC01_29.07</t>
  </si>
  <si>
    <t>ABLS-8.000MHZ-B2-T</t>
  </si>
  <si>
    <t>SENSOR 30PSIG 0.19" 12BIT 8DIP</t>
  </si>
  <si>
    <t>SSCDANT030PG2A3</t>
  </si>
  <si>
    <t>SMALL SIGNAL DIODE SOD523 100V</t>
  </si>
  <si>
    <t>1N4148WT</t>
  </si>
  <si>
    <t>FERRITE BEAD 220 OHM 0603 1LN</t>
  </si>
  <si>
    <t>DIODE SCHOTTKY 40V 3A SOD123FA</t>
  </si>
  <si>
    <t>SS34FA</t>
  </si>
  <si>
    <t>LED DRIVER</t>
  </si>
  <si>
    <t>IS31FL3236A-QFLS2-TR</t>
  </si>
  <si>
    <t>IC RTC CLOCK/CALENDAR I2C 8UMAX</t>
  </si>
  <si>
    <t>DS1338U-33+T&amp;R</t>
  </si>
  <si>
    <t>IC REG LINEAR 3.3V 1A SOT223</t>
  </si>
  <si>
    <t>NCP117LPST33T3G</t>
  </si>
  <si>
    <t>CAP CER SMD 2.2uF 35V 10% X5R 1206</t>
  </si>
  <si>
    <t>CGA5L3X5R1V225K160AB</t>
  </si>
  <si>
    <t>CAP CER SMD 120pF 50V 2% NP0 0402</t>
  </si>
  <si>
    <t>GRM1555C1H121GA01D</t>
  </si>
  <si>
    <t>CAP CER SMD 1pF 50V 0.1pF NP0 0402</t>
  </si>
  <si>
    <t>GJM1555C1H1R0BB01J</t>
  </si>
  <si>
    <t>RES SMD 180 OHM 5% 1/10W 0603</t>
  </si>
  <si>
    <t>RC0603JR-07180RL</t>
  </si>
  <si>
    <t>CAP CER 0.012UF 50V X7R 0402</t>
  </si>
  <si>
    <t>GRM155R71H123KA12D</t>
  </si>
  <si>
    <t>RES SMD 300K OHM 1% 1/10W 0603</t>
  </si>
  <si>
    <t>RC0603FR-07300KL</t>
  </si>
  <si>
    <t>RES SMD 100K OHM 5% 1W 2512</t>
  </si>
  <si>
    <t>ERJ-1TYJ104U</t>
  </si>
  <si>
    <t>CAP CER SMD 22uF 35V 20% X5R 0805</t>
  </si>
  <si>
    <t>White 0805 Light Emitting Diodes (LED) ROHS</t>
  </si>
  <si>
    <t>TJ-S2005SW9TGLCCW-A5</t>
  </si>
  <si>
    <t>ED LM301Z+ COOL WHT 6500K 3030</t>
  </si>
  <si>
    <t>SPMWH3326MP7WAP3SO</t>
  </si>
  <si>
    <t>Res Thick Film 0402 10K Ohm 1% 0.2W(1/5W) ±100ppm/°C Pad SMD Automotive T/R</t>
  </si>
  <si>
    <t>CRCW040210K0FKEDHP</t>
  </si>
  <si>
    <t xml:space="preserve"> FERRITE BEAD 300 OHM 0603 1LN</t>
  </si>
  <si>
    <t>2506033017Z0</t>
  </si>
  <si>
    <t>Nichia 180lm/W White Surface Mount 3030 Mid Power LED</t>
  </si>
  <si>
    <t>NFSW757GT-P5V1</t>
  </si>
  <si>
    <t>LED Green Water Clear SMD-0603</t>
  </si>
  <si>
    <t>19-215YGC/5530-E2</t>
  </si>
  <si>
    <t>RES SMD 12.1K OHM 1% 1/10W 0603</t>
  </si>
  <si>
    <t>RC0603FR-0712K1L</t>
  </si>
  <si>
    <t>CAP CER 0.47UF 35V X5R 0402</t>
  </si>
  <si>
    <t>GRT155R6YA474ME01D</t>
  </si>
  <si>
    <t>CAP CER SMD 470pF 50V 10% X7R 0603</t>
  </si>
  <si>
    <t>GRM188R71H471KA01D</t>
  </si>
  <si>
    <t>UMK105CG200JV-F</t>
  </si>
  <si>
    <t>CC0402KRX5R5BB105</t>
  </si>
  <si>
    <t>CAP CER 68PF 50V C0G/NP0 0402</t>
  </si>
  <si>
    <t>GRM1555C1H680JA01D</t>
  </si>
  <si>
    <t>CAP CER 82PF 50V C0G/NP0 0402</t>
  </si>
  <si>
    <t>GRM1555C1H820JA01D</t>
  </si>
  <si>
    <t>CAP CER SMD 47pF 50V 5% NP0 0603</t>
  </si>
  <si>
    <t>GRM1885C1H470JA01J</t>
  </si>
  <si>
    <t xml:space="preserve">LED XANH DƯƠNG </t>
  </si>
  <si>
    <t>DIODE SCHOTTKY 100V 8A SMC
DIODE SCHOTTKY 100V 8A SMC
DIODE SCHOTTKY 100V 8A SMC</t>
  </si>
  <si>
    <t>SK810L-TP</t>
  </si>
  <si>
    <t>CAP CER 0.022UF 16V X7R 0402</t>
  </si>
  <si>
    <t>EMK105B7223KV-F</t>
  </si>
  <si>
    <t>IC OPAMP GP 1 CIRCUIT SOT6</t>
  </si>
  <si>
    <t>MAX4239AUT+T</t>
  </si>
  <si>
    <t xml:space="preserve"> IC REG CTRLR BUCK 8MSOP</t>
  </si>
  <si>
    <t>LM5085MY/NOPB</t>
  </si>
  <si>
    <t>CAP CER 270PF 50V X7R 0402</t>
  </si>
  <si>
    <t>GRM155R71H271KA01D</t>
  </si>
  <si>
    <t xml:space="preserve"> RES 30K OHM 5% 1/10W 0603
RES 30K OHM 5% 1/10W 0603</t>
  </si>
  <si>
    <t>RC0603JR-0730KL</t>
  </si>
  <si>
    <t>RES SMD 9.1M OHM 5% 1/10W 0402</t>
  </si>
  <si>
    <t>ERJ-2GEJ915X</t>
  </si>
  <si>
    <t>SCHOTTKY RECTIFIER SMA T&amp;R 10K</t>
  </si>
  <si>
    <t>SDT3A45SA-13</t>
  </si>
  <si>
    <t xml:space="preserve"> RES SMD 270 OHM 1% 1/10W 0603</t>
  </si>
  <si>
    <t>ERJ-3EKF2700V</t>
  </si>
  <si>
    <t>RES 0.47 OHM 1% 1/4W 1206</t>
  </si>
  <si>
    <t>RL1206FR-070R47L</t>
  </si>
  <si>
    <t>RL1206FR-7W0R68L</t>
  </si>
  <si>
    <t>RES 1.2 OHM 1% 1/4W 1206</t>
  </si>
  <si>
    <t>RC1206FR-071R2L</t>
  </si>
  <si>
    <t>RES 1 OHM 1% 1/4W 1206</t>
  </si>
  <si>
    <t>RC1206FR-131RL</t>
  </si>
  <si>
    <t xml:space="preserve"> MOSFET P-CH 40V 90A TO252AA</t>
  </si>
  <si>
    <t>SQD90P04-9M4L-GE3</t>
  </si>
  <si>
    <t>IC FLASH 1MBIT SPI/QUAD 8WSON</t>
  </si>
  <si>
    <t>IS25LQ010B-JKLE</t>
  </si>
  <si>
    <t>IC MUX 8:1 120OHM 16SO</t>
  </si>
  <si>
    <t>74HC4051D-Q100,118</t>
  </si>
  <si>
    <t xml:space="preserve"> IC BUF NON-INVERT 5.5V 14TSSOP</t>
  </si>
  <si>
    <t>SN74LV125APWR</t>
  </si>
  <si>
    <t>FIXED IND 15UH 4.9A 65.3MOHM SMD</t>
  </si>
  <si>
    <t>IHLP3232DZER150M11</t>
  </si>
  <si>
    <t xml:space="preserve"> IC REG BUCK ADJ 100MA 8SOPWR</t>
  </si>
  <si>
    <t>LM5019MR/NOPB</t>
  </si>
  <si>
    <t>RF ANT 850MHZ/900MHZ CHIP SLD</t>
  </si>
  <si>
    <t>P522304</t>
  </si>
  <si>
    <t xml:space="preserve"> DGT ISOL 3750VRMS 4CH I2C 16SOIC</t>
  </si>
  <si>
    <t>SI8606AC-B-IS1</t>
  </si>
  <si>
    <t>SN74AHC1G14DBVR</t>
  </si>
  <si>
    <t xml:space="preserve"> IC DECODER/DEMUX 1 X 3:8 16SO</t>
  </si>
  <si>
    <t>74HC238D.653</t>
  </si>
  <si>
    <t xml:space="preserve"> IC REG LINEAR 2.5V 250MA SOT89-3</t>
  </si>
  <si>
    <t>MCP1702T-2502E/MB</t>
  </si>
  <si>
    <t xml:space="preserve"> CAP CER 180PF 50V C0G 0402</t>
  </si>
  <si>
    <t>C1005C0G1H181J050BA</t>
  </si>
  <si>
    <t>DIODE SCHOTTKY 100V 5A DPAK</t>
  </si>
  <si>
    <t>STPS5H100B-TR</t>
  </si>
  <si>
    <t xml:space="preserve"> IC TRANSLATOR BIDIR 14TSSOP</t>
  </si>
  <si>
    <t>C1005X7R1H104K</t>
  </si>
  <si>
    <t>GRM152R60J105ME15D</t>
  </si>
  <si>
    <t xml:space="preserve"> IC TRANSLATOR BIDIR 20TSSOP</t>
  </si>
  <si>
    <t>100 pF ±5% 25V Ceramic Capacitor X7R 0402 (1005 Metric)
100 pF ±5% 25V Ceramic Capacitor X7R 0402 (1005 Metric)</t>
  </si>
  <si>
    <t>C0402C101J3GACTU</t>
  </si>
  <si>
    <t>CAP CER 0603 0.1UF 100VDC X7R</t>
  </si>
  <si>
    <t>C0603C104K4RACTU</t>
  </si>
  <si>
    <t>CAP TANT 100UF 10% 16V 2917</t>
  </si>
  <si>
    <t>T495D107K016ATE100</t>
  </si>
  <si>
    <t>RES SMD 3.9M OHM 5% 1/10W 0402</t>
  </si>
  <si>
    <t>ERJ-2GEJ395X</t>
  </si>
  <si>
    <t xml:space="preserve"> CAP TANT POLY 330UF 6.3V 2917</t>
  </si>
  <si>
    <t>T520D337M006ATE045</t>
  </si>
  <si>
    <t>IND SMD 220uH 3.5A 10% 74 mOhm 30m5x24m5</t>
  </si>
  <si>
    <t>PM2110-221K-RC</t>
  </si>
  <si>
    <t>RES 3.9K OHM 1% 1/16W 0402</t>
  </si>
  <si>
    <t>RC0402FR-073K9L</t>
  </si>
  <si>
    <t>ACCEL 2-16G I2C/SPI 16LGA</t>
  </si>
  <si>
    <t>LIS3DHTR</t>
  </si>
  <si>
    <t>IC BATT CONTRL LI-ION 1CELL 8DFN</t>
  </si>
  <si>
    <t>MCP73831-2ATI/MC</t>
  </si>
  <si>
    <t>PUSH-PUSH SIM CONNECTOR SUPER LO</t>
  </si>
  <si>
    <t>2174918-1</t>
  </si>
  <si>
    <t>10 kOhms ±1% 0.063W, 1/16W</t>
  </si>
  <si>
    <t>CAP CER 15PF 50V C0G/NP0 0402</t>
  </si>
  <si>
    <t>UMK105CG150JV-F</t>
  </si>
  <si>
    <t>IC MCU 16 bit, 32KB FLASH, 2KB RAM TSSOP-28</t>
  </si>
  <si>
    <t>MSP430I2041TPWR</t>
  </si>
  <si>
    <t>MOSFET P-CH 60V 3.2A PPAK SO-8</t>
  </si>
  <si>
    <t>SI7465DP-T1-E3</t>
  </si>
  <si>
    <t>TVS DIODE 170VWM 355VC SMB</t>
  </si>
  <si>
    <t>SMBJ170A-TR</t>
  </si>
  <si>
    <t>MICRO SIM CARD PUSH-PUSH</t>
  </si>
  <si>
    <t>SF56S006V4BR2000</t>
  </si>
  <si>
    <t>DGTL ISO 2500VRMS 4CH GP 16SOIC</t>
  </si>
  <si>
    <t>ISO7241CDWR</t>
  </si>
  <si>
    <t>FUSE BOARD MOUNT 4A 32VDC 0603</t>
  </si>
  <si>
    <t>0603SFS400F/32-2</t>
  </si>
  <si>
    <t>MOSFET P-CH 60V 3A SOT223</t>
  </si>
  <si>
    <t>2XMP6A17GTA</t>
  </si>
  <si>
    <t>40MHz 8pF ±50ppm ±50ppm SMD5032 Crystals ROHS</t>
  </si>
  <si>
    <t>NX5032GA-40.000000MHZ-LN-CD-1</t>
  </si>
  <si>
    <t>TRANSFORMER LAN 10/100/1000 SMD</t>
  </si>
  <si>
    <t>IC FLASH 128MBIT SPI 104MHZ 8SOP</t>
  </si>
  <si>
    <t>MX25L12835FM2I-10G</t>
  </si>
  <si>
    <t xml:space="preserve">	RES SMD 0.003 OHM 1  2W 2512</t>
  </si>
  <si>
    <t>ERJ-MP4PF3M0U</t>
  </si>
  <si>
    <t>IC OFF-LINE SWITCH PWM SOIC-7</t>
  </si>
  <si>
    <t>UCC28911D</t>
  </si>
  <si>
    <t>IC ADC 22BIT SIGMA-DELTA 8SOIC</t>
  </si>
  <si>
    <t>MCP3551-E/SN</t>
  </si>
  <si>
    <t xml:space="preserve"> INDUCT ARRAY 2 COIL 68UH SMD</t>
  </si>
  <si>
    <t>SRF0703-680M</t>
  </si>
  <si>
    <t xml:space="preserve"> CAP CER 0.022UF 100V X7R 0805</t>
  </si>
  <si>
    <t>C2012X7R2A223K125AE</t>
  </si>
  <si>
    <t>IC REG BUCK ADJ 3A 20HTSSOP</t>
  </si>
  <si>
    <t>LM25576MH/NOPR</t>
  </si>
  <si>
    <t>DIODE SCHOTTKY 30V 3A DO214AC</t>
  </si>
  <si>
    <t xml:space="preserve"> SSA33L-E3/61T</t>
  </si>
  <si>
    <t>IC BUFF NON-INVERT 6V 20SOIC</t>
  </si>
  <si>
    <t>74AC244SC</t>
  </si>
  <si>
    <t>CAP CER 680PF 50V X7R 0402</t>
  </si>
  <si>
    <t>GRM155R71H681KA01D</t>
  </si>
  <si>
    <t>MMSZ5245ET1G</t>
  </si>
  <si>
    <t>BATT HOLDER COIN 12MM 1 CELL SMD</t>
  </si>
  <si>
    <t>CAP CER 1UF 10V X5R 0603</t>
  </si>
  <si>
    <t>CL10A105MP8NNNC</t>
  </si>
  <si>
    <t>RES SMD 15.4K OHM 1% 1/10W 0603</t>
  </si>
  <si>
    <t>ERJ-3EKF1542V</t>
  </si>
  <si>
    <t>Crystals 32.768KHz 20ppm 12.5pF</t>
  </si>
  <si>
    <t>SHT7-32.768KDZF-T</t>
  </si>
  <si>
    <t>RES SMD 22.1K OHM 1% 1/10W 0603</t>
  </si>
  <si>
    <t>ERJ-3EKF2212V</t>
  </si>
  <si>
    <t xml:space="preserve"> IC TRANSLTR BIDIRECTIONAL 8VSSOP</t>
  </si>
  <si>
    <t>TXB0102DCUR</t>
  </si>
  <si>
    <t>CAP CER 0.47UF 35V X7R 0805</t>
  </si>
  <si>
    <t>C2012X7R1V474K125AB</t>
  </si>
  <si>
    <t>RES SMD 2.1K OHM 1% 1/10W 0402</t>
  </si>
  <si>
    <t>ERJ-2RKF2101X</t>
  </si>
  <si>
    <t>RES SMD 100K OHM 1% 1/10W 0603</t>
  </si>
  <si>
    <t>RES 1.6K OHM 5% 1/16W 0402</t>
  </si>
  <si>
    <t>RC0402JR-071K6L</t>
  </si>
  <si>
    <t>RES SMD 6.8K OHM 1% 1/16W 0402</t>
  </si>
  <si>
    <t>CRCW04026K80FKED</t>
  </si>
  <si>
    <t>CAP CER 22UF 16V X5R 0805</t>
  </si>
  <si>
    <t>C2012X5R1C226M125AC</t>
  </si>
  <si>
    <t>RF Inductors - SMD 0402 27nH 700mOhms +/-5%Tol 300mA HiQ</t>
  </si>
  <si>
    <t>HK100527NJ-T</t>
  </si>
  <si>
    <t>CAP CER 1000PF 25V C0G 0402</t>
  </si>
  <si>
    <t>C1005C0G1E102J050BA</t>
  </si>
  <si>
    <t>ERJ-3EKF4703V</t>
  </si>
  <si>
    <t>FIXED IND 27NH 500MA 450MOHM SMD</t>
  </si>
  <si>
    <t>CIH10T27NJNC</t>
  </si>
  <si>
    <t>TMK105B7103KV-F</t>
  </si>
  <si>
    <t>CAP CER 0.47UF 25V X7R 0603</t>
  </si>
  <si>
    <t>GRM188R71E474KA12D</t>
  </si>
  <si>
    <t>FERRITE BEAD 120 OHM 0603 1LN</t>
  </si>
  <si>
    <t>IC 3-17V 0.5A STEP-DOWN CONVERTER WSON-8</t>
  </si>
  <si>
    <t>TPS62162DSGT</t>
  </si>
  <si>
    <t xml:space="preserve"> IC REG CONV BLUETTH 1OUT 12WSON</t>
  </si>
  <si>
    <t>TPS62740DSSR</t>
  </si>
  <si>
    <t>IC WIRELESS PWR RCVR 20QFN</t>
  </si>
  <si>
    <t>BQ51013BRHLT</t>
  </si>
  <si>
    <t>TMK212BBJ106MG-T</t>
  </si>
  <si>
    <t>CAP CER 16PF 50V C0G/NP0 0402</t>
  </si>
  <si>
    <t>GRM1555C1H160JA01D</t>
  </si>
  <si>
    <t>Resettable Fuses - PPTC REFERENCE PART NUMBER</t>
  </si>
  <si>
    <t>RF1600-000</t>
  </si>
  <si>
    <t>EEEHDIHIROR</t>
  </si>
  <si>
    <t>UMK105CG470JV-F</t>
  </si>
  <si>
    <t>RES 10K OHM 1% 1/8W 0603</t>
  </si>
  <si>
    <t>RNCP0603FTD10K0</t>
  </si>
  <si>
    <t>RES SMD 13K OHM 1% 1/10W 0603</t>
  </si>
  <si>
    <t>VNE-04 (13Kohm)</t>
  </si>
  <si>
    <t>GRM155R70J104KA01D</t>
  </si>
  <si>
    <t>470k 0603</t>
  </si>
  <si>
    <t>VNE-03(470KOHM)</t>
  </si>
  <si>
    <t>3.8mm 3.5mm Round Button 4.8mm SPST 250gf@±30gf - Tactile Switches ROHS</t>
  </si>
  <si>
    <t>TS-1069-A1B3-D4</t>
  </si>
  <si>
    <t>CONN RCPT 100POS SMD GOLD</t>
  </si>
  <si>
    <t>DF40HC(3.0)-100DS-0.4V(58)</t>
  </si>
  <si>
    <t>47 µF Molded Tantalum Capacitors 10 V 1411 (3528 Metric), 1210 1Ohm</t>
  </si>
  <si>
    <t>TAJB476K010RNJ</t>
  </si>
  <si>
    <t>IC TXRX ETHERNET 24QFN</t>
  </si>
  <si>
    <t>LAN8720A-CP-TR</t>
  </si>
  <si>
    <t>IC 4-PORT USB 2.0 HUB CONTROLLER VQFN-36</t>
  </si>
  <si>
    <t>USB2514B-AEZC</t>
  </si>
  <si>
    <t>Supervisor Push-Pull, Totem Pole 1 Channel SOT-25</t>
  </si>
  <si>
    <t>APX823-26W5G-7</t>
  </si>
  <si>
    <t>CAP CER SMD 22uF 6.3V 20% X5R 0805</t>
  </si>
  <si>
    <t>JMK212BJ226MG-T</t>
  </si>
  <si>
    <t>RES SMD 330 OHM 5% 1/16W 0402</t>
  </si>
  <si>
    <t>RC0402JR-07330RL</t>
  </si>
  <si>
    <t>CAP CER SMD 10000pF 100V 10% X7R 0603</t>
  </si>
  <si>
    <t>GCM188R72A103KA37J</t>
  </si>
  <si>
    <t>IC HV LED DRIVER CONTROLLER SOIC-14</t>
  </si>
  <si>
    <t>RT8462GS</t>
  </si>
  <si>
    <t>IND SMD 3.3uH 2.75A 30% 48 mOhm 6m0x6m0</t>
  </si>
  <si>
    <t>NRS6020T3R3NMGJ</t>
  </si>
  <si>
    <t>LED GREEN CLEAR 2V 20mA 0603 SMD</t>
  </si>
  <si>
    <t>Polymeric PTC Resettable Fuse 24V 1.5 A Ih Surface Mount 1812 (4532 Metric), Concave</t>
  </si>
  <si>
    <t>SMD1812B150TF/24</t>
  </si>
  <si>
    <t>Linear Voltage Regulator IC Positive Fixed 1 Output 3.3V 1A SOT-223-3</t>
  </si>
  <si>
    <t>NCV1117ST33T3G</t>
  </si>
  <si>
    <t>CAP CER SMD 470pF 50V 5% NP0 0402</t>
  </si>
  <si>
    <t>GRM1555C1H471JA01D</t>
  </si>
  <si>
    <t>CAP CER SMD 0.015uF 100V 10% X7R 0603</t>
  </si>
  <si>
    <t>GCM188R72A153KA37D</t>
  </si>
  <si>
    <t>RES SMD 30K OHM 1% 1/10W 0603</t>
  </si>
  <si>
    <t>RC0603FR-0730KL</t>
  </si>
  <si>
    <t>RES SMD 330K OHM 1% 1/10W 0603</t>
  </si>
  <si>
    <t>RC0603FR-07330KL</t>
  </si>
  <si>
    <t>RES SMD 12.1K OHM 1% 1/16W 0402</t>
  </si>
  <si>
    <t>RC0402FR-0712K1L</t>
  </si>
  <si>
    <t>CAP CER SMD 1uF 16V 20% X5R 0402</t>
  </si>
  <si>
    <t>CGB2A1X5R1C105M033BC</t>
  </si>
  <si>
    <t>ESP32-WROOM-32U (4MB)</t>
  </si>
  <si>
    <t>DC SOP-4 Optocouplers - Phototransistor Output</t>
  </si>
  <si>
    <t>EL357NB</t>
  </si>
  <si>
    <t>IC 4.5-17V 2A ADJ STEP-DOWN CONVERTER SOT23-6</t>
  </si>
  <si>
    <t>TPS562200DDCR</t>
  </si>
  <si>
    <t>IC BLUETOOTH LOW ENERGY SOC 512KB FLASH 64KB RAM QFN-48</t>
  </si>
  <si>
    <t>NRF52832-QFAA-R</t>
  </si>
  <si>
    <t>RES SMD 330 OHM 1% 1/16W 0402</t>
  </si>
  <si>
    <t>RC0402FR-07330RL</t>
  </si>
  <si>
    <t>CAP CER SMD 2.2uF 6.3V 10% X5R 0603</t>
  </si>
  <si>
    <t>JMK107BJ225KA-T</t>
  </si>
  <si>
    <t>RC0603FR-07100RL</t>
  </si>
  <si>
    <t>RES SMD 360K OHM 1% 1/10W 0603</t>
  </si>
  <si>
    <t>RC0603FR-07360KL</t>
  </si>
  <si>
    <t>RES SMD 33.2K OHM 1% 1/10W 0603</t>
  </si>
  <si>
    <t>RC0603FR-0733K2L</t>
  </si>
  <si>
    <t>Step-Down Positive Adjustable 1 2A 570kHz SOIC-8_150mil DC-DC Converters RoHS</t>
  </si>
  <si>
    <t>TPS54231DR</t>
  </si>
  <si>
    <t>RC0402FR-075K1L</t>
  </si>
  <si>
    <t>RES SMD 270 OHM 5% 1/16W 0402</t>
  </si>
  <si>
    <t>RC0402JR-07270RL</t>
  </si>
  <si>
    <t>RES SMD 49.9 OHM 1% 1/16W 0402</t>
  </si>
  <si>
    <t>RC0402FR-0749R9L</t>
  </si>
  <si>
    <t>RES SMD 33K OHM 5% 1/10W 0603</t>
  </si>
  <si>
    <t>RC0603JR-0733KL</t>
  </si>
  <si>
    <t>RES SMD 100K OHM 5% 1/16W 0402</t>
  </si>
  <si>
    <t>RC0402JR-07100KL</t>
  </si>
  <si>
    <t>RES SMD 0.039 OHM 1% 1/4W 1206</t>
  </si>
  <si>
    <t>RL1206FR-070R039L</t>
  </si>
  <si>
    <t>CRYSTAL 24MHZ 20PPM 18PF 60 OHM</t>
  </si>
  <si>
    <t>ABM8G-24.000MHZ-18-D2Y-T</t>
  </si>
  <si>
    <t>SWITCH TACTILE 4x4x5MM</t>
  </si>
  <si>
    <t>CAP TANT 10UF 10% 16V 1206</t>
  </si>
  <si>
    <t>TAJA106K016RNJ</t>
  </si>
  <si>
    <t>DIODE SCHOTTKY 30V 200MA USC</t>
  </si>
  <si>
    <t>CUS520,H3F</t>
  </si>
  <si>
    <t>CAP CER SMD 4.7uF 50V 10% X5R 1206</t>
  </si>
  <si>
    <t>UMK316ABJ475KD-T</t>
  </si>
  <si>
    <t>GRM188R71C474KA88D</t>
  </si>
  <si>
    <t>3.3V ±5% 500mW 4.5uA @ 1V SOD-123 Zener Diodes RoHS</t>
  </si>
  <si>
    <t>MM3Z3V3T1GX</t>
  </si>
  <si>
    <t>RES 200 OHM 1% 1/16W 0402</t>
  </si>
  <si>
    <t>RMCF0402FT200R</t>
  </si>
  <si>
    <t>RES SMD 1M OHM 1% 1/10W 0603</t>
  </si>
  <si>
    <t>RC0603FR-071ML</t>
  </si>
  <si>
    <t>RES SMD 0.4 OHM 1% 1/2W 1206</t>
  </si>
  <si>
    <t>MFLA1206R4000FS</t>
  </si>
  <si>
    <t>CAP CER SMD 3300pF 50V 5% NP0 0603</t>
  </si>
  <si>
    <t>GRM1885C1H332JA01D</t>
  </si>
  <si>
    <t>RES SMD 91K OHM 1% 1/10W 0603</t>
  </si>
  <si>
    <t>RC0603FR-0791KL</t>
  </si>
  <si>
    <t>CGJ3E2X7R2A102K080AA</t>
  </si>
  <si>
    <t>RC0402JR-073KL</t>
  </si>
  <si>
    <t xml:space="preserve"> RES 0.2 OHM 1% 1/2W 1206</t>
  </si>
  <si>
    <t>ERJ-8BSFR20V</t>
  </si>
  <si>
    <t>GRM188R71C104KA01D</t>
  </si>
  <si>
    <t>DOOR:LABEL23.5X53.5MM</t>
  </si>
  <si>
    <t>LABEL ON OFF HUB 20X60MM</t>
  </si>
  <si>
    <t>LABEL GATEWAY HUB 20X60MM</t>
  </si>
  <si>
    <t>Product label</t>
  </si>
  <si>
    <t>DIM:LABEL20X60MM</t>
  </si>
  <si>
    <t>Tem dán VNG-DC16-01 SIZE: 9.3X6.1mm</t>
  </si>
  <si>
    <t>LABLE VNG-DC16-01 9.3X6.1mm</t>
  </si>
  <si>
    <t>RELAY GEN PURPOSE SPST 10A 12V</t>
  </si>
  <si>
    <t>G5Q-1A4 DC12</t>
  </si>
  <si>
    <t>IRM-03-12</t>
  </si>
  <si>
    <t>PCPin SPST 24V 25mA Red -20?~+70? 3000 Flat dial, raised type 2.54mm 4 Plugin DIP Switches ROHS</t>
  </si>
  <si>
    <t>DS-04RP</t>
  </si>
  <si>
    <t>CONN HEADER SMD 3POS 2.54MM</t>
  </si>
  <si>
    <t>M20-8770342</t>
  </si>
  <si>
    <t>RES ARRAY 9 RES 4.7K OHM 10SIP</t>
  </si>
  <si>
    <t>4610X-101-472LF</t>
  </si>
  <si>
    <t>YS-RFID2 MODULE ĐỌC VÀ GIẢI MÃ THẺ RFID PROXIMITY 125KHZ, GIAO TIẾP SOFTWARE PC</t>
  </si>
  <si>
    <t>YS-RFID2</t>
  </si>
  <si>
    <t>Relay</t>
  </si>
  <si>
    <t>Q90F-1H-DC5V</t>
  </si>
  <si>
    <t>LED GREEN DIFFUSED T-1 3/4 T/H</t>
  </si>
  <si>
    <t>HLMP4740</t>
  </si>
  <si>
    <t>5-1814400-1</t>
  </si>
  <si>
    <t>VARISTOR 390V 2.5KA DISC 10MM</t>
  </si>
  <si>
    <t>M0V-10D391KTR</t>
  </si>
  <si>
    <t>Cong XH2.54 4Pin Chân Thang</t>
  </si>
  <si>
    <t>4P-XH2.54-V</t>
  </si>
  <si>
    <t>Capacitor pol 330uF 25V</t>
  </si>
  <si>
    <t>860010474012</t>
  </si>
  <si>
    <t>Header 9Pin XH2.54 Male C?ng Bus Chân Th?ng</t>
  </si>
  <si>
    <t>9P-XH2.54-V</t>
  </si>
  <si>
    <t>LED RED CLEAR 3MM 1.85V 20mA TH</t>
  </si>
  <si>
    <t>WP710A10SRC/E</t>
  </si>
  <si>
    <t>CONN HEADER SMD 20POS 2.54MM</t>
  </si>
  <si>
    <t>Terminal 4P</t>
  </si>
  <si>
    <t>2EDGKK-5.08-4PL</t>
  </si>
  <si>
    <t>Cong XH2.54 10Pin Chân Thang</t>
  </si>
  <si>
    <t>10P-XH2.54-V</t>
  </si>
  <si>
    <t>8 Plug 0.150"（3.81mm） 1 8 P=3.81mm Pluggable System Terminal Block ROHS</t>
  </si>
  <si>
    <t>KF2EDGK-3.81-8P</t>
  </si>
  <si>
    <t>Pluggable Terminal Block Right Angle 8 Pin 3.81mm ULO</t>
  </si>
  <si>
    <t>KF2EDGR-3.81-8P</t>
  </si>
  <si>
    <t>CONN RCPT HSG 2POS 2.54MM</t>
  </si>
  <si>
    <t>1375820-2</t>
  </si>
  <si>
    <t>Relay or Contactor</t>
  </si>
  <si>
    <t>G5NB-1A 12DC</t>
  </si>
  <si>
    <t>BH1750FVI</t>
  </si>
  <si>
    <t>BH1750 BH1750FVI Cảm Biến Cường Độ Ánh Sáng, Nguồn: 5VDC, giao tiếp I2C (thegioiic.com)</t>
  </si>
  <si>
    <t>250V 15A 5 Bend 1 3.96mm Orange Board Edge/Receptacle-Open P=3.96mm Pluggable System Terminal Block ROHS</t>
  </si>
  <si>
    <t>HT396R-3.96-5P</t>
  </si>
  <si>
    <t>HEADER UNSHROUDED 3X1 0.1" STRAIGHT TH</t>
  </si>
  <si>
    <t>68000-103HLF</t>
  </si>
  <si>
    <t>HEADER UNSHROUDED 5X1 0.1" STRAIGHT TH</t>
  </si>
  <si>
    <t>68002-205HLF</t>
  </si>
  <si>
    <t>250V 15A 8 Bend 1 3.96mm Orange Board Edge/Receptacle-Open P=3.96mm Pluggable System Terminal Block ROHS</t>
  </si>
  <si>
    <t>HT396R-3.96-8P</t>
  </si>
  <si>
    <t>Power Supply</t>
  </si>
  <si>
    <t>HLK-5M12</t>
  </si>
  <si>
    <t>250V 15A 2 1.5 1 14~28 3.96mm Orange Plug P=3.96mm Pluggable System Terminal Block ROHS</t>
  </si>
  <si>
    <t>HT396K-3.96-2P</t>
  </si>
  <si>
    <t>250V 15A 5 1.5 1 14~28 3.96mm Orange Plug P=3.96mm Pluggable System Terminal Block ROHS</t>
  </si>
  <si>
    <t>HT396K-3.96-5P</t>
  </si>
  <si>
    <t>DB9 duc hàn Board</t>
  </si>
  <si>
    <t>DB9-PM</t>
  </si>
  <si>
    <t>Through Hole Power Connectors RoHS 5.5-2.0MM</t>
  </si>
  <si>
    <t>DC-005 5.5-2.0MM</t>
  </si>
  <si>
    <t>250V 15A 2 Bend 1 3.96mm Orange Board Edge/Receptacle-Open P=3.96mm Pluggable System Terminal Block ROHS</t>
  </si>
  <si>
    <t>HT396R-3.96-2P</t>
  </si>
  <si>
    <t>Antena 15cm</t>
  </si>
  <si>
    <t>Anten 2.4Ghz 3dBi Ipex</t>
  </si>
  <si>
    <t>LED BLUE CLEAR 3MM 3.3V 20mA TH</t>
  </si>
  <si>
    <t>WP710A10QBC/D</t>
  </si>
  <si>
    <t>250V 15A 8 1.5 1 14~28 3.96mm Orange Plug P=3.96mm Pluggable System Terminal Block ROHS</t>
  </si>
  <si>
    <t>HT396K-3.96-8P</t>
  </si>
  <si>
    <t>Light Guide Plate</t>
  </si>
  <si>
    <t>CONN 1 PORT RJ-45 R/A SHIELDED /w XFRMR</t>
  </si>
  <si>
    <t>HR903125C</t>
  </si>
  <si>
    <t>Varistors 300V 3500A 180pF 10mm Radial</t>
  </si>
  <si>
    <t>V10H300P</t>
  </si>
  <si>
    <t>Block, Terminal; 13.5 A; 250 V; 5.08 mm; 26 to 16 AWG; 2; Screw; Solder; 4 kV</t>
  </si>
  <si>
    <t>1729128</t>
  </si>
  <si>
    <t>Conn Shrouded Header HDR 3 POS 2.5mm Solder ST Thru-Hole Box</t>
  </si>
  <si>
    <t>B3B-XH-A</t>
  </si>
  <si>
    <t>Connector Header, XH Series, 5 Position, 2.50mm, Through Hole, Press-Fit, Solder, Natural</t>
  </si>
  <si>
    <t>B5B-XH-A(LF)(SN)</t>
  </si>
  <si>
    <t>SWITCH TACTILE 6x6x3 mm BLACK</t>
  </si>
  <si>
    <t>Terminal Block 3</t>
  </si>
  <si>
    <t>HB7.62-3</t>
  </si>
  <si>
    <t>PTC Resettable Fuse 0.5A(hold) 1A(trip) 72V Radial 7.4 X 3mm Bag</t>
  </si>
  <si>
    <t>RXEF050</t>
  </si>
  <si>
    <t>VARISTOR 471V DISC 7MM</t>
  </si>
  <si>
    <t>MOV-7D471KTR</t>
  </si>
  <si>
    <t>CONN SKT SODIMM 200POS R/A SMD</t>
  </si>
  <si>
    <t>1473149-4</t>
  </si>
  <si>
    <t>Terminal Block 2 20A 450V 7.62mm</t>
  </si>
  <si>
    <t>HB7.62-2</t>
  </si>
  <si>
    <t>SWITCH TACTILE 6x6x5 RA</t>
  </si>
  <si>
    <t>CAP 220 µF 100V Aluminum Electrolytic Capacitors Radial</t>
  </si>
  <si>
    <t xml:space="preserve">CAP 220 µF 100V </t>
  </si>
  <si>
    <t>LED Xanh Dương 3mm</t>
  </si>
  <si>
    <t>LED BLUE</t>
  </si>
  <si>
    <t>LED Green 3MM</t>
  </si>
  <si>
    <t>3MM GREEN</t>
  </si>
  <si>
    <t>LED YELLOW 3MM</t>
  </si>
  <si>
    <t>3MM YELLOW</t>
  </si>
  <si>
    <t>LED BI-COLOR 3MM CA RED/GREEN TH</t>
  </si>
  <si>
    <t>LED DƯƠNG CHUNG</t>
  </si>
  <si>
    <t>SWITCH 6x6mm</t>
  </si>
  <si>
    <t>CHOKE COMMON MODE 250MA 6.8MH</t>
  </si>
  <si>
    <t>UU9LFNP-B682</t>
  </si>
  <si>
    <t>CAP 220 µF 35V</t>
  </si>
  <si>
    <t>CAP FILM TH 22nF 275VAC 20% FILM 15Mx5M RADIAL</t>
  </si>
  <si>
    <t>ECQ-U2A223ML</t>
  </si>
  <si>
    <t>RED_GREEN 3MM</t>
  </si>
  <si>
    <t>BARRIER BLOCK 8X1 7.62MM</t>
  </si>
  <si>
    <t>BARRIER BLOCK 2X1 7.62MM</t>
  </si>
  <si>
    <t>MH-SR602 Cảm Biến Chuyển Động PIR, Nguồn: 3.3-15VDC, dòng không tải: &lt;20uA (thegioiic.com)</t>
  </si>
  <si>
    <t>MH-SR602</t>
  </si>
  <si>
    <t>HEADER SHROUDED 2X1 2.0MM STRAIGHT TH</t>
  </si>
  <si>
    <t>2P-PH2.0-V</t>
  </si>
  <si>
    <t>TERMINAL BLOCK MALE PLUGIN 10P 5.08MM S/T</t>
  </si>
  <si>
    <t>MX2EDGV-5.08-GN01-10</t>
  </si>
  <si>
    <t>TERMINAL BLOCK MALE PLUGIN 12P 5.08MM S/T</t>
  </si>
  <si>
    <t>MX2EDGK-5.08-12P</t>
  </si>
  <si>
    <t>TERMINAL BLOCK MALE  PLUGIN 12P 5.08MM S/T</t>
  </si>
  <si>
    <t>MX2EDGV-5.08-GN01-12</t>
  </si>
  <si>
    <t>5.08mm Pitch 2 Pin PCB Pluggable Terminal Block Connector Male Header  - Color RED</t>
  </si>
  <si>
    <t>YN2EDGV-5.08-2P RED - M</t>
  </si>
  <si>
    <t>5.08mm Pitch 3 Pin PCB Pluggable Terminal Block Connector Male Header  - Color BLACK</t>
  </si>
  <si>
    <t>YN2EDGV-5.08-3P BLACK - M</t>
  </si>
  <si>
    <t>5.08mm Pitch 9 Pin PCB Pluggable Terminal Block Connector Male Header  - Color GREEN</t>
  </si>
  <si>
    <t>YN2EDGV-5.08-9P GREEN - M</t>
  </si>
  <si>
    <t>5.08mm Pitch 8 Pin PCB Pluggable Terminal Block Connector Male Header  - Color GREEN</t>
  </si>
  <si>
    <t>YN2EDGV-5.08-8P GREEN - M</t>
  </si>
  <si>
    <t>5.08mm Pitch 10 Pin Terminal Block Female Header  - Color GREEN</t>
  </si>
  <si>
    <t>YN2EDGK-5.08-10P FEMALE - GREEN</t>
  </si>
  <si>
    <t>5.08mm Pitch 12 Pin Terminal Block Female Header  - Color GREEN</t>
  </si>
  <si>
    <t>YN2EDGK-5.08-12P FEMALE - GREEN</t>
  </si>
  <si>
    <t>MX2EDGK-5.08-10P</t>
  </si>
  <si>
    <t>Bộ 3 Tản Nhiệt Đồng Raspberry Pi</t>
  </si>
  <si>
    <t>Heatsink MCU Ras</t>
  </si>
  <si>
    <t>Communication PM1202 12V 2A 30W IEEE802.3af Compliant PoE Module</t>
  </si>
  <si>
    <t>DP1435</t>
  </si>
  <si>
    <t>Dây Ăng Ten 2.4GHz 3dBi IPEX</t>
  </si>
  <si>
    <t>Anten 2.4Ghz 3dBi Ipex 25cm</t>
  </si>
  <si>
    <t>TL2243</t>
  </si>
  <si>
    <t>RJ45 Connector With POE+ Tab Down Ethernet Magnetic</t>
  </si>
  <si>
    <t>LPJG0926HENL</t>
  </si>
  <si>
    <t>Nút Nhấn 6x6mm Cao 8mm 4 Chân Xuyên Lỗ Chỉnh Ngang</t>
  </si>
  <si>
    <t>Pin CR1220 3V</t>
  </si>
  <si>
    <t>NFSW757GT-V1</t>
  </si>
  <si>
    <t xml:space="preserve"> SENSOR OPT AMBIENT 6PIN CHIPLED</t>
  </si>
  <si>
    <t>LTR-303ALS-01</t>
  </si>
  <si>
    <t>SS14</t>
  </si>
  <si>
    <t xml:space="preserve"> RES 0.01 OHM 1% 1/2W 1206</t>
  </si>
  <si>
    <t>WSK1206R0100FEA18</t>
  </si>
  <si>
    <t>Crystals 24MHz 10ppm 9pF-40C +85C</t>
  </si>
  <si>
    <t>TSX-3225 24.0000MF 15X-AC3</t>
  </si>
  <si>
    <t>FERRITE BEAD 1K OHM 1810 1LN</t>
  </si>
  <si>
    <t xml:space="preserve"> IC REG LINEAR 1.8V 1A SOT223</t>
  </si>
  <si>
    <t>NCP1117ST18T3G</t>
  </si>
  <si>
    <t>IC LED DRV RGLTR PWM SOT23-5</t>
  </si>
  <si>
    <t>FAN5333BSX</t>
  </si>
  <si>
    <t>IC USB 2.0 ETHER CTRLR 64QFN</t>
  </si>
  <si>
    <t>LAN9514-JZX-TR</t>
  </si>
  <si>
    <t>CRYSTAL 25MHZ 10PPM 10PF 60 OHM</t>
  </si>
  <si>
    <t>7M-25.000MEEQ-T</t>
  </si>
  <si>
    <t>GRM155R60J475ME87D</t>
  </si>
  <si>
    <t>FIXED IND 10UH 900MA 172.9 MOHM</t>
  </si>
  <si>
    <t>CBC3225T100KR</t>
  </si>
  <si>
    <t>10 µF ±20% 16V Ceramic Capacitor X5R 0603 (1608 Metric)</t>
  </si>
  <si>
    <t xml:space="preserve"> MOSFET P-CH 30V 3A SC59</t>
  </si>
  <si>
    <t>DMG3401LSN-7</t>
  </si>
  <si>
    <t>CAP CER 0.22UF 25V X5R 0402</t>
  </si>
  <si>
    <t>0402X224K250CT</t>
  </si>
  <si>
    <t xml:space="preserve"> RES 124K OHM 1% 1/10W 0603</t>
  </si>
  <si>
    <t>CRYSTAL 27.12MHZ 15PPM 8PF 50 OHM</t>
  </si>
  <si>
    <t>NX3225SA-27.12M-STD-CSR-3</t>
  </si>
  <si>
    <t xml:space="preserve"> RES 22.1K OHM 1% 1/10W 0603</t>
  </si>
  <si>
    <t>RC0603FR-0722K1L</t>
  </si>
  <si>
    <t>10uF +- 10% 10v</t>
  </si>
  <si>
    <t>0805X106K100CT</t>
  </si>
  <si>
    <t>CAP CER 15PF 50V C0G/NP0 0603</t>
  </si>
  <si>
    <t>GRM1885C1H150JA01D</t>
  </si>
  <si>
    <t xml:space="preserve"> CAP CER 47UF 6.3V X5R 1206</t>
  </si>
  <si>
    <t>IND SMD 470nH 500mA 5% 450 mOhm 0603</t>
  </si>
  <si>
    <t>LQW18CNR47J00D</t>
  </si>
  <si>
    <t>RES 4.7K OHM 5% 1/16W 0402</t>
  </si>
  <si>
    <t>CONN FFC FPC TOP 6POS 0.5MM R/A</t>
  </si>
  <si>
    <t>SFV6R-2STE1HLF</t>
  </si>
  <si>
    <t>CAP CER 4.7UF 6.3V X5R 0603</t>
  </si>
  <si>
    <t xml:space="preserve"> RES 1K OHM 5% 1/10W 0603</t>
  </si>
  <si>
    <t>CAP CER 1000PF 50V X7R 0402</t>
  </si>
  <si>
    <t>IC NFC CORTEX-M0 MICROCONTROLLER QFN-64</t>
  </si>
  <si>
    <t>PN7362AUHN/C300Y</t>
  </si>
  <si>
    <t>DIODE SMD STANDARD 1A 600V DO-214AC</t>
  </si>
  <si>
    <t>STTH1L06A</t>
  </si>
  <si>
    <t xml:space="preserve"> DIODE SCHOT 50V 200MA SMINI2</t>
  </si>
  <si>
    <t>DB2J50100L</t>
  </si>
  <si>
    <t xml:space="preserve"> IC MCU 32BIT 768KB FLASH 100LQFP</t>
  </si>
  <si>
    <t>STM32F207VFT6</t>
  </si>
  <si>
    <t>ABLS-16.000MHZ-B4-T</t>
  </si>
  <si>
    <t xml:space="preserve"> RES SMD 20.5K OHM 1% 1/10W 0603</t>
  </si>
  <si>
    <t>ERJ-3EKF2052V</t>
  </si>
  <si>
    <t>SWITCH TACTILE 6x6x4 RA</t>
  </si>
  <si>
    <t>SWITCH TACTILE 3x4x2.5 RA</t>
  </si>
  <si>
    <t>ERJ-3EKF4991V</t>
  </si>
  <si>
    <t xml:space="preserve"> TVS DIODE 15VWM 24.4VC SMC</t>
  </si>
  <si>
    <t>SM30T18CAY</t>
  </si>
  <si>
    <t>FUSE BRD MNT 10A 125VAC/VDC SMD</t>
  </si>
  <si>
    <t>0679L2500-05</t>
  </si>
  <si>
    <t>C1608C0G1H100D</t>
  </si>
  <si>
    <t>IND SMD 2.4nH 220mA 0.1nH 300 mOhm 0402</t>
  </si>
  <si>
    <t>CAP CER SMD 27pF 50V 5% NP0 0402</t>
  </si>
  <si>
    <t>UMK105CG270JV-F</t>
  </si>
  <si>
    <t>CAP CER SMD 33pF 50V 5% NP0 0402</t>
  </si>
  <si>
    <t>UMK105CG330JV-F</t>
  </si>
  <si>
    <t>SWITCH TACTILE 4x4x1.5MM</t>
  </si>
  <si>
    <t>CONN FFC VERT 20POS 0.5MM SMD</t>
  </si>
  <si>
    <t>FH12-20S-0.5SVA(54)</t>
  </si>
  <si>
    <t>GCM188R71H102KA37D</t>
  </si>
  <si>
    <t xml:space="preserve"> RES 54.9K OHM 1% 1/10W 0603</t>
  </si>
  <si>
    <t>RC060FR-0754K9L</t>
  </si>
  <si>
    <t>RES SMD 2.2 OHM 1% 1/10W 0603</t>
  </si>
  <si>
    <t>RC0603FR-072R2L</t>
  </si>
  <si>
    <t>RES 68.1K OHM 1% 1/8W 0805</t>
  </si>
  <si>
    <t>RC0805FR-0768K1L</t>
  </si>
  <si>
    <t>RES SMD 5.6K OHM 5% 1/16W 0402</t>
  </si>
  <si>
    <t>RC0402JR-075K6L</t>
  </si>
  <si>
    <t>0402B104K100CT</t>
  </si>
  <si>
    <t>RES SMD 2.7K OHM 5% 1/16W 0402</t>
  </si>
  <si>
    <t>RC0402JR-072K7L</t>
  </si>
  <si>
    <t>MOSFET 2N-CH 60V 16A LFPAK56D</t>
  </si>
  <si>
    <t>BUK9K52-60E,115</t>
  </si>
  <si>
    <t xml:space="preserve"> C0805J104K4RACAUTO</t>
  </si>
  <si>
    <t>C0805J104K5RAUTO</t>
  </si>
  <si>
    <t>CONN MICRO SD CARD PUSH-PULL R/A</t>
  </si>
  <si>
    <t>FIXED IND 4.7UH 13.5A 8.4MOHM SM</t>
  </si>
  <si>
    <t>SRP1265A-4R7M</t>
  </si>
  <si>
    <t>DIODE SCHOTTKY 60V 3A SOD123FA</t>
  </si>
  <si>
    <t>SS36FA</t>
  </si>
  <si>
    <t xml:space="preserve"> IC BUF NON-INVERT 5.5V 8VSSOP</t>
  </si>
  <si>
    <t>74LVC3G17DC,125</t>
  </si>
  <si>
    <t>IC REDRIVER I2C 1CH 10TSSOP</t>
  </si>
  <si>
    <t>PCA9527DP.118</t>
  </si>
  <si>
    <t>DIODE SCHOTTKY 50V 5A SMC</t>
  </si>
  <si>
    <t>SK55L-TP</t>
  </si>
  <si>
    <t xml:space="preserve"> IC SWITCH 4 PORT MII/RMII 64QFN</t>
  </si>
  <si>
    <t>KSZ8864CNXC-TR</t>
  </si>
  <si>
    <t>IRLR7843</t>
  </si>
  <si>
    <t>Linear Voltage Regulator IC Positive Fixed 1 Output 1A SOT-223</t>
  </si>
  <si>
    <t>NCV1117ST50T3G</t>
  </si>
  <si>
    <t>SENSOR CURRENT HALL 20A AC/DC</t>
  </si>
  <si>
    <t>ACS712ELCTR-20A-T</t>
  </si>
  <si>
    <t>LM2576HVSX-5.0/NOPB</t>
  </si>
  <si>
    <t>FIXED IND 3.3UH 10A 11.8MOHM SMD</t>
  </si>
  <si>
    <t>MGV10043R3M-10</t>
  </si>
  <si>
    <t>PTC Resettable Fuse 0.5A(hold) 1A(trip)</t>
  </si>
  <si>
    <t>MF-MSMF020-2</t>
  </si>
  <si>
    <t>CC1206KKX7RDBB102</t>
  </si>
  <si>
    <t>CAP CER 100UF 16V X5R 1210</t>
  </si>
  <si>
    <t>CC1210MKX5R7BB107</t>
  </si>
  <si>
    <t xml:space="preserve"> IC BUF NON-INVERT 5.5V SC70-5</t>
  </si>
  <si>
    <t>SN74LVC1G17DCKR</t>
  </si>
  <si>
    <t>DIODE SCHOTTKY 30V 30MA SOD523</t>
  </si>
  <si>
    <t>SDM03U40-7</t>
  </si>
  <si>
    <t>MOSFET P-CH 40V 50A TO252-3</t>
  </si>
  <si>
    <t>IPD50P04P413ATMA1</t>
  </si>
  <si>
    <t>CAP CER 470PF 50V C0G 0402</t>
  </si>
  <si>
    <t>CGA2B2C0G1H471J</t>
  </si>
  <si>
    <t>0603YD105KAT4A</t>
  </si>
  <si>
    <t>RES SMD 750 OHM 5% 1/2W 0805</t>
  </si>
  <si>
    <t>ERJ-P06J751V</t>
  </si>
  <si>
    <t>MOSFET P-CH 30V 90A TO252-3</t>
  </si>
  <si>
    <t>IPD90P03P404ATMA1</t>
  </si>
  <si>
    <t>MOSFET N-CH 80V 30A DPAK</t>
  </si>
  <si>
    <t>IRLR2908TRPBF</t>
  </si>
  <si>
    <t>CONN RCPT 10POS 0.05 GOLD SMD</t>
  </si>
  <si>
    <t>20021323-10010C1LF</t>
  </si>
  <si>
    <t>DIODE TVS 20VWM 400W UNI SMF</t>
  </si>
  <si>
    <t>SMF4L20A</t>
  </si>
  <si>
    <t xml:space="preserve"> MOSFET P-CH 30V 1.5A TSMT3</t>
  </si>
  <si>
    <t>RRR015P03TL</t>
  </si>
  <si>
    <t>CAP CER 10000PF 16V X7R 0402</t>
  </si>
  <si>
    <t>C1005XR1C103K050BA</t>
  </si>
  <si>
    <t>RES 0.5 OHM 1% 3.5W 2512</t>
  </si>
  <si>
    <t>CSRT2512FTR500-UP</t>
  </si>
  <si>
    <t xml:space="preserve"> MIC MEMS DIGITAL PDM OMNI -37DB</t>
  </si>
  <si>
    <t>DF3EA-2P-2V(21)</t>
  </si>
  <si>
    <t>RES 0 OHM JUMPER 1W 2512</t>
  </si>
  <si>
    <t>RC2512JK-070RL</t>
  </si>
  <si>
    <t>RES SMD 137K OHM 1% 1/4W 1206</t>
  </si>
  <si>
    <t>ERJ-GENE1373V</t>
  </si>
  <si>
    <t>TAJD107K016RNJ</t>
  </si>
  <si>
    <t xml:space="preserve"> CAP CER 10PF 50V X8G 0603</t>
  </si>
  <si>
    <t>GCM1885G1H100JA16D</t>
  </si>
  <si>
    <t>CAP CER 330PF 50V C0G/NP0 0603</t>
  </si>
  <si>
    <t>GCM1885C1H331J16D</t>
  </si>
  <si>
    <t>LED RGB DIFFUSED 6PLCC SMD</t>
  </si>
  <si>
    <t>ASMB-TTF0-0A20B</t>
  </si>
  <si>
    <t xml:space="preserve"> PTS526 SK08 SMTR2 LFS</t>
  </si>
  <si>
    <t>TRANSIL 400W 6.5V UNIDIR SMA</t>
  </si>
  <si>
    <t>SMAJ6.5A-TR</t>
  </si>
  <si>
    <t>RES SMD 0 OHM JUMPER 1/5W 0402</t>
  </si>
  <si>
    <t>RCS04020000Z0ED</t>
  </si>
  <si>
    <t>RES 2.4K OHM 1% 1/8W 0805</t>
  </si>
  <si>
    <t>RC0805FR-072K4L</t>
  </si>
  <si>
    <t>CAP CER 22UF 35V JB 1206</t>
  </si>
  <si>
    <t>C3216JB1V226M160AC</t>
  </si>
  <si>
    <t>Diodes - General Purpose, Power, Switching BAS21H/SOD123F/SOD2</t>
  </si>
  <si>
    <t>BAS21H</t>
  </si>
  <si>
    <t>TVS DIODE 7VWM 12VC SOD123FL</t>
  </si>
  <si>
    <t>TPSMF4L7.0A</t>
  </si>
  <si>
    <t>DIODE ZENER 6.8V 200MW SOD323</t>
  </si>
  <si>
    <t>DDZ9692S-7</t>
  </si>
  <si>
    <t>DIODE GEN PURP 200V 2A DO219AB</t>
  </si>
  <si>
    <t>2EFH02-M3/I</t>
  </si>
  <si>
    <t>FIXED IND 22UH 4.3A 94.2MOHM SMD</t>
  </si>
  <si>
    <t>IHLP3232DZER220M11</t>
  </si>
  <si>
    <t>IC REG MULT CONFG ADJ 960MA 6SON</t>
  </si>
  <si>
    <t>TPS61170DRVR</t>
  </si>
  <si>
    <t>TVS DIODE 5VWM 9.8VC SOD323</t>
  </si>
  <si>
    <t>SD05T1G</t>
  </si>
  <si>
    <t>DIODE ZENER 16V 300MW SOD323</t>
  </si>
  <si>
    <t>MM3Z16VT1G</t>
  </si>
  <si>
    <t xml:space="preserve"> FIXED IND 3.3UH 18A 6.8 MOHM SMD</t>
  </si>
  <si>
    <t>SRP1265A-3R3M</t>
  </si>
  <si>
    <t>CAP CER 5600PF 50V C0G/NP0 0805</t>
  </si>
  <si>
    <t>GRM2195C1H562JA01D</t>
  </si>
  <si>
    <t>LED TRẮNG</t>
  </si>
  <si>
    <t>RES SMD 9.53K OHM 1% 1/8W 0805</t>
  </si>
  <si>
    <t>ERJ-6ENF9531V</t>
  </si>
  <si>
    <t xml:space="preserve"> RES SMD 4.22K OHM 1% 1/10W 0603</t>
  </si>
  <si>
    <t>ERJ-3EKF4221V</t>
  </si>
  <si>
    <t xml:space="preserve"> CAP CER 0.022UF 100V X7R 0603</t>
  </si>
  <si>
    <t>C0603C223K1RACTU</t>
  </si>
  <si>
    <t>CAP CER 22UF 16V X5R 1206</t>
  </si>
  <si>
    <t>Ferrite Beads 330 OHM 25% Alternate Sizing Guide Below</t>
  </si>
  <si>
    <t>BLM21P331SG</t>
  </si>
  <si>
    <t xml:space="preserve"> RES SMD 100 OHM 1% 1/10W 0603</t>
  </si>
  <si>
    <t>ERJ-3EKF1000V</t>
  </si>
  <si>
    <t>RES 180 OHM 1% 1/8W 0805</t>
  </si>
  <si>
    <t>RC0805FR-07180RL</t>
  </si>
  <si>
    <t>RES 0 OHM JUMPER - 0603</t>
  </si>
  <si>
    <t xml:space="preserve"> CAP CER 0.047UF 50V X7R 0603</t>
  </si>
  <si>
    <t>GCM188R71H473K55D</t>
  </si>
  <si>
    <t>RES 0.05 OHM 1% 1/3W 0603</t>
  </si>
  <si>
    <t>ERJ-3BWFR050V</t>
  </si>
  <si>
    <t>CAP CER SMD 1pF 50V 0.25pF NP0 0402</t>
  </si>
  <si>
    <t>GRM1555C1H1R0CA01D</t>
  </si>
  <si>
    <t>Multilayer Ceramic Capacitors MLCC - SMD/SMT 50V 4700pF X8R 0805 10%</t>
  </si>
  <si>
    <t>C0805C472K2RACTU</t>
  </si>
  <si>
    <t>MICRO SD CARD CONNECTOR</t>
  </si>
  <si>
    <t>DISPLAY 7-SEG 0.2" SGL RED 10SMD</t>
  </si>
  <si>
    <t>ACSC02-41SURKWA-F01</t>
  </si>
  <si>
    <t>NÚT NHẤN 4PIN 6X6X5.5M</t>
  </si>
  <si>
    <t>BUZZER MAGNETIC 3V 7.5X7.5MM SMD</t>
  </si>
  <si>
    <t>ST-025BH</t>
  </si>
  <si>
    <t>AR9331-AL1A</t>
  </si>
  <si>
    <t xml:space="preserve"> AR9331-AL1A</t>
  </si>
  <si>
    <t xml:space="preserve"> LED WHITE DIFFUSED SMD</t>
  </si>
  <si>
    <t>19-217/W1D-APQHY/3T</t>
  </si>
  <si>
    <t>NFSW757GT-V3</t>
  </si>
  <si>
    <t>RES 2 OHM 1% 1/4W 1206</t>
  </si>
  <si>
    <t>RC1206FR-072RL</t>
  </si>
  <si>
    <t>CAP CER 100PF 50V C0G/NPO 0402</t>
  </si>
  <si>
    <t>CC0402JRNP09BN101</t>
  </si>
  <si>
    <t>RC0805JR-0739RL</t>
  </si>
  <si>
    <t>Kích thước Dài 145 x Rộng 90 x Cao 40 mm</t>
  </si>
  <si>
    <t>Hộp Nhựa PLC 145x90x40 V3</t>
  </si>
  <si>
    <t>Terminal Block Plug-in Hàn PCB 8 Chân Cong 3.81mm 300V 10A ULO</t>
  </si>
  <si>
    <t>UL-3.81-8-R</t>
  </si>
  <si>
    <t>Terminal Block Plug-in Hàn PCB 5 Chân Cong 3.81mm 300V 10A ULO</t>
  </si>
  <si>
    <t>UL-3.81-5-R </t>
  </si>
  <si>
    <t>Terminal Block Plug-in Hàn PCB 3 Chân Cong 3.81mm 300V 10A ULO</t>
  </si>
  <si>
    <t>UL-3.81-3-R</t>
  </si>
  <si>
    <t>Terminal Block Plug-in Hàn PCB 2 Chân Cong 3.81mm 300V 10A ULO</t>
  </si>
  <si>
    <t>UL-3.81-2-R </t>
  </si>
  <si>
    <t>Cảm biến cửa</t>
  </si>
  <si>
    <t>PT-D100A</t>
  </si>
  <si>
    <t>10pcs chưa khoan lỗ</t>
  </si>
  <si>
    <t>KTP-T10</t>
  </si>
  <si>
    <t>ĐÃ QC 14.2.25</t>
  </si>
  <si>
    <t>KTP-T5</t>
  </si>
  <si>
    <t>KTP-T11</t>
  </si>
  <si>
    <t xml:space="preserve">1PCS FAIL THIẾU LK 
T5
ĐÃ QC 14.2.25
</t>
  </si>
  <si>
    <t>KTP-T12</t>
  </si>
  <si>
    <t>MÀU CAM</t>
  </si>
  <si>
    <t>TM</t>
  </si>
  <si>
    <t xml:space="preserve">MÀU XANH </t>
  </si>
  <si>
    <t>Hàng TM</t>
  </si>
  <si>
    <t>KTP-T6</t>
  </si>
  <si>
    <t>Vỏ gateway</t>
  </si>
  <si>
    <t>loại củ không sd</t>
  </si>
  <si>
    <t>LK RỚT MAY</t>
  </si>
  <si>
    <t>T3-Z4</t>
  </si>
  <si>
    <t>T3-Z5</t>
  </si>
  <si>
    <t>T3-Z7</t>
  </si>
  <si>
    <t>DIMHUBS2</t>
  </si>
  <si>
    <t>VNE</t>
  </si>
  <si>
    <t>2200 pF ±10% 50V Ceramic Capacitor X7R 0603</t>
  </si>
  <si>
    <t>0603B222K500CT</t>
  </si>
  <si>
    <t>RES 22K 0603 1%</t>
  </si>
  <si>
    <t>0603W10F2202T5E</t>
  </si>
  <si>
    <t>RES SMD 47.5K OHM 0.1% 1/4W 1206</t>
  </si>
  <si>
    <t>ERA-8AEB4752V</t>
  </si>
  <si>
    <t>IC OPAMP JFET 1 CIRCUIT 8SOIC</t>
  </si>
  <si>
    <t>TL081CDT</t>
  </si>
  <si>
    <t>IC REG CHARGE PUMP INV 8SOIC</t>
  </si>
  <si>
    <t>LM2660MX/NOPB</t>
  </si>
  <si>
    <t>4.7 MOhms ±1% 0.1W, 1/10W Chip Resistor 0603</t>
  </si>
  <si>
    <t>RC0603FR-074M7L</t>
  </si>
  <si>
    <t>RES 22K OHM 1% 1/10W 0603</t>
  </si>
  <si>
    <t>RMCF0603FG22K0</t>
  </si>
  <si>
    <t>RES 3.3K OHM 5% 1/4W 1206</t>
  </si>
  <si>
    <t>RC1206JR-073K3L</t>
  </si>
  <si>
    <t>CAP ALUM 2.7UF 20% 500V SMD</t>
  </si>
  <si>
    <t>ULR2H2R7MNL1GS</t>
  </si>
  <si>
    <t>RES 75K OHM 1% 1/10W 0603</t>
  </si>
  <si>
    <t>RMCF0603FT75K0</t>
  </si>
  <si>
    <t>DIODE SCHOTTKY 15V 1A DO214BA</t>
  </si>
  <si>
    <t>LSM115JE3/TR13</t>
  </si>
  <si>
    <t>PESD5V0S1UB/SOD523/SC-79</t>
  </si>
  <si>
    <t>PESD5V0S1UB.115</t>
  </si>
  <si>
    <t>VARISTOR 4V 30A 0603</t>
  </si>
  <si>
    <t>VC0603M300R002</t>
  </si>
  <si>
    <t>MOSFET P-CH 60V 900MA SOT23-3</t>
  </si>
  <si>
    <t>ZXMP6A13FTA</t>
  </si>
  <si>
    <t>CAP TANT POLY 220UF 10V 2917</t>
  </si>
  <si>
    <t>T525D227M010ATE025</t>
  </si>
  <si>
    <t> Diodes PESD5V0S1BA/SOD323/SOD2</t>
  </si>
  <si>
    <t>PESD5V0S1BA.115</t>
  </si>
  <si>
    <t>IC REG LIN POS ADJ 300MA TSOT23</t>
  </si>
  <si>
    <t>ADP123AUJZ-R7</t>
  </si>
  <si>
    <t>IC ULTRASONIC FLOW SENSOR 32QFN</t>
  </si>
  <si>
    <t>TDC-GP30YD-F01 3K</t>
  </si>
  <si>
    <t>IC BUFF SCHMT TRG TRPL 8VSSOP</t>
  </si>
  <si>
    <t>74LVC3G17DC.125</t>
  </si>
  <si>
    <t>C REG LIN POS ADJ 50MA SOT23-5</t>
  </si>
  <si>
    <t>LP2980IM5X-ADJ/NOPB</t>
  </si>
  <si>
    <t>CAP CER 0.022UF 100V X7R 0805</t>
  </si>
  <si>
    <t>CAP CER 180PF 50V C0G 0402</t>
  </si>
  <si>
    <t>DIODE ZENER 3V 500MW SOD123</t>
  </si>
  <si>
    <t>MMSZ4683-TP</t>
  </si>
  <si>
    <t>INDUCT ARRAY 2 COIL 68UH SMD</t>
  </si>
  <si>
    <t>DIODE ZENER 10V 250MW SOT23-3</t>
  </si>
  <si>
    <t>BZX84C10LT1G</t>
  </si>
  <si>
    <t>RC0603-1K 1%</t>
  </si>
  <si>
    <t>IC REG BUCK ADJUSTABLE 6A 8SOPWR</t>
  </si>
  <si>
    <t>TPS56628DDAR</t>
  </si>
  <si>
    <t>IC ENERGY HARV CTRLR BATT 16QFN</t>
  </si>
  <si>
    <t>BQ25504RGTT</t>
  </si>
  <si>
    <t>RES 4.7 OHM 1% 1/16W 0402</t>
  </si>
  <si>
    <t>RC0402FR-074R7L</t>
  </si>
  <si>
    <t>RES SMD 5.49M OHM 1% 1/10W 0603</t>
  </si>
  <si>
    <t>CRCW06035M49FKEA</t>
  </si>
  <si>
    <t>RC0603FR-07120KL</t>
  </si>
  <si>
    <t>CONN HEADER SMD 10POS 1.27MM</t>
  </si>
  <si>
    <t>M50-3600542</t>
  </si>
  <si>
    <t>M20-8770542</t>
  </si>
  <si>
    <t> SMD 0603 10ohm 1% </t>
  </si>
  <si>
    <t>ESR10EZPT10R0</t>
  </si>
  <si>
    <t>RES 4.02M OHM 1% 1/10W 0603</t>
  </si>
  <si>
    <t>RC0603FR-074M02L</t>
  </si>
  <si>
    <t>LED BLUE CLEAR 5MM ROUND T/H</t>
  </si>
  <si>
    <t>151053BS04500</t>
  </si>
  <si>
    <t>RES SMD 4.12M OHM 1% 1/10W 0603</t>
  </si>
  <si>
    <t>CRCW06034M12FKEA</t>
  </si>
  <si>
    <t>ZXMP6A17GTA</t>
  </si>
  <si>
    <t>IC REG LINEAR 2.7V 150MA SOT23-5</t>
  </si>
  <si>
    <t>TPS78227DDCT</t>
  </si>
  <si>
    <t>1K OHM 1% 1/16W 0402</t>
  </si>
  <si>
    <t>CRCW06035M90FKEA</t>
  </si>
  <si>
    <t>CAP CER 10PF 10V C0G/NP0 0402</t>
  </si>
  <si>
    <t>C0402C100C8GACTU</t>
  </si>
  <si>
    <t>FIXED IND 4.7UH 1.3A 300MOHM SMD</t>
  </si>
  <si>
    <t>1269AS-H-4R7M=P2</t>
  </si>
  <si>
    <t>RES 73.2K OHM 1% 1/16W 0402</t>
  </si>
  <si>
    <t>RC0402FR-0773K2L</t>
  </si>
  <si>
    <t>0ZCJ0050AF2E</t>
  </si>
  <si>
    <t>FIXED IND 22UH 720MA 240MOHM SMD</t>
  </si>
  <si>
    <t>VLCF4028T-220MR72-2</t>
  </si>
  <si>
    <t>IC REG LIN POS ADJ 800MA SOT223</t>
  </si>
  <si>
    <t>LP3964EMP-ADJ/NOPB</t>
  </si>
  <si>
    <t>GRM188R61A225ME34D</t>
  </si>
  <si>
    <t>RES 10M OHM 1% 1/10W 0603</t>
  </si>
  <si>
    <t>RC0603FR-0710ML</t>
  </si>
  <si>
    <t>CERAMIC RES 4.0000MHZ SMD</t>
  </si>
  <si>
    <t>PBRC4.00GR50X000</t>
  </si>
  <si>
    <t>CRYSTAL 32.7680KHZ 10PF SMD</t>
  </si>
  <si>
    <t>FC-135 32.7680KA-K0</t>
  </si>
  <si>
    <t>CAP CER 0.47UF 50V X7R 0603</t>
  </si>
  <si>
    <t>C1608X7R1H474M080AE</t>
  </si>
  <si>
    <t>CAP, 100F, 10V, 20%</t>
  </si>
  <si>
    <t>F951A107MAAQ2</t>
  </si>
  <si>
    <t>MMSZ5245B-E3-18</t>
  </si>
  <si>
    <t>16-bit MSP430 RISC 16KB Flash 2.5V/3.3V 28-Pin TSSOP T/R</t>
  </si>
  <si>
    <t>DIODE, SCHOTTKY, 2A, 45V, SOD-123-2</t>
  </si>
  <si>
    <t>0603 30 Ohm 1% 0.1W(1/10W) ±100ppm/°C </t>
  </si>
  <si>
    <t>RMCF0603FT30R0</t>
  </si>
  <si>
    <t>POWER FIELD-EFFECT TRANSISTOR</t>
  </si>
  <si>
    <t>FQB11P06TM</t>
  </si>
  <si>
    <t> 0603 180K Ohm 1% 0.1W(1/10W) ±100ppm/°C</t>
  </si>
  <si>
    <t>RMCF0603FT180K</t>
  </si>
  <si>
    <t>DIODE ZENER 5.1V 300MW SOD323</t>
  </si>
  <si>
    <t>MM3Z5V1ST1G</t>
  </si>
  <si>
    <t>diode Schottky 45V 3A 2-Pin SOD-128 T/R</t>
  </si>
  <si>
    <t>Res Thick Film 0603 7.15K Ohm 1% 0.1W</t>
  </si>
  <si>
    <t>RMCF0603FT7K15</t>
  </si>
  <si>
    <t xml:space="preserve">1 kOhms ±1% 0.1W, 1/10W Chip Resistor 0603 </t>
  </si>
  <si>
    <t>Relay DPDT (2 Form C) 2A 5V</t>
  </si>
  <si>
    <t> Relay 5VDC 1A DPDT(14.3x11.5x5.4)mm</t>
  </si>
  <si>
    <t>EB2-5NU</t>
  </si>
  <si>
    <t>AZ1117EH-3.3TRG1</t>
  </si>
  <si>
    <t>LED-RED 0603</t>
  </si>
  <si>
    <t>LED-RED</t>
  </si>
  <si>
    <t>IC REG LINEAR 5V 1.5A </t>
  </si>
  <si>
    <t>LM7805</t>
  </si>
  <si>
    <t>LED-GREEN 0603</t>
  </si>
  <si>
    <t>LED-GREEN</t>
  </si>
  <si>
    <t>FIXED IND 4.7UH 2A 72 MOHM SMD</t>
  </si>
  <si>
    <t>NRS5020T4R7MMGJ</t>
  </si>
  <si>
    <t>LED- YELLOW 0603</t>
  </si>
  <si>
    <t>LED- YELLOW</t>
  </si>
  <si>
    <t>0603N220J500CT</t>
  </si>
  <si>
    <t>BUTTON SMT 36X6mm</t>
  </si>
  <si>
    <t>BUTTON 36X6</t>
  </si>
  <si>
    <t>270OHM  0603</t>
  </si>
  <si>
    <t>270R  0603</t>
  </si>
  <si>
    <t>RES 402K OHM 1% 1/8W 0805</t>
  </si>
  <si>
    <t>RC0805FR-07402KL</t>
  </si>
  <si>
    <t>RES 4.64K OHM 1% 1/4W 1206</t>
  </si>
  <si>
    <t>RC1206FR-074K64L</t>
  </si>
  <si>
    <t>33 pF ±5% 50V  0603</t>
  </si>
  <si>
    <t>UMK063CG330JT-F</t>
  </si>
  <si>
    <t>RES 7.68K OHM 1% 1/4W 1206</t>
  </si>
  <si>
    <t>RC1206FR-077K68L</t>
  </si>
  <si>
    <t>RMCF 1206FT2R00</t>
  </si>
  <si>
    <t>RES 22 OHM 5% 1/2W 1210</t>
  </si>
  <si>
    <t>RC1210JR-0722RL</t>
  </si>
  <si>
    <t>RES SMD 100 OHM 5% 2W 2512</t>
  </si>
  <si>
    <t>CRM2512-JW-101ELF</t>
  </si>
  <si>
    <t>RES 0.12 OHM 1% 1W 2512</t>
  </si>
  <si>
    <t>RL2512FK-070R12L</t>
  </si>
  <si>
    <t>RES SMD 150K OHM 5% 1/2W 1210</t>
  </si>
  <si>
    <t>RC1210JR-07150KL</t>
  </si>
  <si>
    <t>1206 15K Ohm 1% 0.25W(1/4W)</t>
  </si>
  <si>
    <t>RK73H2BTTE1502F</t>
  </si>
  <si>
    <t>RES 470 OHM 5% 1/8W 0805</t>
  </si>
  <si>
    <t>RES 60.4K OHM 1% 1/10W 0603</t>
  </si>
  <si>
    <t>RMCF0603FT60K4</t>
  </si>
  <si>
    <t>RES 18K OHM 1% 1/10W 0603</t>
  </si>
  <si>
    <t>RMCF0603FT18K0</t>
  </si>
  <si>
    <t>RES SMD 68K OHM 5% 1/4W 1206</t>
  </si>
  <si>
    <t>MCR18ERTJ683</t>
  </si>
  <si>
    <t>RES 200K OHM 5% 1/10W 0603</t>
  </si>
  <si>
    <t>RC0603JR-07200KL</t>
  </si>
  <si>
    <t>RES 0.27 OHM 1% 1/2W 1210</t>
  </si>
  <si>
    <t>MCR25JZHFLR270</t>
  </si>
  <si>
    <t>RES 102K OHM 1% 1/10W 0603</t>
  </si>
  <si>
    <t>RMCF0603FT102K</t>
  </si>
  <si>
    <t>RES 27K OHM 5% 1/4W 1206</t>
  </si>
  <si>
    <t>RC1206JR-0727KL</t>
  </si>
  <si>
    <t>RES 53.6K OHM 1% 1/8W 0805</t>
  </si>
  <si>
    <t>RC0805FR-0753K6L</t>
  </si>
  <si>
    <t>RES 13K OHM 5% 1/4W 1206</t>
  </si>
  <si>
    <t>RC1206JR-0713KL</t>
  </si>
  <si>
    <t>RES 232K OHM 1% 1/10W 0603</t>
  </si>
  <si>
    <t>RMCF0603FT232K</t>
  </si>
  <si>
    <t>RES 20K OHM 5% 1/4W 1206</t>
  </si>
  <si>
    <t>RMCF1206JT20K0</t>
  </si>
  <si>
    <t>RES 3.3 OHM 1% 1/10W 0603</t>
  </si>
  <si>
    <t>RMCF0603FT3R30</t>
  </si>
  <si>
    <t>RES 8.06 OHM 1% 1/4W 1206</t>
  </si>
  <si>
    <t>RMCF1206FT8R06</t>
  </si>
  <si>
    <t>RES 100K OHM 5% 1/8W 0805</t>
  </si>
  <si>
    <t>RES 52.3K OHM 1% 1/10W 0603</t>
  </si>
  <si>
    <t>RMCF0603FT52K3</t>
  </si>
  <si>
    <t>RES 8.66K OHM 1% 1/10W 0603</t>
  </si>
  <si>
    <t>RMCF0603FT8K66</t>
  </si>
  <si>
    <t>RES SMD 49.9K OHM 0.1% 1/4W 1206</t>
  </si>
  <si>
    <t>RT1206BRD0749K9L</t>
  </si>
  <si>
    <t>RES 4.53K OHM 0.1% 1/3W 1206</t>
  </si>
  <si>
    <t>RNCF1206BTE4K53</t>
  </si>
  <si>
    <t>RES 5.6K OHM 5% 1/4W 1206</t>
  </si>
  <si>
    <t>RES 0.39 OHM 5% 3W 4122</t>
  </si>
  <si>
    <t>SMW3R39JT</t>
  </si>
  <si>
    <t>RES SMD 10K OHM 0.1% 2.5W 2512</t>
  </si>
  <si>
    <t>PHP02512E1002BST5</t>
  </si>
  <si>
    <t>RES 2.49 OHM 1% 1/4W 1206</t>
  </si>
  <si>
    <t>RMCF1206FT2R49</t>
  </si>
  <si>
    <t>RES 150K OHM 5% 1/8W 0805</t>
  </si>
  <si>
    <t>RC0805JR-07150KL</t>
  </si>
  <si>
    <t>RES 53.6K OHM 1% 1/4W 1206</t>
  </si>
  <si>
    <t>RC1206FR-0753K6L</t>
  </si>
  <si>
    <t>TRIMMER 200 OHM 0.1W J LEAD TOP</t>
  </si>
  <si>
    <t>TC33X-2-201G</t>
  </si>
  <si>
    <t>RES 10K OHM 5% 1/8W 0805</t>
  </si>
  <si>
    <t>RES 8.2K OHM 5% 1/8W 0805</t>
  </si>
  <si>
    <t>RES 1.5K OHM 5% 1/4W 1206</t>
  </si>
  <si>
    <t>RC1206JR-071K5L</t>
  </si>
  <si>
    <t>68K 0603</t>
  </si>
  <si>
    <t>RES 12.4K OHM 1% 1/10W 0603</t>
  </si>
  <si>
    <t>RMCF0603FT12K4</t>
  </si>
  <si>
    <t>NTC Thermistors 10ohms 3amps Clinch lead</t>
  </si>
  <si>
    <t>10D2-10LC</t>
  </si>
  <si>
    <t>RES 1.2K OHM 5% 1/4W 1206</t>
  </si>
  <si>
    <t>RC1206JR-071K2L</t>
  </si>
  <si>
    <t>RES 47K OHM 5% 1/10W 0805</t>
  </si>
  <si>
    <t>RES SMD 18K OHM 1% 1/8W 0805</t>
  </si>
  <si>
    <t>AC0805FR-0718KL</t>
  </si>
  <si>
    <t>RES 33K 0603</t>
  </si>
  <si>
    <t>33K 0603</t>
  </si>
  <si>
    <t>1/4watts 20Kohms 1%</t>
  </si>
  <si>
    <t>RK73H2BTTE2002F</t>
  </si>
  <si>
    <t>RES 0.004 OHM 1W 0805 WIDE</t>
  </si>
  <si>
    <t>KRL2012E-M-R004-F-T5</t>
  </si>
  <si>
    <t>RES 13K OHM 1% 1/4W 1206</t>
  </si>
  <si>
    <t>RC1206FR-0713KL</t>
  </si>
  <si>
    <t>RES 2.32K OHM 1% 1/10W 0603</t>
  </si>
  <si>
    <t>RMCF0603FT2K32</t>
  </si>
  <si>
    <t>RES 2.2 OHM 5% 1/2W 1210</t>
  </si>
  <si>
    <t>RC1210JR-072R2L</t>
  </si>
  <si>
    <t>RES SMD 1.2 OHM 5% 3W 4122</t>
  </si>
  <si>
    <t>SMW31R2JT</t>
  </si>
  <si>
    <t>RES 560K OHM 1% 1/10W 0603Min Qty:1</t>
  </si>
  <si>
    <t>RMCF0603FT560K</t>
  </si>
  <si>
    <t>RES 20 OHM 5% 1/4W 1206</t>
  </si>
  <si>
    <t>RC1206JR-0720RL</t>
  </si>
  <si>
    <t>RES 470 OHM 5% 1/4W 1206</t>
  </si>
  <si>
    <t>RC1206JR-07470RL</t>
  </si>
  <si>
    <t>RES 330 OHM 5% 1/8W 0805</t>
  </si>
  <si>
    <t>RC0805JR-07330RL</t>
  </si>
  <si>
    <t>RES 3.9K OHM 5% 1/4W 1206</t>
  </si>
  <si>
    <t>RC1206JR-073K9L</t>
  </si>
  <si>
    <t>RES 1.5K OHM 5% 1/2W 1210</t>
  </si>
  <si>
    <t>RC1210JR-071K5L</t>
  </si>
  <si>
    <t>RES 110 OHM 5% 1/4W 1206</t>
  </si>
  <si>
    <t>RC1206JR-07110RL</t>
  </si>
  <si>
    <t>RES 2.05 OHM 1% 1/4W 1206</t>
  </si>
  <si>
    <t>RC1206FR-072R05L</t>
  </si>
  <si>
    <t>RES SMD 680K OHM 5% 2/3W 1206</t>
  </si>
  <si>
    <t>ERJ-P08J684V</t>
  </si>
  <si>
    <t>RES 20 OHM 1% 1/10W 0603</t>
  </si>
  <si>
    <t>RMCF0603FT20R0</t>
  </si>
  <si>
    <t>RES 40.2K OHM 1% 1/10W 0603</t>
  </si>
  <si>
    <t>RMCF0603FT40K2</t>
  </si>
  <si>
    <t>CC0603KRX5R6BB105</t>
  </si>
  <si>
    <t>0603B102K500CT</t>
  </si>
  <si>
    <t>CAP CER 6800PF 50V X7R 0603</t>
  </si>
  <si>
    <t>0603B682M500CT</t>
  </si>
  <si>
    <t>RES 7.68K OHM 1% 1/10W 0603</t>
  </si>
  <si>
    <t>RMCF0603FT7K68</t>
  </si>
  <si>
    <t>HEADER 6P THẲNG 2.54mm</t>
  </si>
  <si>
    <t>HEADER 6P THẲNG</t>
  </si>
  <si>
    <t>HEADER 10P THẲNG 2.54MM TRẮNG</t>
  </si>
  <si>
    <t>HEADER 10P THẲNG</t>
  </si>
  <si>
    <t>1port 100 Base-T RJ45 with LED with POE</t>
  </si>
  <si>
    <t>LPJ0514GENL</t>
  </si>
  <si>
    <t>CONN PWR JACK 2X5.5MM SOLDER</t>
  </si>
  <si>
    <t>100nF 25V X7R 20%</t>
  </si>
  <si>
    <t>1.5K OHM 5%</t>
  </si>
  <si>
    <t>RES SMD 51.1K OHM 1% 1/16W 0402</t>
  </si>
  <si>
    <t>RC0402FR-0751K1L</t>
  </si>
  <si>
    <t>680 Ohms 0805 1/8W</t>
  </si>
  <si>
    <t>0805W8F6800T5E</t>
  </si>
  <si>
    <t>0402 0.1UF 10V</t>
  </si>
  <si>
    <t>GRM155R61A104KA01J</t>
  </si>
  <si>
    <t>CAP TANT 100UF 20% 16V 2917</t>
  </si>
  <si>
    <t>TAJD107M016RNJ</t>
  </si>
  <si>
    <t>1000UF/6.3V</t>
  </si>
  <si>
    <t>CAP ALUM 47UF 20% 400V RADIAL</t>
  </si>
  <si>
    <t>EEU-ED2G470S</t>
  </si>
  <si>
    <t>CAP CER 470PF 1KV RADIAL</t>
  </si>
  <si>
    <t>CK45-B3AD471KYVNA</t>
  </si>
  <si>
    <t>1000UF/100V 20%</t>
  </si>
  <si>
    <t>UPW2A102MHD</t>
  </si>
  <si>
    <t>CAP CER 1000PF 2KV Y5P RADIAL</t>
  </si>
  <si>
    <t>S102K33Y5PP63K5R</t>
  </si>
  <si>
    <t>RES 10K OHM 5% 1/4W AXIAL</t>
  </si>
  <si>
    <t>CFR-25JB-52-10K</t>
  </si>
  <si>
    <t>DB9 cái hàn Board</t>
  </si>
  <si>
    <t>DB09-PM</t>
  </si>
  <si>
    <t>Thạch anh 27.120MHZ 2 chân</t>
  </si>
  <si>
    <t>Thạch anh 27.120MHZ</t>
  </si>
  <si>
    <t>THẠCH ANH 2 CHÂN 12MHZ</t>
  </si>
  <si>
    <t>THẠCH ANH 12MHZ</t>
  </si>
  <si>
    <t>Capacitance (Mlcc) 0805 22µF ±20% 6.3V X5R</t>
  </si>
  <si>
    <t>GRM21BR60J226ME39L</t>
  </si>
  <si>
    <t>Thick Film Resistors - SMD 1/10watt 2.37Mohms 1%</t>
  </si>
  <si>
    <t>CRCW06032M37FKEA</t>
  </si>
  <si>
    <t>Thick Film Resistors - SMD 54.9 kOhms 100mW 0603 1%</t>
  </si>
  <si>
    <t>RC0603FR-0754K9L</t>
  </si>
  <si>
    <t>Multilayer Ceramic Capacitors MLCC - SMD/SMT 50V 0.33uF X7R 1206 5%</t>
  </si>
  <si>
    <t>CC1206JRX7R9BB334</t>
  </si>
  <si>
    <t>15pF - 1206</t>
  </si>
  <si>
    <t>15pF/50V - 1206</t>
  </si>
  <si>
    <t>CAP CER 1000PF 50V C0G/NP0 1206</t>
  </si>
  <si>
    <t>CC1206JRNPO9BN102</t>
  </si>
  <si>
    <t>MBRS340T3G DIODE SCHOTTKY 4A</t>
  </si>
  <si>
    <t>TỤ 10nF 1000V 1206</t>
  </si>
  <si>
    <t>VJ1206Y103MXJPW1BC</t>
  </si>
  <si>
    <t>RES SMD 12K OHM 5% 1/4W 1206</t>
  </si>
  <si>
    <t>RC1206JR-0712KL</t>
  </si>
  <si>
    <t>DIODE ZENER 18V 1W SMA</t>
  </si>
  <si>
    <t>1SMA4746TR</t>
  </si>
  <si>
    <t>CAP ALUM 470UF 20% 35V SMD</t>
  </si>
  <si>
    <t>UCL1V471MNL1GS</t>
  </si>
  <si>
    <t>IC OPAMP GP 4 CIRCUIT 14SOP</t>
  </si>
  <si>
    <t>LM324NSR</t>
  </si>
  <si>
    <t>BRIDGE RECT 1PHASE 1KV 2A 4SDIP</t>
  </si>
  <si>
    <t>DF10S2</t>
  </si>
  <si>
    <t>IC REG LINEAR 5V 500MA DPAK</t>
  </si>
  <si>
    <t>L78M05CDT-TR</t>
  </si>
  <si>
    <t>Nút nhấn 4 chân OMRON B3F-4055, 12x12x7.3mm</t>
  </si>
  <si>
    <t>B3F-4055</t>
  </si>
  <si>
    <t>10pF 0805</t>
  </si>
  <si>
    <t>SWITCH TACTILE SPST-NO 0.05A 24V</t>
  </si>
  <si>
    <t>1825910-6</t>
  </si>
  <si>
    <t>10UF 6.3V 20%  0603</t>
  </si>
  <si>
    <t>AC0603FR-0720KL</t>
  </si>
  <si>
    <t>0.1 µF ±10% 50V Ceramic Capacitor X7R 0603 (1608 Metric)</t>
  </si>
  <si>
    <t>CRYSTAL 16MHZ 2 CHÂN</t>
  </si>
  <si>
    <t>16MHZ</t>
  </si>
  <si>
    <t>RMCF1206JT1K20</t>
  </si>
  <si>
    <t>Resistor 1K/5% 0603</t>
  </si>
  <si>
    <t>MCP2021-330E/SN</t>
  </si>
  <si>
    <t>ĐẦU RF SMA CÁI DÀI 13.5MM CHÂN THẲNG</t>
  </si>
  <si>
    <t>SMA-KE1</t>
  </si>
  <si>
    <t>CONN RCPT HSG 3POS 3.00MM</t>
  </si>
  <si>
    <t>0436450308</t>
  </si>
  <si>
    <t>100 µF ±20% 6.3V Ceramic Capacitor X5R 1206</t>
  </si>
  <si>
    <t>CL31A107MQHNNNE</t>
  </si>
  <si>
    <t>IC MCU 8BIT 14KB FLASH 44TQFP</t>
  </si>
  <si>
    <t>PIC16F887-I/P</t>
  </si>
  <si>
    <t xml:space="preserve"> 
IC MCU 8BIT 64KB FLASH 40DIP</t>
  </si>
  <si>
    <t>PIC18F4620-I/P</t>
  </si>
  <si>
    <t>0.50 MM MICRO BLADE &amp; BEAM ULTRA</t>
  </si>
  <si>
    <t>SLH-010-1.50-G-D-A-K</t>
  </si>
  <si>
    <t>39 ohm, ± 5%, 500 mW, 0805</t>
  </si>
  <si>
    <t>ERJP06J390V</t>
  </si>
  <si>
    <t>43 kOhms ±1% 0.1W, 1/10W Chip Resistor 0603</t>
  </si>
  <si>
    <t>RC0603FR-0743KL</t>
  </si>
  <si>
    <t>RES SMD 100K OHM 5% 1/10W 0402</t>
  </si>
  <si>
    <t>100 Ohms ±1% 0.25W, 1/4W</t>
  </si>
  <si>
    <t>RMCF1206FT100R</t>
  </si>
  <si>
    <t>Tụ Ceramic 100PF/50V SMD1206</t>
  </si>
  <si>
    <t>100PF50V1206</t>
  </si>
  <si>
    <t>RES 22K OHM 5% 1W 2512</t>
  </si>
  <si>
    <t>RC2512JK-0722KL</t>
  </si>
  <si>
    <t>TVS DIODE VMN2M</t>
  </si>
  <si>
    <t>RSB6.8CM</t>
  </si>
  <si>
    <t>switch tact spst-no 1VA 32V</t>
  </si>
  <si>
    <t>TS600VM-043R-R</t>
  </si>
  <si>
    <t>CONN FFC BOTTOM 40POS 0.50MM R/A</t>
  </si>
  <si>
    <t>0541324062</t>
  </si>
  <si>
    <t>IC OR CTRLR SRC SELECT 24QFN</t>
  </si>
  <si>
    <t>LTC4417</t>
  </si>
  <si>
    <t>IC LI+ CHARGER FRONT END 8SON</t>
  </si>
  <si>
    <t>BQ24315DSGT</t>
  </si>
  <si>
    <t>CAP CER 100PF 250V C0G/NP0 0805</t>
  </si>
  <si>
    <t>GRM21A5C2E101JW01D</t>
  </si>
  <si>
    <t>CONN SIM CARD HINGED TYPE R/A</t>
  </si>
  <si>
    <t>009162006301150</t>
  </si>
  <si>
    <t>CL21A106KACLRNC</t>
  </si>
  <si>
    <t>0805 22UF 25V</t>
  </si>
  <si>
    <t>1760510000</t>
  </si>
  <si>
    <t>RES 66.5K OHM 1% 1/10W 0603</t>
  </si>
  <si>
    <t>RC0603FR-0766K5L</t>
  </si>
  <si>
    <t>RES 220 OHM 5% 1/8W 0805</t>
  </si>
  <si>
    <t>RC0805JR-07220RL</t>
  </si>
  <si>
    <t>CONN RCPT 20POS SMD GOLD</t>
  </si>
  <si>
    <t>DF37NB-20DS-0.4V</t>
  </si>
  <si>
    <t>IC Dán FE1.1S SSOP-28</t>
  </si>
  <si>
    <t>FE1-1SSSOP28IC</t>
  </si>
  <si>
    <t>RF TXRX MOD CELL NAV SMD</t>
  </si>
  <si>
    <t>UC20GD-128-STD</t>
  </si>
  <si>
    <t>CONN HEADER VERT 12POS 2.54MM</t>
  </si>
  <si>
    <t>10129381-912002BLF</t>
  </si>
  <si>
    <t>IC OR CTRLR BRIDGE RECT 16QFN</t>
  </si>
  <si>
    <t xml:space="preserve"> 
LT4321IUF#PBF</t>
  </si>
  <si>
    <t>BATT LITHIUM 3V 5.5MAH COIN</t>
  </si>
  <si>
    <t>MS621EEFL11E</t>
  </si>
  <si>
    <t>REDCUBE TERMINAL_BUSH_SMT_REVERS</t>
  </si>
  <si>
    <t>746600135R</t>
  </si>
  <si>
    <t xml:space="preserve"> 
IC MCU 32BIT 64KB FLASH 48LQFP</t>
  </si>
  <si>
    <t>STM32L151C8T6</t>
  </si>
  <si>
    <t>0010897120</t>
  </si>
  <si>
    <t>MOSFETs BUK9K12-60E/SOT1205/LFPAK56D</t>
  </si>
  <si>
    <t>BUK9K12-60E</t>
  </si>
  <si>
    <t>QX0603G01</t>
  </si>
  <si>
    <t>56pF/50V 0603</t>
  </si>
  <si>
    <t>680R 1% 0603</t>
  </si>
  <si>
    <t>100PF 50V 0402</t>
  </si>
  <si>
    <t>Res 120R 0603</t>
  </si>
  <si>
    <t>RR1608(0603)L121JT</t>
  </si>
  <si>
    <t>22PF/50V 0402</t>
  </si>
  <si>
    <t>22PF/50V</t>
  </si>
  <si>
    <t>3pf/50v 0402</t>
  </si>
  <si>
    <t>IC RF TXRX+MCU BLE 48QFN</t>
  </si>
  <si>
    <t>IC BUFFER NON-INVERT 5.5V 8VSSOP</t>
  </si>
  <si>
    <t>SN74LVC2G126DCUT</t>
  </si>
  <si>
    <t>BARRIER BLOCK 4X1 7.62MM</t>
  </si>
  <si>
    <t>AF90 Cổng USB Cái 2.0 Tyep A 4 Chân Cong 90 Độ</t>
  </si>
  <si>
    <t>RELAY TELECOM SPDT 1A 5V</t>
  </si>
  <si>
    <t>TSC-105D3H</t>
  </si>
  <si>
    <t>Led đỏ vàng 0603</t>
  </si>
  <si>
    <t>B1931UY--05D-001114</t>
  </si>
  <si>
    <t>RES SMD 10 OHM 5% 1W 2512</t>
  </si>
  <si>
    <t>352010RJT</t>
  </si>
  <si>
    <t>33R/2W</t>
  </si>
  <si>
    <t>CAP FILM 1000PF 10% 63VDC RADIAL</t>
  </si>
  <si>
    <t>B32529C0102K289</t>
  </si>
  <si>
    <t>TRANS NPN 400V 8A TO220AB</t>
  </si>
  <si>
    <t>PHE13007,127</t>
  </si>
  <si>
    <t>LED RED DIFFUSED RADIAL LEAD T/H</t>
  </si>
  <si>
    <t>3474AN-R7DB-AHJB-PR-MS</t>
  </si>
  <si>
    <t>CAP FILM 2.2UF 10% 560VDC RADIAL</t>
  </si>
  <si>
    <t>R46KR422000M2K</t>
  </si>
  <si>
    <t>FUSE BLOCK BLADE 500V 30A PCB</t>
  </si>
  <si>
    <t>3557-2</t>
  </si>
  <si>
    <t>RES 1M OHM 5% 1/10W 0603</t>
  </si>
  <si>
    <t xml:space="preserve"> 
TRANS NPN 50V 0.1A SOT23-3</t>
  </si>
  <si>
    <t>KSC1623YMTF</t>
  </si>
  <si>
    <t>SWITCH ROTARY DIP BCD 0.1A 30V</t>
  </si>
  <si>
    <t>RTE1000N14</t>
  </si>
  <si>
    <t>CC1206KKX7RYBB104</t>
  </si>
  <si>
    <t>FUSE AUTO 40A 32VDC BLADE ATO</t>
  </si>
  <si>
    <t>0287040-PXCN</t>
  </si>
  <si>
    <t xml:space="preserve"> 
IC RTC CLK/CALENDAR PAR 24SOIC</t>
  </si>
  <si>
    <t>BQ3285ES</t>
  </si>
  <si>
    <t>RES 10K OHM 5% 1/10W 0402</t>
  </si>
  <si>
    <t>RK73B1ETTP103J</t>
  </si>
  <si>
    <t>1000UF/100V NÂU</t>
  </si>
  <si>
    <t>1000UF/100V</t>
  </si>
  <si>
    <t xml:space="preserve"> 
TRANS PNP 300V 0.5A TO92-3</t>
  </si>
  <si>
    <t>KSP92BU</t>
  </si>
  <si>
    <t>MOSFET N-CH 100V 130A TO220AB</t>
  </si>
  <si>
    <t>IRFB4310PBF</t>
  </si>
  <si>
    <t>CAP FILM 10000PF 10% 63VDC RAD</t>
  </si>
  <si>
    <t>B32529C0103K000</t>
  </si>
  <si>
    <t>Capacitors - Radial Leaded 50V 1.0uF 20% 4X7mm</t>
  </si>
  <si>
    <t xml:space="preserve">SEA1R0M1HBK0407
</t>
  </si>
  <si>
    <t>CAP FILM</t>
  </si>
  <si>
    <t>B32529C102K</t>
  </si>
  <si>
    <t>47K 1% 0805</t>
  </si>
  <si>
    <t>M66FAR01A04</t>
  </si>
  <si>
    <t xml:space="preserve"> 
IC POE CNTRL 1 CHANNEL 20QFN</t>
  </si>
  <si>
    <t>SI3402-B-GMR</t>
  </si>
  <si>
    <t>CAP CER 18PF 50V C0G/NP0 0603</t>
  </si>
  <si>
    <t xml:space="preserve"> 
LED RED CLEAR CHIP SMD 1206</t>
  </si>
  <si>
    <t>LTST-C230KRKT</t>
  </si>
  <si>
    <t>ANALOG FRONT-END IC FOR POWER LI</t>
  </si>
  <si>
    <t>NJM45001 VP1</t>
  </si>
  <si>
    <t>RES 22 OHM 1% 1/8W 0805</t>
  </si>
  <si>
    <t>RC0805FR-0722RL</t>
  </si>
  <si>
    <t>RF RCVR GNSS/GPS 1.575GHZ 18LCC</t>
  </si>
  <si>
    <t>MAX-M8Q-0</t>
  </si>
  <si>
    <t>ERJ-3EKF 1542V</t>
  </si>
  <si>
    <t>RES SMD 100 OHM 1% 1/2W 0805</t>
  </si>
  <si>
    <t>CRCW0805100RFKEAHP</t>
  </si>
  <si>
    <t>DGTL ISO 2500VRMS 2CH GP 8SOI</t>
  </si>
  <si>
    <t xml:space="preserve"> 
ISO7221CDR</t>
  </si>
  <si>
    <t>IC REG BUCK ADJ 1A SOT23</t>
  </si>
  <si>
    <t>TPS561208DDCT</t>
  </si>
  <si>
    <t xml:space="preserve"> 
IC RTC CLK/CALENDAR I2C 8SOIC</t>
  </si>
  <si>
    <t>BQ32002DR</t>
  </si>
  <si>
    <t>RES SMD 22M OHM 10% 1/10W 0603</t>
  </si>
  <si>
    <t>ERJ-3GEYK226V</t>
  </si>
  <si>
    <t xml:space="preserve"> 
PTC RESET FUSE 15V 500MA 1812</t>
  </si>
  <si>
    <t>PFMF.050.2</t>
  </si>
  <si>
    <t xml:space="preserve"> 
RES SMD 33 OHM 1% 1/32W 01005</t>
  </si>
  <si>
    <t>RC0402F330CS</t>
  </si>
  <si>
    <t>IC MCU 32BIT 64KB FLASH 48LQFP</t>
  </si>
  <si>
    <t>STM32F103C8T6TR</t>
  </si>
  <si>
    <t xml:space="preserve"> 
RELAY REED SPST-NC 500MA 5V</t>
  </si>
  <si>
    <t>CRR05-1B</t>
  </si>
  <si>
    <t>GRM1555C1H150JA01D</t>
  </si>
  <si>
    <t>CAP CER 1UF 25V X5R 0402</t>
  </si>
  <si>
    <t xml:space="preserve"> 
TVS DIODE 5.5VWM 12VC DFN1616-6</t>
  </si>
  <si>
    <t>PUSBM5V5X4-TL.115</t>
  </si>
  <si>
    <t>Module Wi-Fi ESP8266 ESP-07</t>
  </si>
  <si>
    <t>ESP8266ESP-07</t>
  </si>
  <si>
    <t xml:space="preserve"> 
IC MCU 8BIT 64KB FLASH 48LQFP</t>
  </si>
  <si>
    <t>STM8S208C8T6</t>
  </si>
  <si>
    <t xml:space="preserve"> 
IC TRANSCEIVER HALF 1/1 8DIP</t>
  </si>
  <si>
    <t>SN75176BP</t>
  </si>
  <si>
    <t xml:space="preserve"> 
TVS DIODE 5VWM 9.2VC SMA</t>
  </si>
  <si>
    <t>IC REG BUCK BST ADJ 1.5A 8DIP</t>
  </si>
  <si>
    <t>MC34063AP</t>
  </si>
  <si>
    <t>SN65HVD1050DR</t>
  </si>
  <si>
    <t>ULN2003ADR</t>
  </si>
  <si>
    <t>FIXED IND 100UH 1.9A 180MOHM SMD</t>
  </si>
  <si>
    <t>SDR1307A-101K</t>
  </si>
  <si>
    <t xml:space="preserve"> 
IC REG BOOST ADJ 3A 14QFN</t>
  </si>
  <si>
    <t>MP3425DLLFP</t>
  </si>
  <si>
    <t>IC USB SWITCH DUAL 1X2 10UQFN</t>
  </si>
  <si>
    <t>TS3USB221RSER</t>
  </si>
  <si>
    <t>IC MCU 16BIT 16KB FLASH 20TSSOP</t>
  </si>
  <si>
    <t>MSP430G2553IPW20R</t>
  </si>
  <si>
    <t xml:space="preserve"> 
FIXED IND 33UH 3A 68 MOHM SMD</t>
  </si>
  <si>
    <t>SDR1806-330ML</t>
  </si>
  <si>
    <t>6.3V 220 UF</t>
  </si>
  <si>
    <t>UMR0J221MDD</t>
  </si>
  <si>
    <t>RES SMD 4.7K OHM 0.1% 1/4W 1206</t>
  </si>
  <si>
    <t>RG3216P-4701-BT5</t>
  </si>
  <si>
    <t>FIXED IND 3.9UH 4.8A 14.6MOHM SM</t>
  </si>
  <si>
    <t>SRU8043-3R9Y</t>
  </si>
  <si>
    <t>FIXED IND 68UH 1.2A 170 MOHM SMD</t>
  </si>
  <si>
    <t>PM3340-680M-RC</t>
  </si>
  <si>
    <t>RES 0.2 OHM 1% 1/2W 1206</t>
  </si>
  <si>
    <t>CSR1206FKR200</t>
  </si>
  <si>
    <t>RES 0.025 OHM 1% 1W 2512</t>
  </si>
  <si>
    <t>WSL2512R0250FEA</t>
  </si>
  <si>
    <t>25 mOhms ±0.5% 1W Chip Resistor 2512 (6432 Metric) Anti-Sulfur, Automotive AEC-Q200, Current Sense, Pulse Withstanding Metal Element</t>
  </si>
  <si>
    <t>WSK2512R0250DEA</t>
  </si>
  <si>
    <t>DIODE GEN PURP 75V 150MA SOD323F</t>
  </si>
  <si>
    <t xml:space="preserve">
150pF ±10% Y1 400V Plugin,P=10mm Safety Capacitors</t>
  </si>
  <si>
    <t>CY1151KE1IEB44Q0A2</t>
  </si>
  <si>
    <t>2.2 UF/50V</t>
  </si>
  <si>
    <t>6.8 UF/400V</t>
  </si>
  <si>
    <t>6.8UF/400V</t>
  </si>
  <si>
    <t>1000UF/16V</t>
  </si>
  <si>
    <t>470uF 35V 10x16 Aluminum Electrolytic Capacitor</t>
  </si>
  <si>
    <t>ERE1VM471G16OT</t>
  </si>
  <si>
    <t>470 UF/50V</t>
  </si>
  <si>
    <t>EEU-FC1H471</t>
  </si>
  <si>
    <t>CAP ALUM 330UF 20% 35V RADIAL TH</t>
  </si>
  <si>
    <t>EEU-FM1V331B</t>
  </si>
  <si>
    <t>Headers &amp; Wire Housings</t>
  </si>
  <si>
    <t>S05B-PASK-2(LF)(SN)</t>
  </si>
  <si>
    <t>CONN HEADER VERT 6POS 1.27MM</t>
  </si>
  <si>
    <t>TMS-106-51-G-S</t>
  </si>
  <si>
    <t xml:space="preserve">LÒ XO ĐEN </t>
  </si>
  <si>
    <t xml:space="preserve">CLIP BATTERY AAA CELL ALUM </t>
  </si>
  <si>
    <t>IC MCU 8BIT 8KB FLASH 40DIP</t>
  </si>
  <si>
    <t>Audio Transformers / Signal Transformers 120W POE Planar 24V 5A 50uH</t>
  </si>
  <si>
    <t>POE120PL-24L</t>
  </si>
  <si>
    <t>680 UF/10V</t>
  </si>
  <si>
    <t>DIODE RHRP8120 8A/1200V TO220AC</t>
  </si>
  <si>
    <t>RHRP8120</t>
  </si>
  <si>
    <t>MIẾNG DẪN SÁNG 15x20mm</t>
  </si>
  <si>
    <t xml:space="preserve">MIẾNG DẪN SÁNG </t>
  </si>
  <si>
    <t>B3F-SWICH 4 CHÂN 12x12x7.3mm</t>
  </si>
  <si>
    <t>SWICH 4 CHÂN MÀU ĐEN</t>
  </si>
  <si>
    <t>220 UF/ 50V</t>
  </si>
  <si>
    <t>220UF/50V</t>
  </si>
  <si>
    <t>47uf/50v</t>
  </si>
  <si>
    <t>47UF/50V</t>
  </si>
  <si>
    <t xml:space="preserve"> 
CAP FILM 0.033UF 5% 1.6KVDC RAD</t>
  </si>
  <si>
    <t>ECW-H16333JV</t>
  </si>
  <si>
    <t>CAP FILM 0.1UF 20% 275VAC RADIAL</t>
  </si>
  <si>
    <t>ECQ-U2A104ML</t>
  </si>
  <si>
    <t>MT4108AT-EN</t>
  </si>
  <si>
    <t>QUALCOMM BGA</t>
  </si>
  <si>
    <t>PM-8250-0-FOWPSP161-HR-03-0</t>
  </si>
  <si>
    <t xml:space="preserve">THERMISTOR_10K_NTC_3380K_0603  </t>
  </si>
  <si>
    <t>SMD Inductors 0805 470NH Accuracy 10% EBLS2012-R47K Black Ferrite 470n</t>
  </si>
  <si>
    <t>EBLS2012-R47K</t>
  </si>
  <si>
    <t>MLCC - SMD/SMT 50 V 0.1uF X7R 0603 5%</t>
  </si>
  <si>
    <t>C0603JRX7R9BB104</t>
  </si>
  <si>
    <t xml:space="preserve"> 
SENSOR FLIPCORE/HALL SPI 12WLCSP</t>
  </si>
  <si>
    <t>CONN HEADER SMD 50POS 1.27MM</t>
  </si>
  <si>
    <t>5V/ 3A, USB CHARGER WITH CABLE C</t>
  </si>
  <si>
    <t>LT8698SJV#WPBF</t>
  </si>
  <si>
    <t>IC FLASH 1GBIT SPI/QUAD I/O 8LGA</t>
  </si>
  <si>
    <t>GD5F1GQ4RF9IGR</t>
  </si>
  <si>
    <t>FUSE BOARD MOUNT 4A 32VDC 0805</t>
  </si>
  <si>
    <t>MFU0805FF04000P100</t>
  </si>
  <si>
    <t xml:space="preserve"> 
IC TRANSLTR BIDIRECTIONAL 8DSBGA</t>
  </si>
  <si>
    <t>SN74AVC2T45YZPR</t>
  </si>
  <si>
    <t xml:space="preserve"> 
IC MTR DRV BIPOLR 2.3-5.5V 15CSP</t>
  </si>
  <si>
    <t>BD6360GUL-E2</t>
  </si>
  <si>
    <t>TỤ AL 220UF/6V</t>
  </si>
  <si>
    <t>220UF/6V</t>
  </si>
  <si>
    <t>IC FLASH 256MBIT SPI/QUAD 16SOIC</t>
  </si>
  <si>
    <t>S25FL256SAGMFIR01</t>
  </si>
  <si>
    <t>IC SWITCH SPDT X 1 9OHM SC70-6</t>
  </si>
  <si>
    <t>TS5A9411DCKR</t>
  </si>
  <si>
    <t>AMS1117-5.0V AMS1117 IC ổn áp nguồn 5V 1A SOT-223</t>
  </si>
  <si>
    <t>AMS1117-5.0</t>
  </si>
  <si>
    <t>IC TRANSLTR BIDIRECTIONAL 8UMLP</t>
  </si>
  <si>
    <t>FXMAR2102UMX</t>
  </si>
  <si>
    <t xml:space="preserve"> 
IC TRANSLATOR UNIDIR 12UQFN</t>
  </si>
  <si>
    <t>NLSV4T244MUTAG</t>
  </si>
  <si>
    <t>Tactile Switches R/A TACT 160G PB SWITCH</t>
  </si>
  <si>
    <t>FSMRA3JH</t>
  </si>
  <si>
    <t>TVS DIODE 5VWM 5VC DSN0603-2</t>
  </si>
  <si>
    <t>PESD5V0H1BSFYL</t>
  </si>
  <si>
    <t xml:space="preserve"> 
CRYSTAL 25.0000MHZ 12PF SMD</t>
  </si>
  <si>
    <t>8Z-25.0000MAHE-T</t>
  </si>
  <si>
    <t>PNW-8002-0-16CWLPSP</t>
  </si>
  <si>
    <t>VLS3012HBX-1R0M</t>
  </si>
  <si>
    <t>FMMT624TA</t>
  </si>
  <si>
    <t xml:space="preserve"> 
IC REG LINEAR 1.8V 200MA TSOT5</t>
  </si>
  <si>
    <t>ADP151AUJZ-1.8-R7</t>
  </si>
  <si>
    <t>Power Management IC</t>
  </si>
  <si>
    <t>PM-8150A-1-FOWPSP177-HR-02-0</t>
  </si>
  <si>
    <t xml:space="preserve"> 
TRANS PREBIAS NPN 50V SOT323</t>
  </si>
  <si>
    <t>PDTC143ZU,115</t>
  </si>
  <si>
    <t>CAP ALUM 470UF 20% 25V RADIAL TH</t>
  </si>
  <si>
    <t>UFW1E471MPD</t>
  </si>
  <si>
    <t>CAP FILM 0.68UF 10% 100VDC RAD</t>
  </si>
  <si>
    <t>MKS2D036801F00KSSD</t>
  </si>
  <si>
    <t>8-bit Microcontrollers - MCU 32KB Flash, 2KB RAM, 256B EEPROM, 10b ADC2, 5b DAC, Comp, PWM, CCP, CWG, HLT, WWDT, SCAN/CRC, ZCD, PPS, EUSART, SPI/I2C, IDLE/DOZE/PMD</t>
  </si>
  <si>
    <t>PIC18F25Q10/ML</t>
  </si>
  <si>
    <t>CONN PWR JACK 2.5X5.5MM SOLDER</t>
  </si>
  <si>
    <t>PJ-202BH</t>
  </si>
  <si>
    <t>IC LED DRVR LIN PWM 35MA 24TSSOP</t>
  </si>
  <si>
    <t>LP5012PWR</t>
  </si>
  <si>
    <t>RES 2.2K OHM 1% 1/8W 0805</t>
  </si>
  <si>
    <t>IC SUPERCAP CHARGER 12-MSOP</t>
  </si>
  <si>
    <t>LTC4425EMSE#PBF</t>
  </si>
  <si>
    <t>MOSFET P-CH 20V 3.7A SOT-23</t>
  </si>
  <si>
    <t>IRLML6402TRPBF</t>
  </si>
  <si>
    <t>4.53 MOhms ±1% 0.125W, 1/8W Chip Resistor 0805</t>
  </si>
  <si>
    <t>CRCW08054M53FKEA</t>
  </si>
  <si>
    <t>CAP ALUM 470UF 20% 10V SMD</t>
  </si>
  <si>
    <t>EEE-FTA471XAP</t>
  </si>
  <si>
    <t>RES 20K OHM 1% 1/10W 0603</t>
  </si>
  <si>
    <t>RC0603FR-1020KL</t>
  </si>
  <si>
    <t>CRYSTAL 12.2880MHZ 20PF SMD</t>
  </si>
  <si>
    <t>ECS-122.8-20-3X-TR</t>
  </si>
  <si>
    <t>RS-232 Interface IC Dual RS232 MAX232DR</t>
  </si>
  <si>
    <t>MAX232DR</t>
  </si>
  <si>
    <t>LED E6C-1204RGB</t>
  </si>
  <si>
    <t>E6C-1204RGB</t>
  </si>
  <si>
    <t>ĐẾ PIN CR1616</t>
  </si>
  <si>
    <t>RES SMD 47K OHM 5% 1/4W 0603</t>
  </si>
  <si>
    <t>100 uF 10 VDC 20% 1206 X5R</t>
  </si>
  <si>
    <t>GRM31CR61A107ME05L</t>
  </si>
  <si>
    <t>DÂY ĐIỆN ĐEN (ĐƠN, SỢI NHỎ)</t>
  </si>
  <si>
    <t>DÂY ĐIỆN TÍN HIỆU ĐỎ ĐEN</t>
  </si>
  <si>
    <t xml:space="preserve">DRAM 2Gb DDR3L 1.35V SDRAM, x16, 800MHz </t>
  </si>
  <si>
    <t>W632GU6NB-12</t>
  </si>
  <si>
    <t>Sensory License Chip</t>
  </si>
  <si>
    <t>SC8AI2C</t>
  </si>
  <si>
    <t>105°C-5,000Hrs, 80v, 1000uF, 20%,
PO= 1000pcs,16*31.5, F=7.5mm
(Size fDxL: 16*31.5; ST spec: 80V; 1000uF)</t>
  </si>
  <si>
    <t>RMY1K102MIAV</t>
  </si>
  <si>
    <t>RELAY GEN PURPOSE SPDT 10A 12V</t>
  </si>
  <si>
    <t>ALQ112</t>
  </si>
  <si>
    <t>FIXED IND 100UH 2.4A 125MOHM SM</t>
  </si>
  <si>
    <t>MSS1210-104KEB</t>
  </si>
  <si>
    <t>200K/500V</t>
  </si>
  <si>
    <t>200 KOHM/500v</t>
  </si>
  <si>
    <t>RES 100K OHM 5% 5W AXIAL</t>
  </si>
  <si>
    <t>RES5W100K</t>
  </si>
  <si>
    <t>CAP FILM 0.047UF 10% 250VDC RAD</t>
  </si>
  <si>
    <t>ECQ-E2473KF</t>
  </si>
  <si>
    <t>Điện trở 39Kohm TH</t>
  </si>
  <si>
    <t>39KOHM</t>
  </si>
  <si>
    <t>Điện trở 1M 0.5W</t>
  </si>
  <si>
    <t>1M OHM</t>
  </si>
  <si>
    <t>ZENER DIODE, 18V, 5%, 1W</t>
  </si>
  <si>
    <t>1N4746A</t>
  </si>
  <si>
    <t>Tụ điện màng 160 V, 0,47 µF ±5%</t>
  </si>
  <si>
    <t>HMKP21/2C474J60C000</t>
  </si>
  <si>
    <t>CAP ALUM 1000UF 20% 6.3V RADIAL</t>
  </si>
  <si>
    <t>UHE0J102MPD1TD</t>
  </si>
  <si>
    <t>CONN HEADER VERT 10POS 2MM</t>
  </si>
  <si>
    <t>SBH21-NBPN-D05-ST-BK</t>
  </si>
  <si>
    <t>CR1225 Battery Holder Renata SMD</t>
  </si>
  <si>
    <t>SMTU1225-LF</t>
  </si>
  <si>
    <t>Capacitor 0402 1u0 16V X5R</t>
  </si>
  <si>
    <t>CC0402KPX5R7BB105</t>
  </si>
  <si>
    <t>Capacitor 0402 2n2 50V X7R</t>
  </si>
  <si>
    <t>CC0402JRX7R9BB222</t>
  </si>
  <si>
    <t>Capacitor 10uF 16V 0603 X5R</t>
  </si>
  <si>
    <t>Capacitor 1210 22u 25V X7R</t>
  </si>
  <si>
    <t>GRM32ER71E226ME15L</t>
  </si>
  <si>
    <t>Capacitor 1210 4u7 100V X7S</t>
  </si>
  <si>
    <t>C3225X7S2A475K200AB</t>
  </si>
  <si>
    <t>Capacitor 22u 25V X5R Murata</t>
  </si>
  <si>
    <t>GRM21BR61E226ME44</t>
  </si>
  <si>
    <t>LED Green 0603</t>
  </si>
  <si>
    <t>SML-D12M8WT86</t>
  </si>
  <si>
    <t>LED Orange 0603</t>
  </si>
  <si>
    <t>SML-D12D8WT86</t>
  </si>
  <si>
    <t>Dual diode common cathode 100V</t>
  </si>
  <si>
    <t>BAV70</t>
  </si>
  <si>
    <t>Dual diode series 70V 150mA</t>
  </si>
  <si>
    <t>BAV99LT1G</t>
  </si>
  <si>
    <t>Infineon XMC4400 100-pin</t>
  </si>
  <si>
    <t>XMC4400F100F512BAXQMA1</t>
  </si>
  <si>
    <t>Dual high-side switch 45V 350mA</t>
  </si>
  <si>
    <t>NCV47822PAAJR2G</t>
  </si>
  <si>
    <t>ST digital accelerometer</t>
  </si>
  <si>
    <t>LSM6DSM</t>
  </si>
  <si>
    <t>17V input 2A buck converter</t>
  </si>
  <si>
    <t>TPS562231DRL</t>
  </si>
  <si>
    <t>4.2V-60V 1.5A synchronous buck</t>
  </si>
  <si>
    <t>LMR36015BRNX</t>
  </si>
  <si>
    <t>Operational Amplifier</t>
  </si>
  <si>
    <t>MCP6L91T</t>
  </si>
  <si>
    <t>Infineon 2EDL05N06PF 0.5A single phase gate driver</t>
  </si>
  <si>
    <t>2EDL05N06PF</t>
  </si>
  <si>
    <t>Infineon 2EDL23N06PJ single phase gate driver</t>
  </si>
  <si>
    <t>2EDL23N06PJ</t>
  </si>
  <si>
    <t>2.2uH NRS4018 POWER INDUCTOR</t>
  </si>
  <si>
    <t>NRS4018T2R2MDGJ</t>
  </si>
  <si>
    <t>22uH Inductor Bourns SRN8040 8mm</t>
  </si>
  <si>
    <t>SRN8040TA-220M</t>
  </si>
  <si>
    <t>47uH Inductor Bourns SRN8040 8mm</t>
  </si>
  <si>
    <t>SRN8040TA-470M</t>
  </si>
  <si>
    <t>N-Channel MOSFET 100V 5.4A 0.039R</t>
  </si>
  <si>
    <t>FDS3992</t>
  </si>
  <si>
    <t>P-Channel MOSFET 150V 0.8A</t>
  </si>
  <si>
    <t>FDN86265P</t>
  </si>
  <si>
    <t>N-Channel MOSFET 80V 120A 0.002R</t>
  </si>
  <si>
    <t>IPP023N08N5AKSA1</t>
  </si>
  <si>
    <t>Thermistor 100Kohm 4250K</t>
  </si>
  <si>
    <t>NCP18WF104J03RB</t>
  </si>
  <si>
    <t>Resistor 0R1 1W 0612 RCWE</t>
  </si>
  <si>
    <t>RCWE0612R100JNEA</t>
  </si>
  <si>
    <t>Resistor 0R003 2512 1%</t>
  </si>
  <si>
    <t>CSS2H-2512K-3L00FE</t>
  </si>
  <si>
    <t>CAN transceiver low power</t>
  </si>
  <si>
    <t>MAX3051ESA+</t>
  </si>
  <si>
    <t>USB ESD protector</t>
  </si>
  <si>
    <t>PRTR5V0U4D</t>
  </si>
  <si>
    <t>12MHz 30ppm Abracom ABM3</t>
  </si>
  <si>
    <t>ABM3-12.000MHZ-D2Y-T</t>
  </si>
  <si>
    <t>Zener BZX84-C12</t>
  </si>
  <si>
    <t>BZX84C12LT1G</t>
  </si>
  <si>
    <t>RES 7.87K OHM 1% 1/16W 0402</t>
  </si>
  <si>
    <t>RC0402FR-077K87L</t>
  </si>
  <si>
    <t>RES 9.1K OHM 1% 1/16W 0402</t>
  </si>
  <si>
    <t>RC0402FR-079K1L</t>
  </si>
  <si>
    <t>RES 45.3K OHM 1% 1/16W 0402</t>
  </si>
  <si>
    <t>RC0402FR-0745K3L</t>
  </si>
  <si>
    <t>RES 47 OHM 1% 1/16W 0402</t>
  </si>
  <si>
    <t>RC0402FR-0747RL</t>
  </si>
  <si>
    <t>RES 14K OHM 1% 1/16W 0402</t>
  </si>
  <si>
    <t>RC0402FR-0714KL</t>
  </si>
  <si>
    <t>CC0402KRX7R9BB102</t>
  </si>
  <si>
    <t>CAP CER 560PF 50V C0G/NPO 0402</t>
  </si>
  <si>
    <t>CC0402JRNPO9BN561</t>
  </si>
  <si>
    <t>CAP CER 22UF 6.3V X7T 0805</t>
  </si>
  <si>
    <t>GRM21BD70J226ME44L</t>
  </si>
  <si>
    <t>RC0402FR-07680RL</t>
  </si>
  <si>
    <t>RES 1.8K OHM 1% 1/16W 0402</t>
  </si>
  <si>
    <t>RC0402FR-071K8L</t>
  </si>
  <si>
    <t>RES 130K OHM 1% 1/16W 0402</t>
  </si>
  <si>
    <t>RC0402FR-07130KL</t>
  </si>
  <si>
    <t>RES 22K OHM 1% 1/16W 0402</t>
  </si>
  <si>
    <t>RES 4.7K OHM 5% 1W 2512</t>
  </si>
  <si>
    <t>RC2512JK-074K7L</t>
  </si>
  <si>
    <t xml:space="preserve"> 
RES 10 OHM 5% 1/10W 0603</t>
  </si>
  <si>
    <t>RMC1/16-100JTP</t>
  </si>
  <si>
    <t>TL431CLPG</t>
  </si>
  <si>
    <t xml:space="preserve"> 
RES 27K OHM 5% 1/8W 0805</t>
  </si>
  <si>
    <t>RC0805JR-0727KL</t>
  </si>
  <si>
    <t>RES 4.99K OHM 1% 1/10W 0603</t>
  </si>
  <si>
    <t>RC0603FR-074K99L</t>
  </si>
  <si>
    <t>CAP ALUM 22UF/16V</t>
  </si>
  <si>
    <t>EEE-HAC220WAR</t>
  </si>
  <si>
    <t xml:space="preserve"> 
CAP CER 1UF 16V X5R 0402</t>
  </si>
  <si>
    <t>C1005X5R1C105K050BC</t>
  </si>
  <si>
    <t>CRCW040212K1FKED</t>
  </si>
  <si>
    <t xml:space="preserve"> 
RES SMD 390 OHM 5% 1/16W 0402</t>
  </si>
  <si>
    <t>MCR01MZPJ391</t>
  </si>
  <si>
    <t xml:space="preserve"> 
RES SMD 49.9K OHM 1% 1/16W 0402</t>
  </si>
  <si>
    <t>CRCW040249K9FKED</t>
  </si>
  <si>
    <t>CRCW0402270RFKED</t>
  </si>
  <si>
    <t>GRM1555C1H200JZ01D</t>
  </si>
  <si>
    <t>RES SMD 820 OHM 5% 1/16W 0402</t>
  </si>
  <si>
    <t>CRCW0402820RJNED</t>
  </si>
  <si>
    <t>RES 220 OHM 1% 1/16W 0402</t>
  </si>
  <si>
    <t>RES 180 OHM 1% 1/16W 0402</t>
  </si>
  <si>
    <t>RC0402FR-07180RL</t>
  </si>
  <si>
    <t>RES SMD 33K OHM 5% 1/16W 0402</t>
  </si>
  <si>
    <t>CR0402-JW-333GLF</t>
  </si>
  <si>
    <t>RES SMD 100 OHM 1% 1/10W 0402</t>
  </si>
  <si>
    <t>CAP CER 0.1UF 16V X7R 0402</t>
  </si>
  <si>
    <t>RES 47 OHM 5% 1/16W 0402</t>
  </si>
  <si>
    <t>RC0402JR-0747RL</t>
  </si>
  <si>
    <t>CAP CER 0.1UF 25V X8R 0603</t>
  </si>
  <si>
    <t>RES SMD 120 OHM 1% 1/10W 0402</t>
  </si>
  <si>
    <t>ERJ-2RKF1200X</t>
  </si>
  <si>
    <t>CAP CER 2200PF 1KV X7R 1206</t>
  </si>
  <si>
    <t>GRM31BR73A222KW01L</t>
  </si>
  <si>
    <t>CAP CER 0.22UF 16V X5R 0402</t>
  </si>
  <si>
    <t>C1005X5R1C224M050BB</t>
  </si>
  <si>
    <t>IC MCU 32BIT 128KB FLASH 64LQFP</t>
  </si>
  <si>
    <t>STM32F070RBT6</t>
  </si>
  <si>
    <t>IC MCU 32BIT 1MB FLASH 176LQFP</t>
  </si>
  <si>
    <t>STM32F407IGT6</t>
  </si>
  <si>
    <t>PCB GIO_GATEWAY_SUB</t>
  </si>
  <si>
    <t>RES 1.5K OHM 5% 1/16W 0402</t>
  </si>
  <si>
    <t>RC0402JR-071K5L</t>
  </si>
  <si>
    <t>CAP CER 1UF 16V X5R 0402</t>
  </si>
  <si>
    <t>EMK105BJ105KV-F</t>
  </si>
  <si>
    <t>IC, PM8150 PMIC</t>
  </si>
  <si>
    <t>PM-8150B-1-FOWPSP126-MT-02-1</t>
  </si>
  <si>
    <t>PM-8009-1-WLNSP49D-HR-00-0</t>
  </si>
  <si>
    <t xml:space="preserve"> 
CAP CER 1UF 16V X7R 0805</t>
  </si>
  <si>
    <t>DIODE SCHOTTKY 60V 3A SMB</t>
  </si>
  <si>
    <t>MBRS360BT3G</t>
  </si>
  <si>
    <t>IC FLASH 8M SPI 104MHZ 8SOIC</t>
  </si>
  <si>
    <t>AT25SF081-SSHD-B</t>
  </si>
  <si>
    <t>DIODE ZENER 6.2V 500MW SOD123</t>
  </si>
  <si>
    <t>MMSZ5234B-7-F</t>
  </si>
  <si>
    <t>ST3232BTR</t>
  </si>
  <si>
    <t>IC REG MULT CONFIG INV ADJ D2PAK</t>
  </si>
  <si>
    <t xml:space="preserve"> 
CAP CER 1UF 25V X5R 0603</t>
  </si>
  <si>
    <t>TMK107BJ105KA-T</t>
  </si>
  <si>
    <t xml:space="preserve"> 
CAP CER 2.2UF 25V X7R 0805</t>
  </si>
  <si>
    <t>TMK212B7225KG-TR</t>
  </si>
  <si>
    <t xml:space="preserve"> 
CAP CER 10UF 25V X5R 0805</t>
  </si>
  <si>
    <t>CAP CER 0.1UF 50V X5R 0402</t>
  </si>
  <si>
    <t>855382206003</t>
  </si>
  <si>
    <t xml:space="preserve"> 
CAP CER 0.015UF 50V X7R 0402</t>
  </si>
  <si>
    <t>GRM155R71H153KA12J</t>
  </si>
  <si>
    <t>CAP CER 0.047UF 50V X7R 0402</t>
  </si>
  <si>
    <t>C1005X7R1H473K050BB</t>
  </si>
  <si>
    <t>CAP 470UF 16V ELECT M RADIAL</t>
  </si>
  <si>
    <t>CAP 470UF 25V ELECT M RADIAL</t>
  </si>
  <si>
    <t>ECA-1EM471B</t>
  </si>
  <si>
    <t>47UF/25V</t>
  </si>
  <si>
    <t>CAP ALUM 220UF 20% 10V RADIAL TH</t>
  </si>
  <si>
    <t>EEU-EB1A221SH</t>
  </si>
  <si>
    <t xml:space="preserve"> 
CRYSTAL 32.7680KHZ 12.5PF TH</t>
  </si>
  <si>
    <t>FKT38EIHD0.032768</t>
  </si>
  <si>
    <t>Module thu phát không dây XL1276 LORA 868MHz</t>
  </si>
  <si>
    <t>XL1276</t>
  </si>
  <si>
    <t>CAP ALUM 560UF 20% 50V RADIAL TH 5x12.5</t>
  </si>
  <si>
    <t>UHE1H561MHD</t>
  </si>
  <si>
    <t>HEAT SINK 10x16x5</t>
  </si>
  <si>
    <t>HEAT SINK</t>
  </si>
  <si>
    <t>ONG CO NHIET</t>
  </si>
  <si>
    <t>ONG CO 10MM</t>
  </si>
  <si>
    <t>ONG CO 5MM</t>
  </si>
  <si>
    <t>ONG CO 13MM</t>
  </si>
  <si>
    <t>Hàng Rào Cái Đơn 2.54mm 40 Chân 1 Hàng Cao 11.8mm Xuyên Lỗ mạ vàng</t>
  </si>
  <si>
    <t>2.54mm-40x1-FH</t>
  </si>
  <si>
    <t>Hàng Rào Cái Đơn 2.54mm 40 Chân 1 Hàng chân cong mạ vàng</t>
  </si>
  <si>
    <t>HÀNG RÀO CÁI 2.54 CHÂN CONG</t>
  </si>
  <si>
    <t>Hàng Rào Cái Đôi 2.54mm 2x19 chân thẳng cao 11.8mm mạ vàng</t>
  </si>
  <si>
    <t>HÀNG RÀO CÁI ĐÔI 2.54 CHÂN THẲNG</t>
  </si>
  <si>
    <t>Hàng Rào Cái Đôi 2.54mm 40 Chân 2 Hàng Cao 11.8mm Xuyên Lỗ mạ vàng</t>
  </si>
  <si>
    <t>2.54mm-40x2-FH</t>
  </si>
  <si>
    <t>Hàng Rào Đực Đơn 2.54mm 40 Chân 1 Hàng Cao 11.8mm Xuyên Lỗ mạ bạc</t>
  </si>
  <si>
    <t>Hàng Rào Đực Đôi 2.54mm 5 Chân 2 Hàng Cao 11.8mm Xuyên Lỗ mạ vàng</t>
  </si>
  <si>
    <t>Hàng Rào Cái Đơn 2.0mm 40 Chân 1 Hàng Cao 7mm Xuyên Lỗ mạ bạc</t>
  </si>
  <si>
    <t>CONN HEADER VERT 10POS 1.27MM</t>
  </si>
  <si>
    <t>HÀNG RÀO ĐỰC</t>
  </si>
  <si>
    <t>HÀNG RÀO CÁI</t>
  </si>
  <si>
    <t>Hàng Rào Đực Đôi 2.54mm 40 Chân 2 Hàng Cao 11.8mm Xuyên Lỗ mạ bạc</t>
  </si>
  <si>
    <t>VJ0603Y102KXAPW1BC</t>
  </si>
  <si>
    <t>CL10B104KB8NNNL</t>
  </si>
  <si>
    <t>WR06X1002FTL</t>
  </si>
  <si>
    <t>CR0603-FX-1000ELF</t>
  </si>
  <si>
    <t xml:space="preserve"> 
RES 0 OHM JUMPER 1/10W 0603</t>
  </si>
  <si>
    <t xml:space="preserve"> 
RES 2.2K OHM 1% 1/10W 0603</t>
  </si>
  <si>
    <t>RMCF0603FT2K20</t>
  </si>
  <si>
    <t>RES 100K OHM 1% 1/10W 0603</t>
  </si>
  <si>
    <t>RES 2.7K OHM 1% 1/10W 0603</t>
  </si>
  <si>
    <t>RC0603FR-072K7L</t>
  </si>
  <si>
    <t>RES 24.9K OHM 1% 1/10W 0603</t>
  </si>
  <si>
    <t>RC0603FR-0724K9L</t>
  </si>
  <si>
    <t>Thick Film Resistors -33 kOhms RMC 0603 1/10W 1% T/R-5000</t>
  </si>
  <si>
    <t>RES 24K OHM 1% 1/10W 0603</t>
  </si>
  <si>
    <t>RMCF0603FT24K0</t>
  </si>
  <si>
    <t>RES 6.8 kOhms 0603</t>
  </si>
  <si>
    <t>RES 1M OHM 1% 1/10W 0603</t>
  </si>
  <si>
    <t xml:space="preserve"> 
RES 100 OHM 1% 1/10W 0603</t>
  </si>
  <si>
    <t>0R 0805</t>
  </si>
  <si>
    <t>Varistor</t>
  </si>
  <si>
    <t>M3E350E5LB7</t>
  </si>
  <si>
    <t>ĐẾ IC6DIP300</t>
  </si>
  <si>
    <t>DOMINO 2PIN THẲNG XANH LÁ 5.08MM</t>
  </si>
  <si>
    <t>LED TRẮNG 5LY 2 CHÂN</t>
  </si>
  <si>
    <t>IDCMBH14</t>
  </si>
  <si>
    <t xml:space="preserve"> 
CAP CER 10UF 10V X5R 0603</t>
  </si>
  <si>
    <t>GRT188R61A106KE13D</t>
  </si>
  <si>
    <t>CONN HEADER R/A 24POS 3MM</t>
  </si>
  <si>
    <t>470UF/25V</t>
  </si>
  <si>
    <t>VARISTOR 68V 1.5KA DISC 10MM</t>
  </si>
  <si>
    <t>V10E42AUTO</t>
  </si>
  <si>
    <t>VARISTOR 82V 3.5KA DISC 10MM</t>
  </si>
  <si>
    <t>V10E50P</t>
  </si>
  <si>
    <t>Đầu PH2.0mm 2 Chân Thẳng Xuyên Lỗ</t>
  </si>
  <si>
    <t>Đầu PH2.0mm 2 Chân cong Xuyên Lỗ</t>
  </si>
  <si>
    <t>RES SMD 4.7K OHM 5% 1/10W 0402</t>
  </si>
  <si>
    <t>ERJ-2GEJ472X</t>
  </si>
  <si>
    <t>RES SMD 220 OHM 5% 1/10W 0402</t>
  </si>
  <si>
    <t>ERJ-2GEJ221X</t>
  </si>
  <si>
    <t>RES 47 Ohm 0805</t>
  </si>
  <si>
    <t>47 Ohm 0805</t>
  </si>
  <si>
    <t>LOAD SWITCH IC WITH IDEAL DIODE</t>
  </si>
  <si>
    <t>XC8111AA01MR</t>
  </si>
  <si>
    <t>IC MCU 32BIT 256KB FLASH 100LQFP</t>
  </si>
  <si>
    <t>STM32F103VCT6</t>
  </si>
  <si>
    <t xml:space="preserve"> 
IC MCU 32BIT 1MB FLASH 176UFBGA</t>
  </si>
  <si>
    <t>IC DRAM 512MBIT PAR 90VFBGA</t>
  </si>
  <si>
    <t>MT48H16M32LFB5</t>
  </si>
  <si>
    <t>IC FLASH 2GBIT SPI 8UPDFN</t>
  </si>
  <si>
    <t>HL6528-2.8V</t>
  </si>
  <si>
    <t>CAP CER 0.5PF 50V C0G/NP0 0402</t>
  </si>
  <si>
    <t>GJM1555C1HR50BB01D</t>
  </si>
  <si>
    <t>DIODE STANDARD 75V 150MA SOD323</t>
  </si>
  <si>
    <t>1N4148WX-TP</t>
  </si>
  <si>
    <t>T3-Z8</t>
  </si>
  <si>
    <t>4 vòng màu</t>
  </si>
  <si>
    <t>T3-Z6</t>
  </si>
  <si>
    <t>LINH KIỆN SIZE LỚN</t>
  </si>
  <si>
    <t>T4-Z2</t>
  </si>
  <si>
    <t>ĐVT= THANH</t>
  </si>
  <si>
    <t>Xám</t>
  </si>
  <si>
    <t>XANH</t>
  </si>
  <si>
    <t>NÂU</t>
  </si>
  <si>
    <t xml:space="preserve">XANH </t>
  </si>
  <si>
    <t>LK ĐÃ RW</t>
  </si>
  <si>
    <t>ktra lại kích thước xem đúng  ko khi dùng</t>
  </si>
  <si>
    <t>T3-Z9</t>
  </si>
  <si>
    <t>ĐVT= mét</t>
  </si>
  <si>
    <t>AST</t>
  </si>
  <si>
    <t>EMEC</t>
  </si>
  <si>
    <t>STR EBIKA</t>
  </si>
  <si>
    <t>CGV-A ĐOÀN GỬI</t>
  </si>
  <si>
    <t>T4-Z1</t>
  </si>
  <si>
    <t>T4-Z3</t>
  </si>
  <si>
    <t>T4-Z4</t>
  </si>
  <si>
    <t>TỒN CỦ</t>
  </si>
  <si>
    <t>MICRO USB B REC.BOTTOM</t>
  </si>
  <si>
    <t xml:space="preserve"> 
IC RF TXRX ISM&lt;1GHZ 20VFQFN</t>
  </si>
  <si>
    <t>CC1101RGPR</t>
  </si>
  <si>
    <t xml:space="preserve"> 
RES 200K OHM 1% 1/4W 1206</t>
  </si>
  <si>
    <t>RC1206FR-07200KL</t>
  </si>
  <si>
    <t>RES 12K OHM 1% 1/8W 0805</t>
  </si>
  <si>
    <t>RC0805FR-0712KL</t>
  </si>
  <si>
    <t>CAP CER 0.068UF 50V X7R 0805</t>
  </si>
  <si>
    <t xml:space="preserve"> 
CC0805KRX7R9BB683
CC0805JRX7R9BB683</t>
  </si>
  <si>
    <t>SW-4P SMD</t>
  </si>
  <si>
    <t>IPXSMD</t>
  </si>
  <si>
    <t>RES 150 OHM 1% 1/8W 0805</t>
  </si>
  <si>
    <t>RC0805FR-07150RL</t>
  </si>
  <si>
    <t>RES 750 OHM 1% 1/8W 0805</t>
  </si>
  <si>
    <t>RC0805FR-07750RL</t>
  </si>
  <si>
    <t>10UF 10% 16V</t>
  </si>
  <si>
    <t>RES SMD 6.2K OHM 0.5% 1/8W 0805</t>
  </si>
  <si>
    <t>RT0805DRD076K2L</t>
  </si>
  <si>
    <t>RES 51K OHM 1% 1/8W 0805</t>
  </si>
  <si>
    <t>RC0805FR-0751KL</t>
  </si>
  <si>
    <t>RES 402 OHM 1% 1/8W 0805</t>
  </si>
  <si>
    <t>RC0805FR-07402RL</t>
  </si>
  <si>
    <t>RES 220 OHM 1% 1/4W 1206</t>
  </si>
  <si>
    <t>RC1206FR-07220RL</t>
  </si>
  <si>
    <t>CAP CER 8.2PF 50V C0G/NPO 0402</t>
  </si>
  <si>
    <t>CQ0402DRNPO9BN8R2</t>
  </si>
  <si>
    <t>IC RF SWITCH SPDT 2.5GHZ SOT6</t>
  </si>
  <si>
    <t>AS169-73LF</t>
  </si>
  <si>
    <t>RES 56K OHM 1% 1/16W 0402</t>
  </si>
  <si>
    <t>SWITCH SLIDE DIP SPST 0.025A 24V</t>
  </si>
  <si>
    <t>418 217 270 904</t>
  </si>
  <si>
    <t>Tụ 1nF, 50V, 1%, SMD0402</t>
  </si>
  <si>
    <t>GRM1555C1H102FA01D</t>
  </si>
  <si>
    <t>RF MOSFET Transistors N-Ch Radio Freq 0.5 3W 10V VDSS</t>
  </si>
  <si>
    <t>2SK3078A</t>
  </si>
  <si>
    <t>C0603C470J1GACTU</t>
  </si>
  <si>
    <t xml:space="preserve"> 
CAP CER 5.6PF 50V C0G/NPO 0402</t>
  </si>
  <si>
    <t xml:space="preserve"> 
CC0402DRNPO9BN5R6</t>
  </si>
  <si>
    <t xml:space="preserve"> 
CAP CER 3.9PF 50V C0G/NPO 0402</t>
  </si>
  <si>
    <t>CC0402CRNPO9BN3R9</t>
  </si>
  <si>
    <t>1206 5% 0R</t>
  </si>
  <si>
    <t>CR1206J0RP05</t>
  </si>
  <si>
    <t xml:space="preserve"> 
LED RED CLEAR 1206 SMD</t>
  </si>
  <si>
    <t>IC FLASH 8MBIT SPI/QUAD 8SOIC</t>
  </si>
  <si>
    <t>W25Q80DVSNIG</t>
  </si>
  <si>
    <t xml:space="preserve"> 
RES SMT 1206  2.2K</t>
  </si>
  <si>
    <t>NRC12J222TRF</t>
  </si>
  <si>
    <t>LED WHITE DIFFUSED SMD</t>
  </si>
  <si>
    <t>19-217/WD-APQHY/3T</t>
  </si>
  <si>
    <t>1206 5% 1KL</t>
  </si>
  <si>
    <t>NRC12J102TRF</t>
  </si>
  <si>
    <t>CAP CER 27PF 50V C0G/NPO 0603</t>
  </si>
  <si>
    <t>CC0603JRNPO9BN270</t>
  </si>
  <si>
    <t>FIXED IND 27NH 350MA 460MOHM SMD</t>
  </si>
  <si>
    <t>LQG15HS27NJ02D</t>
  </si>
  <si>
    <t xml:space="preserve"> 
DIODE SCHOTTKY 30V 200MA SOD123</t>
  </si>
  <si>
    <t>BAT43W-7-F</t>
  </si>
  <si>
    <t>HF158F/12-ZS3T</t>
  </si>
  <si>
    <t xml:space="preserve"> 
RES 1.5K OHM 1% 1/8W 0805</t>
  </si>
  <si>
    <t xml:space="preserve"> 
A- CASE / 106- CAP CODE / MN02</t>
  </si>
  <si>
    <t xml:space="preserve"> 
TCA1C106K8R</t>
  </si>
  <si>
    <t>FERRITE BEAD 150 OHM 0805 1LN</t>
  </si>
  <si>
    <t>MU2029-151Y</t>
  </si>
  <si>
    <t>CRYSTAL 10.0000MHZ 18PF SMD</t>
  </si>
  <si>
    <t>ABLS-10.000MHZ-D4Y-T</t>
  </si>
  <si>
    <t>IC AMP LTE 400MHZ-2.7GHZ SOT89-4</t>
  </si>
  <si>
    <t>SKY65162-70LF</t>
  </si>
  <si>
    <t>RES 820K OHM 1% 3/4W 2010</t>
  </si>
  <si>
    <t>RC2010FK-07820KL</t>
  </si>
  <si>
    <t xml:space="preserve"> 
IC MCU 8BIT 14KB FLASH 64TQFP</t>
  </si>
  <si>
    <t>PIC16F946T-I/PTC02</t>
  </si>
  <si>
    <t xml:space="preserve"> 
OPTOISO 5KV TRANSISTOR 4DIP</t>
  </si>
  <si>
    <t>K817P</t>
  </si>
  <si>
    <t xml:space="preserve"> 
FERRITE BEAD 600 OHM 0402 1LN</t>
  </si>
  <si>
    <t>0805 5% -39KL</t>
  </si>
  <si>
    <t xml:space="preserve"> 
RES SMD 2.2K OHM 5% 1/8W 0805</t>
  </si>
  <si>
    <t>CR0805J2K2P05</t>
  </si>
  <si>
    <t>FIXED IND 120NH 150MA 1.6OHM SMD</t>
  </si>
  <si>
    <t>LQG15HNR12J02D</t>
  </si>
  <si>
    <t>FIXED IND 33NH 300MA 670MOHM SMD</t>
  </si>
  <si>
    <t>LQG15HN33NJ02D</t>
  </si>
  <si>
    <t>270KOHM 0805</t>
  </si>
  <si>
    <t>CR0805F270KP05</t>
  </si>
  <si>
    <t xml:space="preserve"> 
IC MCU 32BIT 512KB FLASH 64TQFP</t>
  </si>
  <si>
    <t>PIC32MX795F512HT-80I/PT</t>
  </si>
  <si>
    <t>10.000MHZ 30ppm</t>
  </si>
  <si>
    <t>ABLS-10.000MHZ-B4-T</t>
  </si>
  <si>
    <t>Trở 1Kohm 0805</t>
  </si>
  <si>
    <t>CR0805J1KP05</t>
  </si>
  <si>
    <t>Multilayer Ceramic Capacitors MLCC - SMD/SMT 6.3V 47uF X5R 0805 20% HI CV</t>
  </si>
  <si>
    <t>C0805MKX5R5BB476</t>
  </si>
  <si>
    <t xml:space="preserve"> 
CRYSTAL 14.7456MHZ 18PF SMD</t>
  </si>
  <si>
    <t xml:space="preserve"> ABLS-14.7456MHZ</t>
  </si>
  <si>
    <t xml:space="preserve"> 
IC REG LIN POS ADJ 1.5A SOT223-4</t>
  </si>
  <si>
    <t>LM317DCYR</t>
  </si>
  <si>
    <t xml:space="preserve"> 
IC FLASH 16MBIT SPI 50MHZ 8SOIC</t>
  </si>
  <si>
    <t xml:space="preserve"> 
SST25VF016B-50-4C-S2AF-T</t>
  </si>
  <si>
    <t>FERRITE BEAD 1K OHM 0402 1LN</t>
  </si>
  <si>
    <t>BLM15HG102SN1D</t>
  </si>
  <si>
    <t>FIXED IND 27NH 500MA 0.54OHM SMD</t>
  </si>
  <si>
    <t>LQG18HH27NJ00D</t>
  </si>
  <si>
    <t xml:space="preserve"> 
IC EEPROM 1MBIT SPI 20MHZ 8SOIJ</t>
  </si>
  <si>
    <t>25AA1024T-I/SM</t>
  </si>
  <si>
    <t>IC VREF SHUNT ADJ 1% SOT23-3</t>
  </si>
  <si>
    <t>TL431AIDBZR</t>
  </si>
  <si>
    <t>CAP CER 0.033UF 25V X7R 0402</t>
  </si>
  <si>
    <t>GRM155R71E333KA88D</t>
  </si>
  <si>
    <t>GRM1555C1H470FA1D</t>
  </si>
  <si>
    <t>FIXED IND 12NH 400MA 0.4OHM SMD</t>
  </si>
  <si>
    <t>LQG15HN12NJ02D</t>
  </si>
  <si>
    <t>FIXED IND 47UH 140MA 5 OHM SMD</t>
  </si>
  <si>
    <t>NL453232T-470J-PF</t>
  </si>
  <si>
    <t xml:space="preserve"> 
CAP CER 5.6PF 50V C0G/NP0 0402</t>
  </si>
  <si>
    <t>GRM1555C1H5R6WA01D</t>
  </si>
  <si>
    <t>CRYSTAL 26.0000MHZ 18PF SMD</t>
  </si>
  <si>
    <t>ABLS-26.000MHZ-D7G-P-T</t>
  </si>
  <si>
    <t xml:space="preserve"> 
IC OFFLINE SWITCH FLYBACK 8SMD</t>
  </si>
  <si>
    <t>TOP245GN-TL</t>
  </si>
  <si>
    <t>CAP CER 47PF 50V C0G/NPO 0603</t>
  </si>
  <si>
    <t>CC0603GRNP09BN470</t>
  </si>
  <si>
    <t>MOSFET P-CH 20V 6A SOT23F</t>
  </si>
  <si>
    <t>SSM3J328R,LF</t>
  </si>
  <si>
    <t>RES 33K OHM 1% 1/10W 0603</t>
  </si>
  <si>
    <t>FIXED IND 5.6NH 600MA 0.18OHM SM</t>
  </si>
  <si>
    <t>LQG15HN5N6S02D</t>
  </si>
  <si>
    <t xml:space="preserve"> 
±1% 0.125W, 1/8W Chip Resistor 0805 (2012 Metric) Automotive AEC-Q200 Thick Film</t>
  </si>
  <si>
    <t>NRC10J1R0TRF</t>
  </si>
  <si>
    <t>0805 5% 22KL</t>
  </si>
  <si>
    <t>0805X7R 10NF 5% 50V</t>
  </si>
  <si>
    <t>0805B103J500</t>
  </si>
  <si>
    <t>FIXED IND 22NH 350MA 420MOHM SMD</t>
  </si>
  <si>
    <t>LQG15HS22NJ02D</t>
  </si>
  <si>
    <t>RES 39 OHM 1% 1/10W 0603</t>
  </si>
  <si>
    <t>RC0603FR-0739RL</t>
  </si>
  <si>
    <t>RES 6.8 OHM 1% 1/8W 0805</t>
  </si>
  <si>
    <t>RC0805FR-076R8L</t>
  </si>
  <si>
    <t xml:space="preserve"> 
IC MCU 16BIT 128KB FLASH 64TQFP</t>
  </si>
  <si>
    <t>PIC24FJ128GA406T-I/PT</t>
  </si>
  <si>
    <t xml:space="preserve"> 
ERT-J1VG103JA</t>
  </si>
  <si>
    <t xml:space="preserve"> 
RES 787K OHM 1% 1/4W 1206</t>
  </si>
  <si>
    <t>RC1206FR-07787KL</t>
  </si>
  <si>
    <t>RES 100 OHM 1% 1/16W 0402</t>
  </si>
  <si>
    <t>RC0402FR-07100RL</t>
  </si>
  <si>
    <t xml:space="preserve"> 
RES 1 OHM 5% 1/8W 0805</t>
  </si>
  <si>
    <t>RC0805JR-071RL</t>
  </si>
  <si>
    <t>RES 1.5M OHM 5% 1/4W 1206</t>
  </si>
  <si>
    <t>RC1206JR-071M5L</t>
  </si>
  <si>
    <t>SP000745282</t>
  </si>
  <si>
    <t>DIODE ZENER 180V 1.25W DO214AC</t>
  </si>
  <si>
    <t xml:space="preserve"> 
BZG03C180TR</t>
  </si>
  <si>
    <t>CAP CER 27PF 50V C0G/NPO 0402</t>
  </si>
  <si>
    <t>CC0402JRNPO9N270</t>
  </si>
  <si>
    <t>100M1ATR-0405</t>
  </si>
  <si>
    <t xml:space="preserve"> 
RES 680K OHM 5% 1/4W 1206</t>
  </si>
  <si>
    <t>RC1206JR-07680KL</t>
  </si>
  <si>
    <t>CR0805J1K2P05</t>
  </si>
  <si>
    <t xml:space="preserve"> 
IC SUPERVISOR 1 CHANNEL SOT23-5</t>
  </si>
  <si>
    <t>MCP1321T-20</t>
  </si>
  <si>
    <t>RES 2.7K 5% 1/10W 0603</t>
  </si>
  <si>
    <t>RC0603JR-072K7L</t>
  </si>
  <si>
    <t>RES 27K OHM 1% 1/8W 0805</t>
  </si>
  <si>
    <t>RC0805FR-0727KL</t>
  </si>
  <si>
    <t>CAP CER 22PF 50V C0G/NP0 0402</t>
  </si>
  <si>
    <t>GRM1555C1H220FA01D</t>
  </si>
  <si>
    <t>LED GREEN 0805</t>
  </si>
  <si>
    <t xml:space="preserve"> 
RES 33 OHM 1% 3/4W 2010</t>
  </si>
  <si>
    <t>RC2010FK-0733RL</t>
  </si>
  <si>
    <t>A7CC1TC7X713</t>
  </si>
  <si>
    <t xml:space="preserve"> 
IC RTC CLOCK/CALENDAR I2C 20SO</t>
  </si>
  <si>
    <t>PCF2129</t>
  </si>
  <si>
    <t xml:space="preserve"> 
SCHOTTKY DIODE</t>
  </si>
  <si>
    <t>BAT43W-V-GS08</t>
  </si>
  <si>
    <t xml:space="preserve"> 
IC MCU 16BIT 256KB FLASH 64TQFP</t>
  </si>
  <si>
    <t>PIC24FJ256GA406T-I/PT</t>
  </si>
  <si>
    <t xml:space="preserve"> 
CAP CER 0.015UF 1KV X7R 1812</t>
  </si>
  <si>
    <t>C1812KKX7RCBB153</t>
  </si>
  <si>
    <t>TOP243GN-TL</t>
  </si>
  <si>
    <t>AP CER 10PF 50V C0G/NP0 0805</t>
  </si>
  <si>
    <t>TCC0805CG100J500BT</t>
  </si>
  <si>
    <t>100UF/16V</t>
  </si>
  <si>
    <t>0805X7R471</t>
  </si>
  <si>
    <t>ABLS-26.000MHZL4QF</t>
  </si>
  <si>
    <t>Tụ 1pF, 50V, ±0.05pF, SMD0402</t>
  </si>
  <si>
    <t>GRM1555C1H1R0WA01D</t>
  </si>
  <si>
    <t>RES 10 OHM 1% 1/16W 0402</t>
  </si>
  <si>
    <t>CC0402DRNPO9BN8R2</t>
  </si>
  <si>
    <t>RES SMD 243K OHM 1% 1/10W 0402</t>
  </si>
  <si>
    <t>ERJ-2RKF2433X</t>
  </si>
  <si>
    <t>CAP CER 47UF 6.3V X5R 0805</t>
  </si>
  <si>
    <t>0805 5% 220RL</t>
  </si>
  <si>
    <t>DIODE ZENER 8.2V 500MW DO35</t>
  </si>
  <si>
    <t>1N5237BTR</t>
  </si>
  <si>
    <t xml:space="preserve"> 
FIXED IND 120NH 150MA 1.6OHM SMD</t>
  </si>
  <si>
    <t xml:space="preserve"> 
CAP CER 220PF 50V C0G/NPO 0402</t>
  </si>
  <si>
    <t>CC0402FRNPO9BN221</t>
  </si>
  <si>
    <t>ERJ1VG103JA</t>
  </si>
  <si>
    <t>RES 3.3K OHM 1% 1/8W 0805</t>
  </si>
  <si>
    <t>RC0805FR-073K3L</t>
  </si>
  <si>
    <t>2SC1815 Transistor NPN 50V 0.15A 3 Chân TO-92</t>
  </si>
  <si>
    <t>DIODE GEN PURP 75V 200MA LLDS</t>
  </si>
  <si>
    <t>PMLL4148</t>
  </si>
  <si>
    <t>OPTOISOLATOR 5KV TRANS 4DIP</t>
  </si>
  <si>
    <t>PC817X2NSZ0F</t>
  </si>
  <si>
    <t xml:space="preserve"> 
RES 220 OHM 1% 1/10W 0603</t>
  </si>
  <si>
    <t>RC0603FR-07220RL</t>
  </si>
  <si>
    <t xml:space="preserve"> 
OPTOISOLATOR 5KV TRANSISTOR 4SMD</t>
  </si>
  <si>
    <t>FOD817SD</t>
  </si>
  <si>
    <t>DIODE AVAL 600V 1.5A DO214AC</t>
  </si>
  <si>
    <t>BYG20J-E3/TR</t>
  </si>
  <si>
    <t>CAP CER 27PF 50V C0G/NP0 0402</t>
  </si>
  <si>
    <t>GRM1555C1H270FA01D</t>
  </si>
  <si>
    <t>0805 1% 27KL</t>
  </si>
  <si>
    <t>PML4148</t>
  </si>
  <si>
    <t xml:space="preserve"> 
CAP CER 1UF 10V X5R 0805</t>
  </si>
  <si>
    <t>GRM219R61A105KA01D</t>
  </si>
  <si>
    <t>RES SMD 2.55K OHM 1% 1/10W 0402</t>
  </si>
  <si>
    <t>ERJ-2RKF2551X</t>
  </si>
  <si>
    <t xml:space="preserve"> 
IC SWITCH SPDTX2 850MOHM 10LFCSP</t>
  </si>
  <si>
    <t>ADG854BCPZ-REEL7</t>
  </si>
  <si>
    <t>LL4148 GS08</t>
  </si>
  <si>
    <t>50V 100nF X7R ±10% 0805 Multilayer Ceramic Capacitors MLCC - SMD/SMT ROHS</t>
  </si>
  <si>
    <t>TCC0805X7R104K500DT</t>
  </si>
  <si>
    <t>IC REG BUCK PROG 0.64V 20FQFN</t>
  </si>
  <si>
    <t>MIC24045-2ZYFL-TR</t>
  </si>
  <si>
    <t>NUT DRIVR HEX SOCKET 3/8" 3.75"</t>
  </si>
  <si>
    <t>SS12</t>
  </si>
  <si>
    <t>100pF ±10% 50V X7R 0805 Multilayer Ceramic Capacitors MLCC - SMD/SMT RoHS</t>
  </si>
  <si>
    <t>TCC0805X7R101K500BT</t>
  </si>
  <si>
    <t xml:space="preserve"> 
MOSFET N-CH 20V 5.47A SOT23-3</t>
  </si>
  <si>
    <t>DMG3420U-7</t>
  </si>
  <si>
    <t xml:space="preserve"> 
RES 220K OHM 5% 1/16W 0402</t>
  </si>
  <si>
    <t>RC0402JR-07220KL</t>
  </si>
  <si>
    <t xml:space="preserve"> 
RES SMD 887K OHM 1% 1/10W 0402</t>
  </si>
  <si>
    <t>ERJ-2RKF8873X</t>
  </si>
  <si>
    <t>IC MCU 32BIT 32KB FLASH 64LQFP</t>
  </si>
  <si>
    <t>TM4C1230C3PMI7R</t>
  </si>
  <si>
    <t xml:space="preserve"> 
RES 8.2K OHM 5% 1/10W 0603</t>
  </si>
  <si>
    <t>RC0603JR-078K2L</t>
  </si>
  <si>
    <t xml:space="preserve"> 
CRYSTAL 26.0000MHZ 18PF SMD</t>
  </si>
  <si>
    <t>ABLS-26-000MHZ-D7G-F-T</t>
  </si>
  <si>
    <t>CAP ALUM 220UF 20% 50V SMD</t>
  </si>
  <si>
    <t>UUR1H221MNL1GS</t>
  </si>
  <si>
    <t xml:space="preserve"> 
IC REG LINEAR POS ADJ 3A TO263-5</t>
  </si>
  <si>
    <t>220UF/35V SMT</t>
  </si>
  <si>
    <t>Tụ 10pF, 50Vdc, ±5%, SMD0402, Tape&amp;Reel</t>
  </si>
  <si>
    <t>GRM1555C1H100FA01D</t>
  </si>
  <si>
    <t>FIXED IND 18NH 350MA 510MOHM SMD</t>
  </si>
  <si>
    <t>LQG15HN18NJ02D</t>
  </si>
  <si>
    <t>CAP CER 12PF 50V C0G/NP0 0402</t>
  </si>
  <si>
    <t>GRM1555C1H120JA01D</t>
  </si>
  <si>
    <t xml:space="preserve"> 
IC RF SWITCH SPDT 3GHZ SC70-6</t>
  </si>
  <si>
    <t>AS179-92LF</t>
  </si>
  <si>
    <t>FIXED IND 24NH 280MA 0.52OHM SMD 0402</t>
  </si>
  <si>
    <t xml:space="preserve"> 
LQW15AN24NJ00D</t>
  </si>
  <si>
    <t>62 nH Unshielded Drum Core, Wirewound Inductor 145 mA 1.82Ohm Max 0402 (1005 Metric)</t>
  </si>
  <si>
    <t xml:space="preserve"> 
LQW15AN62NJ00D</t>
  </si>
  <si>
    <t xml:space="preserve"> 
FIXED IND 75NH 135MA 2.1OHM SMD</t>
  </si>
  <si>
    <t xml:space="preserve"> 
LQW15AN75NJ00D</t>
  </si>
  <si>
    <t>CAP CER 330PF 50V C0G/NP0 0402</t>
  </si>
  <si>
    <t xml:space="preserve"> 
GRM1555C1H331JA01D</t>
  </si>
  <si>
    <t>GRM1555C1H330JA01D</t>
  </si>
  <si>
    <t>CAP CER 18PF 50V C0G/NP0 0402</t>
  </si>
  <si>
    <t xml:space="preserve"> 
GRM1555C1H180JA01D</t>
  </si>
  <si>
    <t>220 nH Unshielded Multilayer Inductor 120 mA 3.77Ohm Max 0402 (1005 Metric)</t>
  </si>
  <si>
    <t xml:space="preserve"> 
LQG15HSR22J02D</t>
  </si>
  <si>
    <t xml:space="preserve"> 
GRM1555C1H2R4BA01D</t>
  </si>
  <si>
    <t xml:space="preserve"> 
RES 390K OHM 1% 1/4W 1206</t>
  </si>
  <si>
    <t>RC1206FR-07390KL</t>
  </si>
  <si>
    <t xml:space="preserve"> 
IC VREF SHUNT ADJ 1% SOT23-3</t>
  </si>
  <si>
    <t xml:space="preserve"> 
TL431ACDBZR</t>
  </si>
  <si>
    <t xml:space="preserve"> 
IC ENERGY METERING 1PHASE 16SOIC</t>
  </si>
  <si>
    <t xml:space="preserve"> 
AD71056ARZ-R</t>
  </si>
  <si>
    <t>RF TRANS NPN 3.5V 45GHZ SOT343-4</t>
  </si>
  <si>
    <t>BFP520H6327XTSA1</t>
  </si>
  <si>
    <t>FIXED IND 10UH 3.3A 45 MOHM SMD</t>
  </si>
  <si>
    <t>DIODE SCHOTTKY 100V 1A SOD123FL</t>
  </si>
  <si>
    <t>DSS110UTR</t>
  </si>
  <si>
    <t xml:space="preserve"> 
FIXED IND 82UH 120MA 7 OHM SMD</t>
  </si>
  <si>
    <t>NL453232T-820J-PF</t>
  </si>
  <si>
    <t xml:space="preserve"> 
RF TXRX MODULE CELLULAR SMD</t>
  </si>
  <si>
    <t xml:space="preserve"> 
SARA-U270-03S-01</t>
  </si>
  <si>
    <t>FIXED IND 100UH 2.2A 220MOHM SMD</t>
  </si>
  <si>
    <t>FUSE BRD MNT 5A 32VAC 63VDC 1206</t>
  </si>
  <si>
    <t xml:space="preserve"> 
3413.0223.11</t>
  </si>
  <si>
    <t>TRANS NPN DARL 100V 8A DPAK</t>
  </si>
  <si>
    <t>MJD122-TP</t>
  </si>
  <si>
    <t>CAP ALUM 10UF 20% 25V SMD</t>
  </si>
  <si>
    <t>EEE-1EA100WR</t>
  </si>
  <si>
    <t>RES 1.2K 1% 1206</t>
  </si>
  <si>
    <t>RES 4.7KOHM 1206 1%</t>
  </si>
  <si>
    <t>SN74HC574DWR</t>
  </si>
  <si>
    <t>Cap Aluminum 220uF 35V 20% (10 X 10mm) SMD
0.98 Ohm 324mA 2000h 105 T/R</t>
  </si>
  <si>
    <t>RVJ-35V221MH10U-R</t>
  </si>
  <si>
    <t>ROUND STANDOFF M2X0.4 STEEL 2MM</t>
  </si>
  <si>
    <t>9774020243R</t>
  </si>
  <si>
    <t>IC ENERGY HARV CTRLR BATT 20VQFN</t>
  </si>
  <si>
    <t>BQ25570RGRR</t>
  </si>
  <si>
    <t>Inductor Power Unshielded Wirewound 15uH 20%
 100KHz 3.1A 0.046Ohm DCR T/R 1310</t>
  </si>
  <si>
    <t>NPI31W150MTRF</t>
  </si>
  <si>
    <t>SIDAC 75-90V 1A UNI DO-214AC</t>
  </si>
  <si>
    <t>K0820SS1URP</t>
  </si>
  <si>
    <t>ABLS-26.000MHZ-D7G-F-T</t>
  </si>
  <si>
    <t>Trở 0Ω, 0.0625W, SMD0402, Tape&amp;Reel</t>
  </si>
  <si>
    <t xml:space="preserve"> 
RES 499 OHM 1% 1/8W 0805</t>
  </si>
  <si>
    <t>RC0805FR-07499RL</t>
  </si>
  <si>
    <t>RES 6.8K OHM 1% 1/8W 0805</t>
  </si>
  <si>
    <t>RC0805FR-076K8L</t>
  </si>
  <si>
    <t>RES 4.7K OHM 5% 1/8W 0805</t>
  </si>
  <si>
    <t>RES 2.2K OHM 5% 1/8W 0805</t>
  </si>
  <si>
    <t>RC0603JR-072K2L</t>
  </si>
  <si>
    <t>RES 4.7K OHM 5% 1/10W 0805</t>
  </si>
  <si>
    <t>C0603C104K4RAC7867</t>
  </si>
  <si>
    <t xml:space="preserve"> 
CAP CER 4.7UF 25V X5R 0805</t>
  </si>
  <si>
    <t>C0805C475K3PAC7800</t>
  </si>
  <si>
    <t>CAP CER 220PF 50V X7R 0402</t>
  </si>
  <si>
    <t>C0402C221K5RACTU</t>
  </si>
  <si>
    <t>RES 33K OHM 5% 1/8W 0805</t>
  </si>
  <si>
    <t>RC0805JR-0733KL</t>
  </si>
  <si>
    <t>1 OHM 5% 1/8W 0805</t>
  </si>
  <si>
    <t>WR08X1R0JTL</t>
  </si>
  <si>
    <t>C0805C104K5RAC7800</t>
  </si>
  <si>
    <t>RES 0 OHM JUMPER 3/4W 2010</t>
  </si>
  <si>
    <t>RC2010JK-070RL</t>
  </si>
  <si>
    <t xml:space="preserve"> 
CAP CER 22UF 6.3V X5R 0805</t>
  </si>
  <si>
    <t>TPS562201DDCR</t>
  </si>
  <si>
    <t>RES 100 OHM 1% 1/8W 0805</t>
  </si>
  <si>
    <t>PIN Diodes PIN 35 V 100 Ma</t>
  </si>
  <si>
    <t>BA592E6327</t>
  </si>
  <si>
    <t>MOSFET P-CH 12V 6A SOT23-3</t>
  </si>
  <si>
    <t>SI2333DDS-T1-GE3</t>
  </si>
  <si>
    <t>RES SMD 22K OHM 5% 1W 2512</t>
  </si>
  <si>
    <t>CRCW251222K0JNEG</t>
  </si>
  <si>
    <t>KA7805ERTF</t>
  </si>
  <si>
    <t>K0820S1URP</t>
  </si>
  <si>
    <t>KTP-T1</t>
  </si>
  <si>
    <t>KTP-T2-Z2</t>
  </si>
  <si>
    <t>KTP-T2-Z9</t>
  </si>
  <si>
    <t>KTP-T2-Z1</t>
  </si>
  <si>
    <t>KTP-T2-Z8</t>
  </si>
  <si>
    <t>KTP-T2-Z7</t>
  </si>
  <si>
    <t>KTP-T2-Z3</t>
  </si>
  <si>
    <t>KTP-T2-Z4</t>
  </si>
  <si>
    <t>KTP-T2-Z5</t>
  </si>
  <si>
    <t>KTP-T2-Z6</t>
  </si>
  <si>
    <t>KTP-T2-Z10</t>
  </si>
  <si>
    <t>TỒN KHO ĐÃ QC</t>
  </si>
  <si>
    <t>PCB UPowerKit 2.0</t>
  </si>
  <si>
    <t>MTFDDAK480 TDS-1AW12ABYY</t>
  </si>
  <si>
    <t>MTFDDAK960 TDS-1AW12ABYY</t>
  </si>
  <si>
    <t>Điện trở 2W 4R7</t>
  </si>
  <si>
    <t>MF2W 4-7Ohm 1%</t>
  </si>
  <si>
    <t>01-21N-FUSE</t>
  </si>
  <si>
    <t>IC REG LINEAR POS ADJ 3A 8SOP</t>
  </si>
  <si>
    <t>RT9059GSP</t>
  </si>
  <si>
    <t xml:space="preserve">Máy bom nước </t>
  </si>
  <si>
    <t>SPX-12-8</t>
  </si>
  <si>
    <t>NK23-10-32</t>
  </si>
  <si>
    <t>Breadboard-Half size</t>
  </si>
  <si>
    <t>Low-Power LEDs</t>
  </si>
  <si>
    <t>STF0A36C-03</t>
  </si>
  <si>
    <t>High-Power LED | SMD | 3535 | 6500 K | CRI &gt;70
Type: High Performance LED
Color: Cool White
Binning: 5 step
Vf: 2,95 V</t>
  </si>
  <si>
    <t>SZ5-M4-W0-C7</t>
  </si>
  <si>
    <t xml:space="preserve"> Nguồn AC-DC Mini 5V 700mA 30x20x17.5mm</t>
  </si>
  <si>
    <t>HH003870</t>
  </si>
  <si>
    <t>Tactile Switches SWITCH TACTILE</t>
  </si>
  <si>
    <t>PTS645SK50SMTR92LFS</t>
  </si>
  <si>
    <t>IC RFID TRANSPONDER MODULE</t>
  </si>
  <si>
    <t>LXMSJZNCMD-217</t>
  </si>
  <si>
    <t>IC REG BOOST FLYBACK ADJ 8SOIC</t>
  </si>
  <si>
    <t>LM5002MAX/NOPB</t>
  </si>
  <si>
    <t>R5F5631EDDFPRX631E</t>
  </si>
  <si>
    <t>KHO 2 XK</t>
  </si>
  <si>
    <t>Sample</t>
  </si>
  <si>
    <t>VIETSONIC</t>
  </si>
  <si>
    <t>AXON</t>
  </si>
  <si>
    <t>XELEN</t>
  </si>
  <si>
    <t>Solar BK/Sample</t>
  </si>
  <si>
    <t>KHO 1</t>
  </si>
  <si>
    <t>TM/SAMPLE</t>
  </si>
  <si>
    <t>CAP CER 10UF 35V 10% X5R 1206</t>
  </si>
  <si>
    <t>GMK316BJ106KL-T</t>
  </si>
  <si>
    <t>CAP CER 10UF 10V 10% X5R 0805</t>
  </si>
  <si>
    <t>CC0805KKX5R6BB106</t>
  </si>
  <si>
    <t>CAP CER 0.01uF 10% 50V X7R 0805</t>
  </si>
  <si>
    <t>GRM216R71H103KA01D</t>
  </si>
  <si>
    <t>CAP CER 0.47UF 16V 10% X7R 0805</t>
  </si>
  <si>
    <t>EMK212B7474KD-T</t>
  </si>
  <si>
    <t>CAP CER 0.22UF 50V X7R 0805</t>
  </si>
  <si>
    <t>CL21B224KBFSFNE</t>
  </si>
  <si>
    <t>DIODE SCHOTTKY 100V 3A DO214AC</t>
  </si>
  <si>
    <t>SK310A-LTP</t>
  </si>
  <si>
    <t>LED ORANGE CLEAR 0805 SMD</t>
  </si>
  <si>
    <t>LTST-C170KFKT</t>
  </si>
  <si>
    <t>DIODE ZENER 10V 500MW SOD80</t>
  </si>
  <si>
    <t>TZM5240B-GS08</t>
  </si>
  <si>
    <t>DIODE GEN PURP 200V 200MA SOD323</t>
  </si>
  <si>
    <t>BAV21WS-7-F</t>
  </si>
  <si>
    <t>Zener Diodes 500MW 34V</t>
  </si>
  <si>
    <t>DDZ34-7</t>
  </si>
  <si>
    <t>FERRITE CHIP 11 OHM 2000MA 0805</t>
  </si>
  <si>
    <t>CIB21P110NE</t>
  </si>
  <si>
    <t>MOSFET P-CH 40V 180A TO263-7</t>
  </si>
  <si>
    <t>IPB180P04P4L02ATMA1</t>
  </si>
  <si>
    <t>MOSFET N-CH 55V 12A SOT223</t>
  </si>
  <si>
    <t>BUK9832-55A/CUX</t>
  </si>
  <si>
    <t>MOSFET N-CH 60V 3.8A SOT223</t>
  </si>
  <si>
    <t>ZXMN6A08GQTA</t>
  </si>
  <si>
    <t>RES SMD 22K OHM 5% 1/8W 0805</t>
  </si>
  <si>
    <t>RMCF0805JT22K0</t>
  </si>
  <si>
    <t>RES SMD 2.49M OHM 1% 1/8W 0805</t>
  </si>
  <si>
    <t>RC0805FR-072M49L</t>
  </si>
  <si>
    <t>RES 140K OHM 1/8W 1% 0805 SMD</t>
  </si>
  <si>
    <t>RC0805FR-07140KL</t>
  </si>
  <si>
    <t>RES 220K OHM 1/8W 5% 0805 SMD</t>
  </si>
  <si>
    <t>RC0805JR-07220KL</t>
  </si>
  <si>
    <t>RES SMD 330K OHM 1% 1/8W 0805</t>
  </si>
  <si>
    <t>RMCF0805FT330K</t>
  </si>
  <si>
    <t>RES 10.0K OHM 1/8W 1% 0805 SMD</t>
  </si>
  <si>
    <t>RC0805FR-0722KL</t>
  </si>
  <si>
    <t>RES 560 OHM 1/8W 5% 0805 SMD</t>
  </si>
  <si>
    <t>RC0805JR-07560RL</t>
  </si>
  <si>
    <t>RES 100 OHM 1/8W 5% 0805 SMD</t>
  </si>
  <si>
    <t>ERJ-P06J101V</t>
  </si>
  <si>
    <t>RES 1.00K OHM 1/8W 1% 0805 SMD</t>
  </si>
  <si>
    <t>RC0805FR-071KL</t>
  </si>
  <si>
    <t>RES 2.00K OHM 1/8W 1% 0805 SMD</t>
  </si>
  <si>
    <t>RC0805FR-072KL</t>
  </si>
  <si>
    <t>RES 100K OHM 1/8W 1% 0805 SMD</t>
  </si>
  <si>
    <t>RES 10 OHM 1/8W 5% 0805 SMD</t>
  </si>
  <si>
    <t>RC0805JR-0710RL</t>
  </si>
  <si>
    <t>IC INVERTER O-D OUTPUT 6TSOP</t>
  </si>
  <si>
    <t>74LVC2G06GV,125</t>
  </si>
  <si>
    <t>PCB 6L 2/2OZ FR4 tg170 238.76*127mm</t>
  </si>
  <si>
    <t>PCB EZ_MAIN_POWER_V08B_17Nov24</t>
  </si>
  <si>
    <t>ADE</t>
  </si>
  <si>
    <t>TERM REDCUBE M4 1PIN SMD</t>
  </si>
  <si>
    <t>Đai ốc M4</t>
  </si>
  <si>
    <t xml:space="preserve">Đầu cose tròn  RV2-4 </t>
  </si>
  <si>
    <t>Long đền M4</t>
  </si>
  <si>
    <t>LED COOL WHITE 5000K 70CRI</t>
  </si>
  <si>
    <t xml:space="preserve">M4-304 NUT </t>
  </si>
  <si>
    <t>M4*9*0.8</t>
  </si>
  <si>
    <t>SZ8-Y50-W0-C7-P</t>
  </si>
  <si>
    <t>PCB Gerber_PGH_new</t>
  </si>
  <si>
    <t xml:space="preserve">RV2-4  RED </t>
  </si>
  <si>
    <t>RV2-4  BLUE</t>
  </si>
  <si>
    <t>PGH</t>
  </si>
  <si>
    <t>STL40DN3LLH5</t>
  </si>
  <si>
    <t>MOSFET 2N-CH 30V 40A POWERFLAT</t>
  </si>
  <si>
    <t>GCM1555C1H221JA16D</t>
  </si>
  <si>
    <t>CAP CER 220PF 50V C0G/NP0 0402</t>
  </si>
  <si>
    <t>GCQ1555C1H220JB01D</t>
  </si>
  <si>
    <t>RES 200K OHM 1% 1/16W 0402</t>
  </si>
  <si>
    <t>BLM15AX601SN1D</t>
  </si>
  <si>
    <t>NL1K0.520.2FW.B.007</t>
  </si>
  <si>
    <t xml:space="preserve"> 
SENSOR RTD 1000OHM RADIAL</t>
  </si>
  <si>
    <t>Mã hàng</t>
  </si>
  <si>
    <t>Tồn kho cuối kỳ</t>
  </si>
  <si>
    <t>Mã kho</t>
  </si>
  <si>
    <t>EMEC SAMPLE KHCC</t>
  </si>
  <si>
    <t>KHO 2 XK-Z1</t>
  </si>
  <si>
    <t>691321300005</t>
  </si>
  <si>
    <t>691321300006</t>
  </si>
  <si>
    <t>691361300005</t>
  </si>
  <si>
    <t>Schottky Diodes &amp; Rectifiers 3a 40V Rectifier Schottky Barrier DO-214AB</t>
  </si>
  <si>
    <t>RES 0 OHM JUMPER 1/8W 0805</t>
  </si>
  <si>
    <t>RC0805JR-070RL</t>
  </si>
  <si>
    <t>RC1206JR-0710KL</t>
  </si>
  <si>
    <t>OPTOISOLATOR 3.75KV TRANS 4-SO</t>
  </si>
  <si>
    <t>TLP291(YH-TP,SE</t>
  </si>
  <si>
    <t>CAP CER 22UF 25V X7R 1210</t>
  </si>
  <si>
    <t>TMK325B7226MMHP</t>
  </si>
  <si>
    <t>TVS DIODE 5VWM 12.5VC SC70-6</t>
  </si>
  <si>
    <t>SMF05C.TCT</t>
  </si>
  <si>
    <t>TVS DIODE 5.5VWM 10VC SC88</t>
  </si>
  <si>
    <t>NUP4114UCW1T2G</t>
  </si>
  <si>
    <t>LI0603G121R-10</t>
  </si>
  <si>
    <t>FIXED IND 4.7UH 1.7A 84 MOHM SMD</t>
  </si>
  <si>
    <t>NRS4018T4R7MDGJV</t>
  </si>
  <si>
    <t>RES 100K OHM 5% 1/10W 0603</t>
  </si>
  <si>
    <t>RC0603JR-10100K</t>
  </si>
  <si>
    <t>RES 13K OHM 1% 1/10W 0603</t>
  </si>
  <si>
    <t>RC0603FR-0713KL</t>
  </si>
  <si>
    <t>ERJ-3EKF1202V</t>
  </si>
  <si>
    <t>RC0603FR-076K8L</t>
  </si>
  <si>
    <t>RES 22K OHM 5% 1/10W 0603</t>
  </si>
  <si>
    <t>RES 2.15K OHM 1% 1/10W 0603</t>
  </si>
  <si>
    <t>RC0603FR-072K15L</t>
  </si>
  <si>
    <t>RES 2.2K OHM 1% 1/10W 0603</t>
  </si>
  <si>
    <t>Ambient Light Sensor Phototransistor Output</t>
  </si>
  <si>
    <t>TEPT5700</t>
  </si>
  <si>
    <t>RES 33 OHM 1% 1/10W 0603</t>
  </si>
  <si>
    <t>RC0603FR-0733RL</t>
  </si>
  <si>
    <t>0603WAF330JT5E</t>
  </si>
  <si>
    <t xml:space="preserve">Rigid PCB, 4Layer,FR4 , T=1.6mm,
Finished copper:1/1/1/1 OZ, HASL Lead Free
Green soldermak, white silkscreen
Piece Size(mm) 68 x 68
Array 4
Panel size(mm) 138 x 150 </t>
  </si>
  <si>
    <t>PCB PWR_Node 1</t>
  </si>
  <si>
    <t>Rigid PCB, 2Layer,FR4 , T=1.6mm,
Finished copper:1/1 OZ, HASL Lead Free
Green soldermak, white silkscreen
Piece Size
(mm) 68 x 68
Array 4
Panel size (mm)  138 x 150</t>
  </si>
  <si>
    <t>PCB RF_Node 1</t>
  </si>
  <si>
    <t>BRIDGE RECT 1P 600V 500MA 4-SOIC</t>
  </si>
  <si>
    <t>DIODE SCHOTTK 60V 1A SOD128/CFP5</t>
  </si>
  <si>
    <t>PMEG6010EP,115</t>
  </si>
  <si>
    <t>RC0603FR-0760K4L</t>
  </si>
  <si>
    <t>RC0603JR-07100RP</t>
  </si>
  <si>
    <t>FC-135 32.7680KA-A3</t>
  </si>
  <si>
    <t>100uF 16V 240mA@100kHz ±20% SMD,D6.3xL5.8mm Aluminum Electrolytic Capacitors - SMD ROHS</t>
  </si>
  <si>
    <t>EEE-FK1C101P</t>
  </si>
  <si>
    <t>CC0603KRX7R9BB104</t>
  </si>
  <si>
    <t>50V 33pF NP0 ±5% 0603 Multilayer Ceramic Capacitors MLCC - SMD/SMT ROHS</t>
  </si>
  <si>
    <t>50V 2.2pF NP0 0603 Multilayer Ceramic Capacitors MLCC - SMD/SMT ROHS</t>
  </si>
  <si>
    <t>CC0603CRNPO9BN2R2</t>
  </si>
  <si>
    <t>25V 1uF X5R ±10% 0603 Multilayer Ceramic Capacitors MLCC - SMD/SMT ROHS</t>
  </si>
  <si>
    <t>CL10A105KA8NNNC</t>
  </si>
  <si>
    <t>500mΩ ±25% 600Ω@100MHz 0603 Ferrite Beads ROHS</t>
  </si>
  <si>
    <t>FCM1608KF-601T03</t>
  </si>
  <si>
    <t>Tactile Switch 3x4mm Height 2.5mm 2 Pin SMD</t>
  </si>
  <si>
    <t xml:space="preserve">Hub/Adapter </t>
  </si>
  <si>
    <t>CF-RFT-IPEX01</t>
  </si>
  <si>
    <t>RES 12.1K OHM 1% 1/10W 0603</t>
  </si>
  <si>
    <t>100mW Thick Film Resistors 75V ±100ppm/℃ ±1% 27kΩ 0603 Chip Resistor - Surface Mount ROHS</t>
  </si>
  <si>
    <t>CR0603-FX-2702ELF</t>
  </si>
  <si>
    <t>CAP CER 0603 12PF 25V ULTRA STAB</t>
  </si>
  <si>
    <t>C0603C120M3HACAUTO</t>
  </si>
  <si>
    <t>C0805KRX7R9BB683</t>
  </si>
  <si>
    <t>Independent Type 5.2V~6V 500mW 5.6V LL-34 Zener Diodes ROHS</t>
  </si>
  <si>
    <t>ZMM5V6</t>
  </si>
  <si>
    <t>3.4V~3.8V 500mW 3.6V LL-34 Zener Diodes ROHS</t>
  </si>
  <si>
    <t>ZMM3V6</t>
  </si>
  <si>
    <t>LED YELLOW CLEAR CHIP SMD</t>
  </si>
  <si>
    <t>QTLP600C3TR</t>
  </si>
  <si>
    <t>Resistor 1 kOhms ±5% 0.125W, 1/8W Chip  0603 (1608 Metric) Automotive AEC-Q200 Thick Film</t>
  </si>
  <si>
    <t>CRCW06031K00JNEA</t>
  </si>
  <si>
    <t>125mW Thick Film Resistors ±100ppm/℃ ±1% 390kΩ 0805 Chip Resistor - Surface Mount ROHS</t>
  </si>
  <si>
    <t>CR0805-FX-3903ELF</t>
  </si>
  <si>
    <t>125mW Thick Film Resistors 150V ±1% ±100ppm/℃ 510Ω 0805 Chip Resistor - Surface Mount ROHS</t>
  </si>
  <si>
    <t>CRCW0805510RFKEA</t>
  </si>
  <si>
    <t>RES SMD 1 OHM 5% 1/4W 1206</t>
  </si>
  <si>
    <t>CRCW12061R00JNEA</t>
  </si>
  <si>
    <t>Tactile Switch 3x4mm Height 2.5mm 4 Pin SMD</t>
  </si>
  <si>
    <t>SMD4 3MX4MX2M5</t>
  </si>
  <si>
    <t xml:space="preserve"> 
OPTOISO 3.75KV 1CH TRANS 4-SSOP</t>
  </si>
  <si>
    <t>EL3H7(TA)-VG</t>
  </si>
  <si>
    <t>8MHz 3225 Passive Crystal Oscillator 4-Pin SMD</t>
  </si>
  <si>
    <t>8MHz 3225 SMD4</t>
  </si>
  <si>
    <t>Tactile Switch 6x6mm Height 6mm 4 Pin Through Hole</t>
  </si>
  <si>
    <t>Button_6x6x6_4P</t>
  </si>
  <si>
    <t>Layer Count： 2 L Rigid board ; Copper Thickness ： 1/1OZ ; Smallest hole：≥8mil
Material Type： FR4 tg130 ; Board Size：35.53*73.15mm ; Blind&amp;burried Vias：NO
Surface Finish： ENIG 1U'' ; Array Size：81.06*146.3mm （4UP） ; Hole to Track Spacing：No
Gold finger(Pin) ： NO ; Board Thickness ： 1.6mm ; Non-Conductive Resin：NO
IPC Standard ： IPC 2 ; Track Width&amp;Gap ：≥4/4mil ; Conductive Resin：NO
Soldermask Colour：Green ;  Impedance Control： YES
Silkscreen Colour： White;  Others:date code</t>
  </si>
  <si>
    <t>PCB EXT_PCB_Gerber_Release_20250119 (1)</t>
  </si>
  <si>
    <t>CAP CER 10UF 16V X7R 0805</t>
  </si>
  <si>
    <t>CAP CER 12PF 50V X7R 0603</t>
  </si>
  <si>
    <t>06035C120J4T2A</t>
  </si>
  <si>
    <t>CAP CER 330NF 50V X7R 0603</t>
  </si>
  <si>
    <t>06035C334KAT2A</t>
  </si>
  <si>
    <t>GCD188R71H103KA01D</t>
  </si>
  <si>
    <t>CAP CER 33NF 50V X7R 0603</t>
  </si>
  <si>
    <t>06035C333KAT2A</t>
  </si>
  <si>
    <t>CAP CER 470PF 100V X7R 0603</t>
  </si>
  <si>
    <t>06031C471KAZ2A</t>
  </si>
  <si>
    <t>DIODE SCHOTTKY 60V 1A SOD128</t>
  </si>
  <si>
    <t>RES 2K OHM 5% 1/10W 0603</t>
  </si>
  <si>
    <t>Multilayer Ceramic Capacitors MLCC - SMD/SMT 25V 0.047uF X7R 0603 10%</t>
  </si>
  <si>
    <t>Crim VH3.96</t>
  </si>
  <si>
    <t>Nhà sản xuất</t>
  </si>
  <si>
    <t>Đầu nối chưa hoàn chỉnh Connector 19P Male Plug Black 1.6MM Connector HDMI 19PIN.</t>
  </si>
  <si>
    <t>Connector HDMI 19PIN</t>
  </si>
  <si>
    <t>CONN HEADER SMD R/A 15POS 1.25MM</t>
  </si>
  <si>
    <t>DF14A-15P-1.25H(52)</t>
  </si>
  <si>
    <t>Đầu nối chưa hoàn chỉnh Connector 20Pin Male For 1.6mm PCB DP09-MXXXX-003.</t>
  </si>
  <si>
    <t>DP09-MXXXX-003</t>
  </si>
  <si>
    <t>Đầu nối chưa hoàn chỉnh Connector 1.6mm 19P A Male Plug Connector HD01-AMXX5T-001-X-V4.</t>
  </si>
  <si>
    <t>HD01-AMXX5T-001-X-V4</t>
  </si>
  <si>
    <t>Nam châm từ Magnet 5x2mm HXMS5-2.</t>
  </si>
  <si>
    <t>HXMS5-2</t>
  </si>
  <si>
    <t>Mạch in PCB 96 Gender PCB 2Layer FR4 T=0.3mm.</t>
  </si>
  <si>
    <t>PCB 96 Gender</t>
  </si>
  <si>
    <t>Mạch in PCB USB to HDR PCB 2Layer FR4 T=1.6mm.</t>
  </si>
  <si>
    <t>PCB USB to HDR_P25</t>
  </si>
  <si>
    <t>Tấm khuôn hàn dán Solder Paste Stencil PCB_DP to HDR_P20.</t>
  </si>
  <si>
    <t>PCB_DP to HDR_P20</t>
  </si>
  <si>
    <t>Tấm khuôn hàn dán Solder Paste Stencil PCB_HDMI to HDR_P21.</t>
  </si>
  <si>
    <t>PCB_HDMI to HDR_P21</t>
  </si>
  <si>
    <t>Đầu nối cáp điện kiểu giắc cắm RCPT USB2.0 TYPEA 4POS R/A UE27AC54100.</t>
  </si>
  <si>
    <t>UE27AC54100</t>
  </si>
  <si>
    <t>HCI</t>
  </si>
  <si>
    <t>47uF 50V 195mA@100kHz 680mΩ@100kHz ±20% SMD,D6.3xL5.8mm Aluminum Electrolytic Capacitors - SMD ROHS</t>
  </si>
  <si>
    <t>EEEFT1H470AP</t>
  </si>
  <si>
    <t>20mA -40℃~+85℃ 615nm~630nm Red 60mW 1.8V~2.4V 0805 LED Indication - Discrete ROHS</t>
  </si>
  <si>
    <t>YLED0805R</t>
  </si>
  <si>
    <t>MF-MSMF050-2</t>
  </si>
  <si>
    <t>YPRH0704-330M</t>
  </si>
  <si>
    <t>125mW Thick Film Resistors 150V ±100ppm/℃ ±1% 1kΩ 0805 Chip Resistor - Surface Mount ROHS</t>
  </si>
  <si>
    <t>USB 2.0 1 5P Female -55℃~+85℃ Micro-B Plugin USB Connectors ROHS</t>
  </si>
  <si>
    <t>USB3131-30-0230-A</t>
  </si>
  <si>
    <t>GDT 300V 15KA 2 POLE TH</t>
  </si>
  <si>
    <t>2049-30-BT1LF</t>
  </si>
  <si>
    <t>20kA ±20% 600V 2 Gas Discharge Tube Arresters (GDT) ROHS</t>
  </si>
  <si>
    <t>2RP600L-8/B</t>
  </si>
  <si>
    <t>PCB GERBER_PJ2</t>
  </si>
  <si>
    <r>
      <t>C1005C0G1H100D</t>
    </r>
    <r>
      <rPr>
        <sz val="10"/>
        <color rgb="FFFF0000"/>
        <rFont val="Calibri Light"/>
        <family val="1"/>
        <scheme val="major"/>
      </rPr>
      <t>T000F</t>
    </r>
  </si>
  <si>
    <r>
      <t xml:space="preserve">100 </t>
    </r>
    <r>
      <rPr>
        <sz val="10"/>
        <color rgb="FFFF0000"/>
        <rFont val="Calibri Light"/>
        <family val="2"/>
        <scheme val="major"/>
      </rPr>
      <t xml:space="preserve">Ohms </t>
    </r>
    <r>
      <rPr>
        <sz val="10"/>
        <color theme="1"/>
        <rFont val="Calibri Light"/>
        <family val="2"/>
        <scheme val="major"/>
      </rPr>
      <t>±5% 0.05W, 1/20W Chip Resistor 0201 (0603 Metric) Automotive AEC-Q200 Thick Film</t>
    </r>
  </si>
  <si>
    <r>
      <t>Rigid PCB, 4Layer,FR4</t>
    </r>
    <r>
      <rPr>
        <sz val="10"/>
        <color rgb="FFFF0000"/>
        <rFont val="Times New Roman"/>
        <family val="1"/>
      </rPr>
      <t xml:space="preserve">TG150 </t>
    </r>
    <r>
      <rPr>
        <sz val="10"/>
        <color rgb="FF000000"/>
        <rFont val="Times New Roman"/>
        <family val="1"/>
      </rPr>
      <t>, T=1.6mm,Finished copper:1/1/1/1 OZ, immersion gold Blue soldermak, white silkscreen. Piece size:65 x 56 mm.Panel size: 75 x 113.6mm. Array:2</t>
    </r>
  </si>
  <si>
    <r>
      <t>S1W0-3030</t>
    </r>
    <r>
      <rPr>
        <sz val="10"/>
        <color indexed="10"/>
        <rFont val="Times New Roman"/>
        <family val="1"/>
      </rPr>
      <t>30</t>
    </r>
    <r>
      <rPr>
        <sz val="10"/>
        <color indexed="8"/>
        <rFont val="Times New Roman"/>
        <family val="1"/>
      </rPr>
      <t>7006-00000000-0S004</t>
    </r>
  </si>
  <si>
    <r>
      <t>S1W0-3030</t>
    </r>
    <r>
      <rPr>
        <sz val="10"/>
        <color indexed="10"/>
        <rFont val="Times New Roman"/>
        <family val="1"/>
      </rPr>
      <t>40</t>
    </r>
    <r>
      <rPr>
        <sz val="10"/>
        <color indexed="8"/>
        <rFont val="Times New Roman"/>
        <family val="1"/>
      </rPr>
      <t>7006-00000000-0S004</t>
    </r>
  </si>
  <si>
    <t>X0064ABXUMA1</t>
  </si>
  <si>
    <t>PCB ATM1301 V5.8.2</t>
  </si>
  <si>
    <t>PCB ATM2802-H</t>
  </si>
  <si>
    <t>LOẠI CỦ 2023</t>
  </si>
  <si>
    <t>MMBT3904VL</t>
  </si>
  <si>
    <t>PCB adapter_MAX14589E EWL</t>
  </si>
  <si>
    <t>PCBA PJRC Teensy 4.1</t>
  </si>
  <si>
    <t>RES 39 OHM 5% 1/8W 0805</t>
  </si>
  <si>
    <t>PUSH-BUTTON;SPST-NO,32V,50MA,KMR621NG LFS</t>
  </si>
  <si>
    <t>KMR621NGLFS</t>
  </si>
  <si>
    <t>BKN</t>
  </si>
  <si>
    <t>Module RFID RC522 NFC 13.56 Mhz</t>
  </si>
  <si>
    <t>PDTD113ZT.215</t>
  </si>
  <si>
    <t>RC0402JR-071KL</t>
  </si>
  <si>
    <t>CAP CER 10UF 6.3V X5R 0402</t>
  </si>
  <si>
    <t>Cổng IDC 20 Chân 2 Hàng 2.54mm Màu Đen</t>
  </si>
  <si>
    <t>EPI</t>
  </si>
  <si>
    <t>ERJ-2GE0R00X</t>
  </si>
  <si>
    <t>ERJ3EKF1504V</t>
  </si>
  <si>
    <t>ERJ3EKF1603V</t>
  </si>
  <si>
    <t>ERJ3EKF2202V</t>
  </si>
  <si>
    <t>ERJ3EKF2701V</t>
  </si>
  <si>
    <t>ERJ3GEY0R00V</t>
  </si>
  <si>
    <t>ERJ3GEYJ101V</t>
  </si>
  <si>
    <t>ERJPA3F1002V</t>
  </si>
  <si>
    <t>ERTJ1VG103FA</t>
  </si>
  <si>
    <t>G6E-134P-US DC12</t>
  </si>
  <si>
    <t>PCB RATE 3.0</t>
  </si>
  <si>
    <t>Bu lông M4x6</t>
  </si>
  <si>
    <t>CABLE 24AWG NO SHIELD 2 CORE</t>
  </si>
  <si>
    <t>EO508 RED</t>
  </si>
  <si>
    <t>GB819 M3 x 5mm màu đen</t>
  </si>
  <si>
    <t>RC2122CWR</t>
  </si>
  <si>
    <t>0.1 ÂµF Â±10% 50V Ceramic Capacitor X7R 0402 (1005 Metric)</t>
  </si>
  <si>
    <t>GCM155R71H104KE02J</t>
  </si>
  <si>
    <t>CAP CER 4.7UF 50V X7R 1210</t>
  </si>
  <si>
    <t>GCM32ER71H475KA55K</t>
  </si>
  <si>
    <t>UWD1V221MCL1GS</t>
  </si>
  <si>
    <t>CAP CER 22UF 10V X7R 1210</t>
  </si>
  <si>
    <t>GCM32ER71A226KE12L</t>
  </si>
  <si>
    <t>CAP CER 1UF 16V X7R 0805</t>
  </si>
  <si>
    <t>GCM21BR71C105KA58K</t>
  </si>
  <si>
    <t>C0402C105K4PACTU</t>
  </si>
  <si>
    <t>CAP CER 10UF 10V Y5V 0805</t>
  </si>
  <si>
    <t>CC0805ZKY5V6BB106</t>
  </si>
  <si>
    <t>CAP CER 0.047UF 25V X7R 0402</t>
  </si>
  <si>
    <t>CC0402KRX7R8BB473</t>
  </si>
  <si>
    <t>CAP CER 22UF 10V X5R 0805</t>
  </si>
  <si>
    <t>LMK212BJ226MGT</t>
  </si>
  <si>
    <t>CAP CER 4.7UF 10V X5R 0805</t>
  </si>
  <si>
    <t>CL21A475KPFNNNE</t>
  </si>
  <si>
    <t>CAP CER 100NF 10V X7R 0402</t>
  </si>
  <si>
    <t>CL05B104KP5VPNC</t>
  </si>
  <si>
    <t>CL05A225KP5NNNC</t>
  </si>
  <si>
    <t>CAP CER 33PF 50V C0G/NPO 0402</t>
  </si>
  <si>
    <t>CAP CER 3.9PF 50V C0G/NPO 0402</t>
  </si>
  <si>
    <t>KGM05ACG1H100JH</t>
  </si>
  <si>
    <t>CAP CER 1.8PF 50V C0G/NP0 0201</t>
  </si>
  <si>
    <t>GRM0335C1H1R8CA01D</t>
  </si>
  <si>
    <t>WS4.5D3HP</t>
  </si>
  <si>
    <t>SK34A-L-TP</t>
  </si>
  <si>
    <t>DIODE GEN PURP 100V 200MA SOD123</t>
  </si>
  <si>
    <t>MMSD4148T1G</t>
  </si>
  <si>
    <t>TVS DIODE 3.3VWM 26VC SOD323</t>
  </si>
  <si>
    <t>PESD3V3L1BA,115</t>
  </si>
  <si>
    <t>TVS DIODE 20VWM 32.4VC SMB</t>
  </si>
  <si>
    <t>SMBJ20A-13-F</t>
  </si>
  <si>
    <t>MOSFET P-CH 12V 4A SOT23</t>
  </si>
  <si>
    <t>DMP1045U-7</t>
  </si>
  <si>
    <t>Conn Coaxial PL 50Ohm Solder ST SMD Gold Over Nickel T/R</t>
  </si>
  <si>
    <t>IHLP2020BZER1R0M11</t>
  </si>
  <si>
    <t>3.3 ÂµH Shielded Drum Core, Wirewound Inductor 3.5 A 25mOhm Max Nonstandard</t>
  </si>
  <si>
    <t>CLF6045NIT-3R3N-D</t>
  </si>
  <si>
    <t>Pre-Biased Bipolar Transistor (BJT) NPN - Pre-Biased 20 V 400 mA 35 MHz 200 mW Surface Mount UMT3F</t>
  </si>
  <si>
    <t>DTC923TUBTL</t>
  </si>
  <si>
    <t>Pre-Biased Bipolar Transistor (BJT) NPN - Pre-Biased 50 V 100 mA 250 MHz 150 mW Surface Mount EMT3F (SOT-416FL)</t>
  </si>
  <si>
    <t>DTC143ZEBTL</t>
  </si>
  <si>
    <t>RES SMD 0 OHM JUMPER 1/10W 0402</t>
  </si>
  <si>
    <t>RES 2.2K OHM 5% 1/16W 0402</t>
  </si>
  <si>
    <t>RC0402JR-072K2L</t>
  </si>
  <si>
    <t>RES SMD 5.23K OHM 1% 1/10W 0402</t>
  </si>
  <si>
    <t>ERJ-2RKF5231X</t>
  </si>
  <si>
    <t>RES 29.4K OHM 1% 1/10W 0402</t>
  </si>
  <si>
    <t>RK73H1ERTTP2942F</t>
  </si>
  <si>
    <t>RES 82 OHM 5% 1/16W 0402</t>
  </si>
  <si>
    <t>RC0402JR-0782RL</t>
  </si>
  <si>
    <t>CRGCQ0402J4K7</t>
  </si>
  <si>
    <t>RES SMD 10K OHM 1% 1/10W 0402</t>
  </si>
  <si>
    <t>RC0402JR-0710KL</t>
  </si>
  <si>
    <t>RES SMD 120 OHM 1% 1/5W 0402</t>
  </si>
  <si>
    <t>RCS0402120RFKED</t>
  </si>
  <si>
    <t>RES 46.4K OHM 1% 1/16W 0402</t>
  </si>
  <si>
    <t>RC0402FR-0746K4L</t>
  </si>
  <si>
    <t>RES 1K OHM 5% 1/16W 0402</t>
  </si>
  <si>
    <t>RES 220K OHM 1% 1/16W 0402</t>
  </si>
  <si>
    <t>RC0402FR-07220KL</t>
  </si>
  <si>
    <t>RES 200K OHM 5% 1/10W 0402 SMD</t>
  </si>
  <si>
    <t>ERJ-U02J204X</t>
  </si>
  <si>
    <t>RES SMD 5.1K OHM 1% 1/5W 0402</t>
  </si>
  <si>
    <t>RCS04025K10FKED</t>
  </si>
  <si>
    <t>RES 15K OHM 5% 1/16W 0402</t>
  </si>
  <si>
    <t>RC0402JR-0715KL</t>
  </si>
  <si>
    <t>RES 51K OHM 5% 1/16W 0402</t>
  </si>
  <si>
    <t>RC0402JR-0751KL</t>
  </si>
  <si>
    <t>RES 100K OHM 5% 1/16W 0402</t>
  </si>
  <si>
    <t>CRCW0402100KJNEDC</t>
  </si>
  <si>
    <t>RES 10K OHM 1% 1/5W 0603</t>
  </si>
  <si>
    <t>SG73S1JTTD1002F</t>
  </si>
  <si>
    <t>RES 100K OHM 1% 1/10W 0402 SMD</t>
  </si>
  <si>
    <t>&lt;a href="https://pricing.snapeda.com/parts/TL3340AF160QG/E-Switch/view-part?ref=eda"&gt;Check availability&lt;/a&gt;</t>
  </si>
  <si>
    <t>TL3340AF160QG</t>
  </si>
  <si>
    <t>Buck Switching Regulator IC Positive Fixed 5V 1 Output 2A 20-VSSOP (0.173", 4.40mm Width) Exposed Pad</t>
  </si>
  <si>
    <t>BD9P255EFV-CE2</t>
  </si>
  <si>
    <t>NCV8163ASN330T1G</t>
  </si>
  <si>
    <t>ERJ-1GNJ104C</t>
  </si>
  <si>
    <t>PCB EB1_EP2_AFE FR4</t>
  </si>
  <si>
    <t>PCB Electrode_Speaker_L</t>
  </si>
  <si>
    <t>PCB Electrode_Speaker_R</t>
  </si>
  <si>
    <t>PCB Volume&amp;LED FPC</t>
  </si>
  <si>
    <t>L-07C2N7SV6T</t>
  </si>
  <si>
    <t>PCB USB to HDRKT</t>
  </si>
  <si>
    <t>SAI KO SD</t>
  </si>
  <si>
    <t>Mạch in PCB USB to HDRKT20240813 PCB 2Layer FR4 T=1.6mm.</t>
  </si>
  <si>
    <t>GERBER_POWER_VER_MODULE_NXP</t>
  </si>
  <si>
    <t>GERBER_TOUCH3_WIFI</t>
  </si>
  <si>
    <t>HHU-001</t>
  </si>
  <si>
    <t>HHU-002</t>
  </si>
  <si>
    <t>MODULE_AND_RELAY_180521</t>
  </si>
  <si>
    <t>MODULE_NXP_DOOR_060821</t>
  </si>
  <si>
    <t>POWER-MODULE-TYPE-AND-REL</t>
  </si>
  <si>
    <t>TOUCH3_WIFI_ML_060821</t>
  </si>
  <si>
    <t>TOUCH3-PCB-WIFI-VER-STX</t>
  </si>
  <si>
    <t>TOUCH4_WIFI_ML_060821</t>
  </si>
  <si>
    <t>TOUCH4-PCB-WIFI-VER-STX</t>
  </si>
  <si>
    <t>Cọc Đồng Hàn Mạch M3 12.2MM Khe 2MM HM-2-12.2 (5 chiếc)</t>
  </si>
  <si>
    <t>Tấm dẫn cảm ứng 21x19x2mm</t>
  </si>
  <si>
    <t xml:space="preserve">GERBER POWER MODULE TYPE </t>
  </si>
  <si>
    <t>HTK</t>
  </si>
  <si>
    <t>Thạch anh 16Mhz HC49 DIP</t>
  </si>
  <si>
    <t>ADS1294IPAG</t>
  </si>
  <si>
    <t>1SS187,LF(T</t>
  </si>
  <si>
    <t>Gerber - Driver Board</t>
  </si>
  <si>
    <t>SN74HC138NSR</t>
  </si>
  <si>
    <t>2SA1162S-GR,LF</t>
  </si>
  <si>
    <t>CD4504BPWR</t>
  </si>
  <si>
    <t>CL05A104MP5NNNC</t>
  </si>
  <si>
    <t>CRCW040271K5FKED</t>
  </si>
  <si>
    <t>ERJ-2GEJ473X</t>
  </si>
  <si>
    <t>ERJ-2RKF1202X</t>
  </si>
  <si>
    <t>GRM155R61A105KE15D</t>
  </si>
  <si>
    <t>GRM155R61E104KA87D</t>
  </si>
  <si>
    <t>LMV321LILT</t>
  </si>
  <si>
    <t>UMK105ABJ474KV-F</t>
  </si>
  <si>
    <t>PCB Gerber PCCC V2._002</t>
  </si>
  <si>
    <t>74HC4066PW,118</t>
  </si>
  <si>
    <t>APHCM2012CGCK-F01</t>
  </si>
  <si>
    <t>CMT-0502-75-SMT-TR</t>
  </si>
  <si>
    <t>ESDA25P35-1U1M</t>
  </si>
  <si>
    <t>MCP4921-E/SN</t>
  </si>
  <si>
    <t>MFL0603R0100FA</t>
  </si>
  <si>
    <t>MP3437GJ-P</t>
  </si>
  <si>
    <t>PCA9548ADWR</t>
  </si>
  <si>
    <t>PCB LUC1_03_IUK _Enuresis</t>
  </si>
  <si>
    <t>PCB_911_001_C_O</t>
  </si>
  <si>
    <t>SI2302DDS-T1-GE3</t>
  </si>
  <si>
    <t>SRP3212A-1R5M</t>
  </si>
  <si>
    <t>STC3115AIJT</t>
  </si>
  <si>
    <t>Đi ốt phát sáng LED SM WE 150080VS75000 Green APHCM2012CGCK-F01</t>
  </si>
  <si>
    <t>Mạch điện tử tích hợp IC INTERFACE SPECIALIZED 24SOIC PCA9548ADWR.</t>
  </si>
  <si>
    <t>SCA-05</t>
  </si>
  <si>
    <t>Material:FR4,PCB size:130 mm* 130 mm mm,PCBThickness:1.6mm
PCB color:Green,Silkscreen:white,Surface Finish:HASL(with lead),Via Covering:tented,1oz,Board Outline Tolerance:±0.2mm(Regular)</t>
  </si>
  <si>
    <t>JLC</t>
  </si>
  <si>
    <t>PCB OFFHUB_X8_V4_FAI_11.08.2024</t>
  </si>
  <si>
    <t>Data Board 2-IR</t>
  </si>
  <si>
    <t>PCB EMEKA104</t>
  </si>
  <si>
    <t>Metal Film Resistors 1MΩ 1W ±100ppm/℃ ±1% Plugin,D4.5xL11.5mm  Through Hole Resistors ROHS</t>
  </si>
  <si>
    <t>Yageo</t>
  </si>
  <si>
    <t>MFR100FTF52-1M</t>
  </si>
  <si>
    <t>MF1W-1MΩ±1%T</t>
  </si>
  <si>
    <t>RES 220 OHM 5% 2W AXIAL</t>
  </si>
  <si>
    <t>FMP200JTF52-220R</t>
  </si>
  <si>
    <t>FMP200JT-52-220R</t>
  </si>
  <si>
    <t>50V 1uF X5R ±10% 0603  Multilayer Ceramic Capacitors MLCC - SMD/SMT ROHS</t>
  </si>
  <si>
    <t>Murata Electronics</t>
  </si>
  <si>
    <t>Samsung Electro-Mechanics</t>
  </si>
  <si>
    <t>CL10B104KB8NNND</t>
  </si>
  <si>
    <t>16V 47uF X5R ±10% 1210  Multilayer Ceramic Capacitors MLCC - SMD/SMT ROHS</t>
  </si>
  <si>
    <t>GRM32ER61C476KE15L</t>
  </si>
  <si>
    <t>50V 0.01uF X7R 0603 10% Multilayer Ceramic Capacitors MLCC - SMD/SMT</t>
  </si>
  <si>
    <t>KETMET</t>
  </si>
  <si>
    <t>C0603C103K5RECTU</t>
  </si>
  <si>
    <t>50V 12pF X7R 0603 10% Multilayer Ceramic Capacitors MLCC - SMD/SMT</t>
  </si>
  <si>
    <t>KEMET</t>
  </si>
  <si>
    <t>C0603C120K5RACTU</t>
  </si>
  <si>
    <t>50V 150pF X7R ±10% 0603  Multilayer Ceramic Capacitors MLCC - SMD/SMT ROHS</t>
  </si>
  <si>
    <t xml:space="preserve">KEMET </t>
  </si>
  <si>
    <t>C0603C151K5RACTU</t>
  </si>
  <si>
    <t>1A 1V@1A 1kV SOD-123FL Diodes - General Purpose ROHS</t>
  </si>
  <si>
    <t>MSKSEMI</t>
  </si>
  <si>
    <t>50V 200mA 225mW 3.5Ω@5V,200mA 1.5V 1PCSNChannel SOT-23  MOSFETs ROHS</t>
  </si>
  <si>
    <t>LRC</t>
  </si>
  <si>
    <t>LBSS138LT1G</t>
  </si>
  <si>
    <t>40V Single 3A 550mV@3A SMC Schottky Barrier Diodes (SBD) ROHS</t>
  </si>
  <si>
    <t>HXY MOSFET</t>
  </si>
  <si>
    <t>SS34 </t>
  </si>
  <si>
    <t>IC REG BUCK ADJ 3A 8SOIC</t>
  </si>
  <si>
    <t>Monolithic Power Systems (MPS)</t>
  </si>
  <si>
    <t>80V 5kV 50mA 100mV@1mA,20mA 1 6V 1.2V DC SOP-4-2.54mm  Transistor Output Optocoupler ROHS</t>
  </si>
  <si>
    <t>Sharp Microelectronics</t>
  </si>
  <si>
    <t>PC817X2NIPW</t>
  </si>
  <si>
    <t>module SIP-4 Isolated Power Modules ROHS</t>
  </si>
  <si>
    <t>Mornsun</t>
  </si>
  <si>
    <t xml:space="preserve"> B0505S-1WR3 / MFR: EVISUN</t>
  </si>
  <si>
    <t>100mW Thick Film Resistors 75V ±100ppm/℃ ±1% 100kΩ 0603  Chip Resistor - Surface Mount ROHS</t>
  </si>
  <si>
    <t>100mW Thick Film Resistors 75V ±100ppm/℃ ±1% 210kΩ 0603  Chip Resistor - Surface Mount ROHS</t>
  </si>
  <si>
    <t>RC0603FR-07210KL</t>
  </si>
  <si>
    <t>100mW Thick Film Resistors 75V ±100ppm/℃ ±1% 4.7kΩ 0603  Chip Resistor - Surface Mount ROHS</t>
  </si>
  <si>
    <t>100mW Thick Film Resistors 75V ±100ppm/℃ ±1% 40.2kΩ 0603  Chip Resistor - Surface Mount ROHS</t>
  </si>
  <si>
    <t>100mW Thick Film Resistors 75V ±1% 0Ω 0603  Chip Resistor - Surface Mount ROHS</t>
  </si>
  <si>
    <t>100mW Thick Film Resistors 75V ±100ppm/℃ ±1% 1kΩ 0603  Chip Resistor - Surface Mount ROHS</t>
  </si>
  <si>
    <t>100mW Thick Film Resistors 75V ±100ppm/℃ ±1% 47kΩ 0603  Chip Resistor - Surface Mount ROHS</t>
  </si>
  <si>
    <t>Res Metal Film Resistors - Through Hole 33 Ohms 2 W 5 % Axial</t>
  </si>
  <si>
    <t>FMP200JTF52-33R</t>
  </si>
  <si>
    <t>28V~36V 50uA 2us DO-35  Diacs Trigger Diode ROHS</t>
  </si>
  <si>
    <t>STMicroelectronics</t>
  </si>
  <si>
    <t>DB3</t>
  </si>
  <si>
    <t>100mW Thick Film Resistors 75V ±100ppm/℃ ±1% 120Ω 0603  Chip Resistor - Surface Mount ROHS</t>
  </si>
  <si>
    <t>25V 300mW 500mA NPN SOT-23  Bipolar Transistors - BJT ROHS</t>
  </si>
  <si>
    <t>JSCJ</t>
  </si>
  <si>
    <t>S8050 J3Y</t>
  </si>
  <si>
    <t>1.12kV 560V 420V 612V~748V Plugin Varistors ROHS</t>
  </si>
  <si>
    <t>Hongzhi Elec</t>
  </si>
  <si>
    <t>MOV-14D681K</t>
  </si>
  <si>
    <t>14M-14D681K</t>
  </si>
  <si>
    <t>IC REG LINEAR 3.3V 300MA SOT23-5</t>
  </si>
  <si>
    <t>Richtek</t>
  </si>
  <si>
    <t>100mW Thick Film Resistors 75V ±100ppm/℃ ±1% 470Ω 0603  Chip Resistor - Surface Mount ROHS</t>
  </si>
  <si>
    <t>10D-15 NTC 10 Ohm 16.5 x 7mm</t>
  </si>
  <si>
    <t>RUILON</t>
  </si>
  <si>
    <t>NTC 10D-15</t>
  </si>
  <si>
    <t>1000uF 35V Plugin,D10xL20mm Aluminum Electrolytic Capacitors - Leaded ROHS</t>
  </si>
  <si>
    <t>HRK</t>
  </si>
  <si>
    <t>CD288108M1V1020VFL</t>
  </si>
  <si>
    <t>±10% 630V 100nF -40℃~+105℃ Plugin,P=10mm Film Capacitors ROHS</t>
  </si>
  <si>
    <t>JOEY</t>
  </si>
  <si>
    <t>MES104K2J4AA420MA1</t>
  </si>
  <si>
    <t>3.15A Plugin Fuses ROHS</t>
  </si>
  <si>
    <t>Walter Elec</t>
  </si>
  <si>
    <t>2010T3.15A250V</t>
  </si>
  <si>
    <t>6A 4.7uH Molding Choke ±20% 9A SMD,0630 Power Inductors ROHS</t>
  </si>
  <si>
    <t>XR</t>
  </si>
  <si>
    <t>XR0630-4R7M</t>
  </si>
  <si>
    <t>2.54mm -40℃~+105℃ Straight 1.5A 2x8P 8 Push - Pull 2.54mm 2 Plugin,P=2.54mm IDC Connectors ROHS</t>
  </si>
  <si>
    <t>ZHOURI</t>
  </si>
  <si>
    <t>DC3-2.54-16PAS</t>
  </si>
  <si>
    <t>20mA 330mcd Colorless transparence -20℃~+85℃ Positive post 620nm~630nm Red 120° 50mW 2.3V 0603 Light Emitting Diodes (LED) ROHS</t>
  </si>
  <si>
    <t>XINGLIGHT</t>
  </si>
  <si>
    <t>XL-1608SURC-06</t>
  </si>
  <si>
    <t>XUNPU</t>
  </si>
  <si>
    <t>TS-1088R-02526</t>
  </si>
  <si>
    <t>47uF 10V ±20% Plugin,D4xL7mm Aluminum Electrolytic Capacitors - Leaded ROHS</t>
  </si>
  <si>
    <t>CX(Dongguan Chengxing Elec)</t>
  </si>
  <si>
    <t>KS476M010C07RR0VH2FP0</t>
  </si>
  <si>
    <t>27uF ±20% 5mΩ SMD-3P,1.6x3.2mm Feed Through Capacitors ROHS</t>
  </si>
  <si>
    <t>NFM31PC276B0J3L</t>
  </si>
  <si>
    <t>Tactile Switch 12x12mm Height 7.3mm 4 Pin SMD</t>
  </si>
  <si>
    <t>Yuandi</t>
  </si>
  <si>
    <t>TS-1094TS-B2D2-T-Y</t>
  </si>
  <si>
    <t>AMS1117-3.3V 1A LOW DROPOUT VOLTAGE REGULATOR SOT-223</t>
  </si>
  <si>
    <t>AMS</t>
  </si>
  <si>
    <t>ASM1117-3.3V</t>
  </si>
  <si>
    <t>Red 2Bit Common cathode 0.56 Plugin LED Segment Displays ROHS</t>
  </si>
  <si>
    <t>Shenzhen Zhihao Elec</t>
  </si>
  <si>
    <t>FJ5261CH</t>
  </si>
  <si>
    <t>Red 3mm Length 29mm Super Bright LED Water Clear</t>
  </si>
  <si>
    <t>Everlight Elec</t>
  </si>
  <si>
    <t>204-10SURD/S530-A3-L</t>
  </si>
  <si>
    <t>CR1220 Battery Holder SMD</t>
  </si>
  <si>
    <t>32.768kHz 2x6 Crystal Cylinder</t>
  </si>
  <si>
    <t>DT-26 32.768KHz</t>
  </si>
  <si>
    <t>330uF 10V ±20% Plugin,D6.3xL9mm Aluminum Electrolytic Capacitors - Leaded ROHS</t>
  </si>
  <si>
    <t>AISHI(Aihua Group)</t>
  </si>
  <si>
    <t>ERR1AM331E09OT</t>
  </si>
  <si>
    <t>470uF 16V ±20% Plugin,D8xL12mm Aluminum Electrolytic Capacitors - Leaded ROHS</t>
  </si>
  <si>
    <t>KM477M016F12RR0VH2FP0</t>
  </si>
  <si>
    <t>15A@8/20us 9V 5V 3.3V SOD-323 ESD and Surge Protection (TVS/ESD) ROHS</t>
  </si>
  <si>
    <t>Shanghai Prisemi Elec</t>
  </si>
  <si>
    <t>PESDHC3D3V3U</t>
  </si>
  <si>
    <t>10V 5V SOD-323 ESD and Surge Protection (TVS/ESD) ROHS</t>
  </si>
  <si>
    <t>Shenzhen JingYang</t>
  </si>
  <si>
    <t>TS0511LEX</t>
  </si>
  <si>
    <t>16MHz 贴片晶振 20pF ±20ppm ±30ppm SMD5032-4P Crystals ROHS</t>
  </si>
  <si>
    <t>SJK(SHENZHEN CRYSTAL TECH)</t>
  </si>
  <si>
    <t>7I16000F20UCG</t>
  </si>
  <si>
    <t>PCB Power</t>
  </si>
  <si>
    <t>PCB  Display</t>
  </si>
  <si>
    <t>PCB Auto_AMEGA_V1</t>
  </si>
  <si>
    <t>KF 7.62-3  Terminal khối hàn PCB 3 cực 20A 300V 7.62mm</t>
  </si>
  <si>
    <t>Vít PM M3 x 5mm 304</t>
  </si>
  <si>
    <t>TBC</t>
  </si>
  <si>
    <t>ASM117-3.3V</t>
  </si>
  <si>
    <t>Mạch in PCB FMC_Adapter_14Aug24 PCB 6Layer, MEG 6 R5775, T=1.6mm.</t>
  </si>
  <si>
    <t>PCB FMC_Adapter_14Aug24</t>
  </si>
  <si>
    <t>VNS</t>
  </si>
  <si>
    <t>2.54mm-40x1-MH-L=8.5MM</t>
  </si>
  <si>
    <t>PCB HITBOX_MEGA2560</t>
  </si>
  <si>
    <t>220uF 35V ±20% 270mA@120Hz Plugin,D8xL12mm Aluminum Electrolytic Capacitors - Leaded ROHS</t>
  </si>
  <si>
    <t>EWH1VM221F12OT</t>
  </si>
  <si>
    <t>40V Independent Type 3A 550mV@3A SMA(DO-214AC) Schottky Diodes ROHS</t>
  </si>
  <si>
    <t>50A 1V@1A 1A 1kV DBS Bridge Rectifiers ROHS</t>
  </si>
  <si>
    <t>DB107S</t>
  </si>
  <si>
    <t>1x2P 2P XH Tin 2 -25℃~+85℃ 3A 1 2.5mm Brass Bend-in Push-Pull,P=2.54mm Wire To Board Connector ROHS</t>
  </si>
  <si>
    <t>Bossie BX-XH2.54-2PWZ</t>
  </si>
  <si>
    <t>Cổng DC3 40 Chân 2 Hàng 2.54mm Chân Thẳng</t>
  </si>
  <si>
    <t>Thegioiic</t>
  </si>
  <si>
    <t>Step-down type Fixed 5V 2A 4.5V~40V SOIC-8 DC-DC Converters ROHS</t>
  </si>
  <si>
    <t>XL1509-5.0E1</t>
  </si>
  <si>
    <t>PCB LCD_GAS_STATION_V2</t>
  </si>
  <si>
    <t>ERJ-2RKF4423X</t>
  </si>
  <si>
    <t>MX3.0mm Male Conector 6P</t>
  </si>
  <si>
    <t>RES 2 OHM 5% 1/8W 0603</t>
  </si>
  <si>
    <t>RK73B1JTTD2R0J</t>
  </si>
  <si>
    <t>CAP CER 2.2UF 16V X5R 0603</t>
  </si>
  <si>
    <t>C1608X5R1C225K080AB</t>
  </si>
  <si>
    <t>RES 200K OHM 1% 1/10W 0603</t>
  </si>
  <si>
    <t>RMCF0603FT200K</t>
  </si>
  <si>
    <t>RES 1 OHM 1% 1/10W 0603</t>
  </si>
  <si>
    <t>RC0603FR-071RL</t>
  </si>
  <si>
    <t>RES SMD 100K OHM 1% 0.15W 0603</t>
  </si>
  <si>
    <t>MCT0603MC1003FP500</t>
  </si>
  <si>
    <t>CAP ALUM POLY 47UF 20% 35V T/H</t>
  </si>
  <si>
    <t>RNU1V470MDN1KX</t>
  </si>
  <si>
    <t>CAP ALUM POLY 220UF 20% 16V T/H</t>
  </si>
  <si>
    <t>870235374004</t>
  </si>
  <si>
    <t>5.7mm, 3 V, 85 dB, Through Hole, Magnetic Audio Transducer Buzzer</t>
  </si>
  <si>
    <t>QMB-09B-03</t>
  </si>
  <si>
    <t>CAP CER 0.1UF 100V X7R 0603</t>
  </si>
  <si>
    <t>GRM188R72A104KA35D</t>
  </si>
  <si>
    <t>CAP CER 4700PF 50V X7R 0603</t>
  </si>
  <si>
    <t>C0603C472K5RACTU</t>
  </si>
  <si>
    <t>RES 15 OHM 1% 1/10W 0603</t>
  </si>
  <si>
    <t>RMCF0603FT15R0</t>
  </si>
  <si>
    <t>C1608C0G1H100D080AA</t>
  </si>
  <si>
    <t>CAP CER 10PF 10V NP0 0402</t>
  </si>
  <si>
    <t>C0402C100J8GACTU</t>
  </si>
  <si>
    <t>CAP CER 22PF 10V C0G/NP0 0402</t>
  </si>
  <si>
    <t>885012005009</t>
  </si>
  <si>
    <t>CAP CER 4.7UF 10V X6T 0402</t>
  </si>
  <si>
    <t>TVS DIODE 5VWM 20VC SOD523</t>
  </si>
  <si>
    <t>PESD5V0S1UB115</t>
  </si>
  <si>
    <t>HPI 2.0mm,HDR,4posVertical,Red</t>
  </si>
  <si>
    <t>6-440054-2</t>
  </si>
  <si>
    <t>RCA040210K0FKED</t>
  </si>
  <si>
    <t>Buck Switching Regulator IC Positive Adjustable 0.6V 1 Output 1A SOT-23-5 Thin, TSOT-23-5</t>
  </si>
  <si>
    <t>AP3428AWT-7</t>
  </si>
  <si>
    <t>IES</t>
  </si>
  <si>
    <t xml:space="preserve">MX3.0mm Male Conector 24 (2x12) pin </t>
  </si>
  <si>
    <t>POWER SUPPLY 12V 5W</t>
  </si>
  <si>
    <t>HI-LINK</t>
  </si>
  <si>
    <t>HLK-PM12</t>
  </si>
  <si>
    <t>2.2 ÂµH Shielded Drum Core, Wirewound Inductor 4.1 A 20mOhm Max Nonstandard</t>
  </si>
  <si>
    <t>CLF6045NIT-2R2N-D</t>
  </si>
  <si>
    <t>CAP CER 0.1UF 50V X8L 0603</t>
  </si>
  <si>
    <t>GCM188L81H104KA57D</t>
  </si>
  <si>
    <t>Tụ Hoá 100uF 50V 8x12.5mmXuyên Lỗ</t>
  </si>
  <si>
    <t>SMA Diode Schottky 1A 1N5819</t>
  </si>
  <si>
    <t>Cuộn Cảm Dán SMD CDRH127 1280-221 220uH 1.9A</t>
  </si>
  <si>
    <t>CDRH127</t>
  </si>
  <si>
    <t>CRCW060333R0FKEAC</t>
  </si>
  <si>
    <t>Điện Trở 3.3 KOhm 0603 1%</t>
  </si>
  <si>
    <t>Transistor Output Optocouplers 50mA 80V 3750Vrms 50mA 1 Circuit</t>
  </si>
  <si>
    <t>TLP185</t>
  </si>
  <si>
    <t>TVS DIODE 36V 58.1V DO214AA</t>
  </si>
  <si>
    <t>SMBJ36CA</t>
  </si>
  <si>
    <t>PCB LED BOARD ELEVATOR</t>
  </si>
  <si>
    <t>KHO 2</t>
  </si>
  <si>
    <t>RC0201JR-0722RL</t>
  </si>
  <si>
    <t>RES 392K OHM 1% 1/16W 0402</t>
  </si>
  <si>
    <t>RES 22 OHM 5% 1/20W 0201</t>
  </si>
  <si>
    <t>SCHOTTKY BARRIER DIODES (SBD) SOT-23(SOT-23-3) ROHS</t>
  </si>
  <si>
    <t>BAT54CLT1G</t>
  </si>
  <si>
    <t>CAP CER SMD 0.1UF 100V X7R 0603</t>
  </si>
  <si>
    <t>MSASH168SB7104MTNA01</t>
  </si>
  <si>
    <t>CAP TANT 100UF 20% 10V 1411</t>
  </si>
  <si>
    <t>TAJB107M010RNJ</t>
  </si>
  <si>
    <t>CAP CER SMD 22uF 25V 20% X5R 0805</t>
  </si>
  <si>
    <t>GRM21BR61E106MA73L</t>
  </si>
  <si>
    <t>CAP CER SMD 10uF 10V 10% X5R 0402</t>
  </si>
  <si>
    <t>CAP CER SMD 4.7uF 6.3V 20% X5R 0402</t>
  </si>
  <si>
    <t>JMK105BBJ475MV-F</t>
  </si>
  <si>
    <t>CAP CER SMD 12pF 50V 2% NP0 0402</t>
  </si>
  <si>
    <t>GJM1555C1H120GB01D</t>
  </si>
  <si>
    <t>CAP CER SMD 0.80pF 50V 0.1pF NP0 0402</t>
  </si>
  <si>
    <t>GJM1555C1HR80BB01D</t>
  </si>
  <si>
    <t>CAP CER SMD 1uF 6.3V 10% X5R 0402</t>
  </si>
  <si>
    <t>JMK105BJ105KV-F</t>
  </si>
  <si>
    <t>CAP CER SMD 100pF 50V 5% NP0 0402</t>
  </si>
  <si>
    <t>UMK105CG101JV-F</t>
  </si>
  <si>
    <t>CAP CER SMD 220pF 50V 5% NP0 0402</t>
  </si>
  <si>
    <t>UMK105CG221JV-F</t>
  </si>
  <si>
    <t>CAP CER SMD 0.20pF 50V 0.1pF NP0 0402</t>
  </si>
  <si>
    <t>GJM1555C1HR20BB01D</t>
  </si>
  <si>
    <t>CAP CER SMD 1.5pF 50V 0.1pF NP0 0402</t>
  </si>
  <si>
    <t>40V 5A 550mV @ 5A SMAF Schottky Barrier Diodes (SBD) RoHS</t>
  </si>
  <si>
    <t>SS54F</t>
  </si>
  <si>
    <t>LED YELLOW CLEAR SMD 0603</t>
  </si>
  <si>
    <t>DIODE ARR SCHOTT 30V 200MA SOT23</t>
  </si>
  <si>
    <t>BAT54C-7-F</t>
  </si>
  <si>
    <t>FERRITE BEAD 1.5 kOhm 500mA 500 mOhm 0603</t>
  </si>
  <si>
    <t>BLM18HE152SN1D</t>
  </si>
  <si>
    <t>IC RTC CLOCK/CALENDAR I2C 8SO</t>
  </si>
  <si>
    <t>PCF85063AT/AAZ</t>
  </si>
  <si>
    <t>Ethernet Transceivers QFN-32-EP(4x4)</t>
  </si>
  <si>
    <t>RTL8111H-CG</t>
  </si>
  <si>
    <t>TVS DIODE 5.5VWM 8VC 10USON</t>
  </si>
  <si>
    <t>CONN UMC JACK STR 50 OHM SMD</t>
  </si>
  <si>
    <t>A-1JB</t>
  </si>
  <si>
    <t>1 µH Unshielded Thin Film Inductor 4.1 A 30mOhm Max 1008 (2520 Metric) -</t>
  </si>
  <si>
    <t>CIGT252010EH1R0MNE</t>
  </si>
  <si>
    <t>IND SMD 3.9nH 750mA 0.2nH 70 mOhm 0402</t>
  </si>
  <si>
    <t>LQW15AN3N9C00D</t>
  </si>
  <si>
    <t>IND SMD 10uH 80mA 10% 360 mOhm 0603</t>
  </si>
  <si>
    <t>LBMF1608T100K</t>
  </si>
  <si>
    <t>IND SMD 15nH 300mA 5% 320 mOhm 0402</t>
  </si>
  <si>
    <t>LQG15HS15NJ02D</t>
  </si>
  <si>
    <t>679100002</t>
  </si>
  <si>
    <t>MOSFET N/P-Channel 20V 3.0A SSOT-6</t>
  </si>
  <si>
    <t>FDC6420C</t>
  </si>
  <si>
    <t>RES 330K OHM 1% 1/16W 0402</t>
  </si>
  <si>
    <t>RC0402FR-07330KL</t>
  </si>
  <si>
    <t>RES 33K OHM 1% 1/16W 0402</t>
  </si>
  <si>
    <t>RC0402FR-0733KL</t>
  </si>
  <si>
    <t>RES 2K OHM 1% 1/16W 0402</t>
  </si>
  <si>
    <t>RC0402FR-072KL</t>
  </si>
  <si>
    <t>RES 68K OHM 1% 1/16W 0402</t>
  </si>
  <si>
    <t>RC0402FR-0768KL</t>
  </si>
  <si>
    <t>RES 510K OHM 1% 1/16W 0402</t>
  </si>
  <si>
    <t>RC0402FR-07510KL</t>
  </si>
  <si>
    <t>RES 100 OHM 5% 1/16W 0402</t>
  </si>
  <si>
    <t>RES 2.49K OHM 1% 1/16W 0402</t>
  </si>
  <si>
    <t>RC0402FR-072K49L</t>
  </si>
  <si>
    <t>Step-Down Positive Adjustable 1 3A 570kHz SOIC-8_150mil DC-DC Converters RoHS</t>
  </si>
  <si>
    <t>TPS54331DR</t>
  </si>
  <si>
    <t>2.4 GHZ TX/RX BOOSTER WITH DIVERSITY SWITCH FOR IOT/BLE/ZIGBEE</t>
  </si>
  <si>
    <t>RFX2411N</t>
  </si>
  <si>
    <t>CRYSTAL 32.768kHz 20PPM 9PF 90 KOHM</t>
  </si>
  <si>
    <t>ABS05-32.768KHZ-9-T</t>
  </si>
  <si>
    <t>LATCH CONN ASSY FOR MINI PCI</t>
  </si>
  <si>
    <t>0480994000</t>
  </si>
  <si>
    <t>IND SMD 2.2uH 1A 20% 143 mOhm 0805</t>
  </si>
  <si>
    <t>BRC2012T2R2MD</t>
  </si>
  <si>
    <t>MOSFET P 30V 2A SOT-23</t>
  </si>
  <si>
    <t>FDN360P</t>
  </si>
  <si>
    <t>RES SMD 10K OHM 5% 1/16W 0402</t>
  </si>
  <si>
    <t>CAP CER SMD 1.2pF 50V 0.1pF NP0 0402</t>
  </si>
  <si>
    <t>GJM1555C1H1R2BB01D</t>
  </si>
  <si>
    <t>CAP CER SMD 33pF 100V 5% NP0 0402</t>
  </si>
  <si>
    <t>GRM1555C2A330JA01D</t>
  </si>
  <si>
    <t>Diode Schottky 40V 1A Surface Mount SOD-123</t>
  </si>
  <si>
    <t>B5819W-TP</t>
  </si>
  <si>
    <t>RES SMD 22K OHM 1% 1/16W 0402</t>
  </si>
  <si>
    <t>RES SMD 124K OHM 1% 1/16W 0402</t>
  </si>
  <si>
    <t>RC0402FR-07124KL</t>
  </si>
  <si>
    <t>Step-down type SOT-23-6 DC-DC Converters ROHS</t>
  </si>
  <si>
    <t>BL9342</t>
  </si>
  <si>
    <t>GRM188R60J106ME47J</t>
  </si>
  <si>
    <t>CAP CER SMD 10uF 16V 20% X5R 0805</t>
  </si>
  <si>
    <t>MOSFET P 30V 9A SOIC-8</t>
  </si>
  <si>
    <t>SI4431CDY-T1-GE3</t>
  </si>
  <si>
    <t>TPS62172DSGR</t>
  </si>
  <si>
    <t>VNG-PCB-035-A1_FAB</t>
  </si>
  <si>
    <t>CAP CER SMD 10uF 16V 10% X5R 0805</t>
  </si>
  <si>
    <t>EMK212BJ106KG-T</t>
  </si>
  <si>
    <t>OPTOISOLATOR 3KV TRANS 4SOIC</t>
  </si>
  <si>
    <t>ACPL-214-500E</t>
  </si>
  <si>
    <t>PCB ON OFF HUB</t>
  </si>
  <si>
    <t>SMD Buzzer, Size: 7.5x7.5x2.5MM, 2700 Hz</t>
  </si>
  <si>
    <t>KLJ-7525</t>
  </si>
  <si>
    <t>JMK212BJ226MD-T</t>
  </si>
  <si>
    <t>TRANS NPN 40V 0.2A SOT-23</t>
  </si>
  <si>
    <t>RES SMD 1K OHM 5% 1/16W 0402</t>
  </si>
  <si>
    <t>RC0402FR-076K8L</t>
  </si>
  <si>
    <t>RES SMD 21.5K OHM 1% 1/16W 0402</t>
  </si>
  <si>
    <t>RC0402FR-0721K5L</t>
  </si>
  <si>
    <t>Buck Switching Regulator IC Positive Adjustable 0.9V 1 Output 500mA 8-WFDFN Exposed Pad</t>
  </si>
  <si>
    <t>TPS62170DSGR</t>
  </si>
  <si>
    <t>0402B104K160CT</t>
  </si>
  <si>
    <t>RES SMD 680 OHM 5% 1/8W 0805</t>
  </si>
  <si>
    <t>RC0805JR-07680RL</t>
  </si>
  <si>
    <t>CAP CER 100PF 50V C0G/NP0 0402</t>
  </si>
  <si>
    <t>0402N101J500CT</t>
  </si>
  <si>
    <t xml:space="preserve"> CAP CER 1UF 10V X5R 0402</t>
  </si>
  <si>
    <t>LMK105BJ105KV-F</t>
  </si>
  <si>
    <t>Green 525nm SMD Light Emitting Diodes (LED) ROHS</t>
  </si>
  <si>
    <t>TJ-S2005SW9TGLC2G-A5</t>
  </si>
  <si>
    <t>RES SMD 1.5K OHM 1% 1/16W 0402</t>
  </si>
  <si>
    <t>RC0402FR-071K5L</t>
  </si>
  <si>
    <t>RES SMD 470 OHM 5% 1/16W 0402</t>
  </si>
  <si>
    <t>RC0402JR-07470RL</t>
  </si>
  <si>
    <t>LED ORANGE CLEAR SMD R/A</t>
  </si>
  <si>
    <t>APA2106SECK/J4-PRV</t>
  </si>
  <si>
    <t>1 CH. CAPACITIVE TOUCH SENSOR DY</t>
  </si>
  <si>
    <t>IQS128-00000-TSR</t>
  </si>
  <si>
    <t>PCB-034-A1_FAB</t>
  </si>
  <si>
    <t>RES SMD 35.7K OHM 1% 1/16W 0402</t>
  </si>
  <si>
    <t>RC0402FR-0735K7L</t>
  </si>
  <si>
    <t>PCB  RFID</t>
  </si>
  <si>
    <t>PCB  RFID READER RV01</t>
  </si>
  <si>
    <t xml:space="preserve"> 
LED GREEN CLEAR CHIP SMD R/A</t>
  </si>
  <si>
    <t>LTST-S220TGKT</t>
  </si>
  <si>
    <t>Tụ Nhôm SMD 330uF 25V 8.5x10mm</t>
  </si>
  <si>
    <t>EEEHBE331UAP</t>
  </si>
  <si>
    <t>USB Micro-B 2.0 Đầu Cái 5 Chân SMD V4</t>
  </si>
  <si>
    <t>USB MICRO-B 2.0 5PIN</t>
  </si>
  <si>
    <t>Inductor SMD 8D43-100 10uH 5.5A</t>
  </si>
  <si>
    <t>YPRH8D43-100M</t>
  </si>
  <si>
    <t>PCB Gateway V2</t>
  </si>
  <si>
    <t>Battery Holder CR1220</t>
  </si>
  <si>
    <t>xuât TDH sample</t>
  </si>
  <si>
    <t>TDH-25-02</t>
  </si>
  <si>
    <t>47UF/35V SMD</t>
  </si>
  <si>
    <t>SHARP PHOTOCOUPLER</t>
  </si>
  <si>
    <t>Trở 2512 5% 1R 1W</t>
  </si>
  <si>
    <t>Trở 2512 5% 100-10R 1W</t>
  </si>
  <si>
    <t>STC-4.7UF-50V</t>
  </si>
  <si>
    <t>Tụ Gốm 0805 39pF 50V</t>
  </si>
  <si>
    <t>Trở 1206 5% 68R</t>
  </si>
  <si>
    <t>Điện Trở 82 KOhm 1206 5%</t>
  </si>
  <si>
    <t>Điện Trở 330 KOhm 1206 1%</t>
  </si>
  <si>
    <t>DC-DC Switching Synchronous Buck Regulator, Adjustable, 6 to 60Vin, 0.575 to 24V/2.5A Out, SOIC-EP-8</t>
  </si>
  <si>
    <r>
      <rPr>
        <sz val="10"/>
        <color rgb="FF000000"/>
        <rFont val="Times New Roman"/>
        <family val="1"/>
      </rPr>
      <t>SGM61720YPS8G/TR</t>
    </r>
  </si>
  <si>
    <t>Transistor PNP 60V 0.6A 3 Chân SOT-23</t>
  </si>
  <si>
    <t>MMBT2907A</t>
  </si>
  <si>
    <t>LCD 16X02</t>
  </si>
  <si>
    <t>Nhôm Tản Nhiệt TO-220 20x15x10</t>
  </si>
  <si>
    <t>Base Material:FR-4 Layers:2,Dimension:207.01 mm* 191.21 mm.Product Type:Industrial/Consumer electronics,PCB Thickness:1.6mm,PCB Color:Green,Silkscreen:White Via Covering:Tented,Surface Finish:HASL(with lead),Outer Copper Weight:1 oz</t>
  </si>
  <si>
    <t>PCB UPS_3kVA_V1.0 110325</t>
  </si>
  <si>
    <t>Bộ gá khóa BBK-600</t>
  </si>
  <si>
    <t>BBK-600</t>
  </si>
  <si>
    <t>1:100 40A DIP-4 Current Sense Transformers ROHS</t>
  </si>
  <si>
    <t>FC-CT9825-100T-40A</t>
  </si>
  <si>
    <t>CC0805JRNPO9BN101</t>
  </si>
  <si>
    <t>IC REG CTRLR BST FLYBK ISO 8SOIC</t>
  </si>
  <si>
    <t>UC3844BD1013TR</t>
  </si>
  <si>
    <t>IC GATE DRVR HALF-BRIDGE 16SOIC</t>
  </si>
  <si>
    <t>LF2110BTR</t>
  </si>
  <si>
    <t xml:space="preserve">	IC ARM-M4 120MHz LQFP-64(10x10) Microcontrollers (MCU/MPU/SOC) ROHS</t>
  </si>
  <si>
    <t>GigaDevice Semicon Beijing</t>
  </si>
  <si>
    <t>GD32F303RCT6</t>
  </si>
  <si>
    <t>PRINT-1SEK 5A/250VCA</t>
  </si>
  <si>
    <t>HONGFA</t>
  </si>
  <si>
    <t>22MM BUTTON   WITH RED COLOR</t>
  </si>
  <si>
    <t>HOBO</t>
  </si>
  <si>
    <t>22MM BUTTON   RED</t>
  </si>
  <si>
    <t>HF49FD/005-1H12TF</t>
  </si>
  <si>
    <t>IC REG LINEAR 3.3V 180MA SOT23-5</t>
  </si>
  <si>
    <t>TPL810F33-5TR</t>
  </si>
  <si>
    <t>IC OPAMP 2 CIRCUIT 8-SOP</t>
  </si>
  <si>
    <t>LM358A-SR</t>
  </si>
  <si>
    <t>GENERAL PURPOSE COMPARATOR, OPEN</t>
  </si>
  <si>
    <t>LM393A-SR</t>
  </si>
  <si>
    <t>Taiyo Yuden</t>
  </si>
  <si>
    <t xml:space="preserve">Header 6pin thẳng </t>
  </si>
  <si>
    <t>Đầu XHB-6A 2.54mm</t>
  </si>
  <si>
    <t xml:space="preserve">Header 5pin thẳng </t>
  </si>
  <si>
    <t>XHB-5A 2.54mm</t>
  </si>
  <si>
    <t>CAP CER,10NF,20%,50V,X7R,0402,SMD</t>
  </si>
  <si>
    <t>04025C103MAT2A</t>
  </si>
  <si>
    <t>CAP CER,4.7UF,20%,16V,X5R,0402,SMD</t>
  </si>
  <si>
    <t>0402YD475MAT2A</t>
  </si>
  <si>
    <t>CAP TANT 100UF 10% 16V 2312</t>
  </si>
  <si>
    <t>TAJC107K016RNJ</t>
  </si>
  <si>
    <t>CAP CER,0.47UF,10%,25V,X5R,0402,SMD</t>
  </si>
  <si>
    <t>TMK105ABJ474KVHF</t>
  </si>
  <si>
    <t>CAP CER,10UF,20%,50V,X5R,0805,SMD</t>
  </si>
  <si>
    <t>GMC21X5R106M50NT</t>
  </si>
  <si>
    <t>CAP CER,22NF,10%,50V,X7R,0402,SMD</t>
  </si>
  <si>
    <t>C0402C223K5REC7411</t>
  </si>
  <si>
    <t>CAP CER,2.2UF,20%,25V,X5R,0402,SMD</t>
  </si>
  <si>
    <t>TMK105CBJ225MV-F</t>
  </si>
  <si>
    <t>N-Channel 30 V 7.9A (Ta), 20A (Tc) 1.7W (Ta), 10.9W (Tc) Surface Mount MLPAK33</t>
  </si>
  <si>
    <t>PXN017-30QLJ</t>
  </si>
  <si>
    <t>DIODE,100V,200MA,1-CH,ID,SOD-123,SMD</t>
  </si>
  <si>
    <t>FERRITE BEAD,100 OHMS @ 100MHZ,0.03R,3A,0603,SMD</t>
  </si>
  <si>
    <t>MPZ1608S101ATAH0</t>
  </si>
  <si>
    <t>CONN HEADER SMD R/A 8POS 1.25MM</t>
  </si>
  <si>
    <t>'53261-0871</t>
  </si>
  <si>
    <t>FIXED IND 680UH 520MA 2.032 OHM</t>
  </si>
  <si>
    <t>74404084681</t>
  </si>
  <si>
    <t>IND,1UH,20%,3.2A,0.042R,1008,SMD</t>
  </si>
  <si>
    <t>DFE252012F-1R0M=P2</t>
  </si>
  <si>
    <t>RES,28.7KR,1%,62.5MW,0402,SMD</t>
  </si>
  <si>
    <t>RMCF0402FT28K7</t>
  </si>
  <si>
    <t>IC PWR SWITCH N-CHAN 1:1 6WSON</t>
  </si>
  <si>
    <t>TPS22810DRVR</t>
  </si>
  <si>
    <t>IC SURGE STOPPER HV 12-DFN</t>
  </si>
  <si>
    <t>LT4363HDE-2#TRPBF</t>
  </si>
  <si>
    <t>IC REDRIVER I2C 1CH 8TSSOP</t>
  </si>
  <si>
    <t>PCA9517ADP,118</t>
  </si>
  <si>
    <t>Xtal Osc Xo 100MHZ 3.3V Cmos SMD</t>
  </si>
  <si>
    <t>PYEUCJJANF-100.000000</t>
  </si>
  <si>
    <t>Capacitor SMD 0603</t>
  </si>
  <si>
    <t>RES SMD 0603</t>
  </si>
  <si>
    <t>Connector Header Surface Mount, Right Angle 6 position 0.079 _2.00mm_</t>
  </si>
  <si>
    <t>DO-214AC(SMA)</t>
  </si>
  <si>
    <t>22uF</t>
  </si>
  <si>
    <t>DO-214AA, SMB</t>
  </si>
  <si>
    <t>SOT230P700X180-4N</t>
  </si>
  <si>
    <t>100nF</t>
  </si>
  <si>
    <t>470nF</t>
  </si>
  <si>
    <t>BAT760-7</t>
  </si>
  <si>
    <t>0603ESDA-05N</t>
  </si>
  <si>
    <t>4.7uH</t>
  </si>
  <si>
    <t>LED1</t>
  </si>
  <si>
    <t>SS8050-G</t>
  </si>
  <si>
    <t>S8050</t>
  </si>
  <si>
    <t>4.7kΩ</t>
  </si>
  <si>
    <t>10kΩ</t>
  </si>
  <si>
    <t>0Ω</t>
  </si>
  <si>
    <t>100Ω</t>
  </si>
  <si>
    <t>1TS005F-2500-5001</t>
  </si>
  <si>
    <t>10118192-0001LF</t>
  </si>
  <si>
    <t>JST_PH_B3B-PH-SM4-TB_1x03-1MP_P2.0mm_Vertical</t>
  </si>
  <si>
    <t>C_0603_1608Metric</t>
  </si>
  <si>
    <t>PCB CONTROL</t>
  </si>
  <si>
    <t>PCB DS18B20</t>
  </si>
  <si>
    <t>PCB HEATER</t>
  </si>
  <si>
    <t>PCB LED</t>
  </si>
  <si>
    <t>PCB SENSOR</t>
  </si>
  <si>
    <t>AC0603JR-073K3L</t>
  </si>
  <si>
    <t>S6B-PH-SM4-TB(LF)(SN)</t>
  </si>
  <si>
    <t xml:space="preserve">
GRM188R61C106KAALD</t>
  </si>
  <si>
    <t>1N5819</t>
  </si>
  <si>
    <t xml:space="preserve">
RC0603JR-074K7L</t>
  </si>
  <si>
    <t>SMBJ36CA-13-F</t>
  </si>
  <si>
    <t>AP7361-33E-13</t>
  </si>
  <si>
    <t>0603B104K500NT</t>
  </si>
  <si>
    <t>0603B474K500AT</t>
  </si>
  <si>
    <t>FTC252010S4R7MBCA</t>
  </si>
  <si>
    <t>19-217/R6C-AL1M2VY/6T</t>
  </si>
  <si>
    <t>SCR0603J10K</t>
  </si>
  <si>
    <t>AC0603FR-07100RL</t>
  </si>
  <si>
    <t xml:space="preserve">
B3B-PH-SM4-TB(LF)(SN)</t>
  </si>
  <si>
    <t xml:space="preserve">
CL10A105KO8NNNC</t>
  </si>
  <si>
    <t>FBH</t>
  </si>
  <si>
    <t>KGM15ACG1H100FT</t>
  </si>
  <si>
    <t>GCJ188R71E105KA01D</t>
  </si>
  <si>
    <t>C2012X5R1V226M125DC</t>
  </si>
  <si>
    <t>HMK316BJ105KL-T</t>
  </si>
  <si>
    <t>18pF</t>
  </si>
  <si>
    <t>06031A180CAT2A</t>
  </si>
  <si>
    <t>AC0603KRX7R0BB103</t>
  </si>
  <si>
    <t>TMK107B7474KA-TR</t>
  </si>
  <si>
    <t>3pF</t>
  </si>
  <si>
    <t>06035A3R0CAT2A</t>
  </si>
  <si>
    <t>0.2A, Vf 0.4V</t>
  </si>
  <si>
    <t>1PS79SB10,115</t>
  </si>
  <si>
    <t>TVS 5V</t>
  </si>
  <si>
    <t>S2AA-13-F</t>
  </si>
  <si>
    <t>30V 1A SOD-323</t>
  </si>
  <si>
    <t>MF-MSMF110/24X-2 (1A)</t>
  </si>
  <si>
    <t>Đầu XH2.54mm 2 Chân thẳng Xuyên Lỗ</t>
  </si>
  <si>
    <t>XH2.54-2P</t>
  </si>
  <si>
    <t>6.8uH</t>
  </si>
  <si>
    <t>SRN8040TA-6R8M</t>
  </si>
  <si>
    <t>28nH</t>
  </si>
  <si>
    <t>LQW18AN28NG80D</t>
  </si>
  <si>
    <t>6.8nH</t>
  </si>
  <si>
    <t>LCCI0603J6N8GTAR</t>
  </si>
  <si>
    <t>0.2A</t>
  </si>
  <si>
    <t>BSS138LT1G</t>
  </si>
  <si>
    <t>27K</t>
  </si>
  <si>
    <t>ERJ-3EKF2702V</t>
  </si>
  <si>
    <t>2.2K</t>
  </si>
  <si>
    <t xml:space="preserve">ERJ-3EKF1003V </t>
  </si>
  <si>
    <t>0R</t>
  </si>
  <si>
    <t>22R</t>
  </si>
  <si>
    <t>RMCF0603JT22R0</t>
  </si>
  <si>
    <t>52.3k</t>
  </si>
  <si>
    <t>CRCW060352K3FKEA</t>
  </si>
  <si>
    <t>100R</t>
  </si>
  <si>
    <t xml:space="preserve">RC0603FR-07100RL </t>
  </si>
  <si>
    <t>16R</t>
  </si>
  <si>
    <t>ERJ-3GEYJ160V</t>
  </si>
  <si>
    <t>200K</t>
  </si>
  <si>
    <t xml:space="preserve">ERJ-3GEYJ204V </t>
  </si>
  <si>
    <t>196K</t>
  </si>
  <si>
    <t>RC0603FR-07196KL</t>
  </si>
  <si>
    <t>120K</t>
  </si>
  <si>
    <t>100k</t>
  </si>
  <si>
    <t>15K</t>
  </si>
  <si>
    <t>AC0603FR-0715KL</t>
  </si>
  <si>
    <t>330R</t>
  </si>
  <si>
    <t xml:space="preserve">CR0603-FX-3300ELF </t>
  </si>
  <si>
    <t>TPS62933PDRLR</t>
  </si>
  <si>
    <t>MC3419</t>
  </si>
  <si>
    <t>TPS7A2401DBVR</t>
  </si>
  <si>
    <t>5.6V</t>
  </si>
  <si>
    <t>BZT585B5V6T-7</t>
  </si>
  <si>
    <t>SMAJ28A TVS DIODE 28V 45.4V DO214AC</t>
  </si>
  <si>
    <t>SMAJ28A</t>
  </si>
  <si>
    <t>Zener Diodes 1.8V</t>
  </si>
  <si>
    <t>MMSZ4678T1G</t>
  </si>
  <si>
    <t>Micro-B 2.0 SMD V4</t>
  </si>
  <si>
    <t>Đầu XH2.54mm 2 Chân Cong Xuyên Lỗ</t>
  </si>
  <si>
    <t>Capacitor Blue Ceramic  1nF 2000V</t>
  </si>
  <si>
    <t>Tụ Gốm Xanh 1nF 2000V</t>
  </si>
  <si>
    <t>Biến thế nguồn 12V</t>
  </si>
  <si>
    <t>BT FE25</t>
  </si>
  <si>
    <t>MOSFET N-CH 600V 9.5A TO220F</t>
  </si>
  <si>
    <t>FQPF10N60C</t>
  </si>
  <si>
    <t>Điện Trở 10 KOhm 2W 5%</t>
  </si>
  <si>
    <t>SIM7600CE-M1S</t>
  </si>
  <si>
    <t>BQ24298RTWR</t>
  </si>
  <si>
    <t>TLV75733PDRVR</t>
  </si>
  <si>
    <t>TXB0108RGYR</t>
  </si>
  <si>
    <t>7111S2015X02LF</t>
  </si>
  <si>
    <t>SPST - 3.5x6.0x5.0mm</t>
  </si>
  <si>
    <t>OPA391DCKR</t>
  </si>
  <si>
    <t>FBMH3216HM221NT</t>
  </si>
  <si>
    <t>BLM18HE102SN1D</t>
  </si>
  <si>
    <t>875075361005</t>
  </si>
  <si>
    <t>865060353009</t>
  </si>
  <si>
    <t>1259CM-0001=P3</t>
  </si>
  <si>
    <t>LQG15HS2N2S02D</t>
  </si>
  <si>
    <t>PMEG3050EP,115</t>
  </si>
  <si>
    <t>PESD5V0S1UL,315</t>
  </si>
  <si>
    <t>SMF3.3</t>
  </si>
  <si>
    <t>ESD351DPYR</t>
  </si>
  <si>
    <t>PCB SIM7600_300225</t>
  </si>
  <si>
    <t>STM32L451CE</t>
  </si>
  <si>
    <t>ESDA6V1W4</t>
  </si>
  <si>
    <t>220 Ohms @ 100 MHz
4A 20mOhm</t>
  </si>
  <si>
    <t>1 kOhms @ 100 MHz
600mA 350mOhm</t>
  </si>
  <si>
    <t>470uF / 16V</t>
  </si>
  <si>
    <t xml:space="preserve"> 470uF / 16V</t>
  </si>
  <si>
    <t>700 Ohms @ 100 MHz 
5A DCR 10mOhm</t>
  </si>
  <si>
    <t>1 µH - 5.5 A</t>
  </si>
  <si>
    <t>2.2 nH - 900 mA</t>
  </si>
  <si>
    <t>100uF/16V</t>
  </si>
  <si>
    <t xml:space="preserve">DIODE SCHOTTKY 30V 5A </t>
  </si>
  <si>
    <t>TVS - 150W 5V</t>
  </si>
  <si>
    <t>TVS - 200W 3.3V Uni-directional</t>
  </si>
  <si>
    <t>TVS - 36W 3.3V Uni-directional</t>
  </si>
  <si>
    <t xml:space="preserve"> 4.7uF / 16V</t>
  </si>
  <si>
    <t xml:space="preserve"> 1uF / 16V</t>
  </si>
  <si>
    <t>100nF/6.3V - 0402</t>
  </si>
  <si>
    <t xml:space="preserve"> 100pF / 16V</t>
  </si>
  <si>
    <t xml:space="preserve"> 33pF / 16V</t>
  </si>
  <si>
    <t xml:space="preserve"> 22pF / 16V</t>
  </si>
  <si>
    <t xml:space="preserve"> 10pF / 50V</t>
  </si>
  <si>
    <t>1MΩ - 1% - 0603</t>
  </si>
  <si>
    <t>4.7kΩ - 1% - 0402</t>
  </si>
  <si>
    <t>51Ω - 1% - 0402</t>
  </si>
  <si>
    <t>0Ω - 1% - 0402</t>
  </si>
  <si>
    <t>CL10B105KA8NNNC</t>
  </si>
  <si>
    <t>PCB Hitbox_290325_smallP5V3</t>
  </si>
  <si>
    <t>LM1086RS-3.3</t>
  </si>
  <si>
    <t>IC REG LINEAR 3.3V 1.5A DPAK</t>
  </si>
  <si>
    <t>LD39150DT33-R</t>
  </si>
  <si>
    <t>LED RED CLEAR 1006 SMD</t>
  </si>
  <si>
    <t>LED GREEN CLEAR 1006 SMD</t>
  </si>
  <si>
    <t>SML-P11UTT86R</t>
  </si>
  <si>
    <t>SML-P13FTT86R</t>
  </si>
  <si>
    <t>LQM2HPN2R2MJ0L</t>
  </si>
  <si>
    <t>RES SMD 1M OHM 1% 1/16W 0402</t>
  </si>
  <si>
    <t>ERJ-U02F1003X</t>
  </si>
  <si>
    <t>Bluetooth, WiFi 802.11b/g/n, Bluetooth v5.0 Transceiver Module 2.4GHz PCB Trace Surface Mount</t>
  </si>
  <si>
    <t>ESP32-S3-WROOM-1-N16R8</t>
  </si>
  <si>
    <t xml:space="preserve">Cuộn Dây Tín Hiệu 6 Lõi Chống Nhiễu 0.15mm </t>
  </si>
  <si>
    <t>Female Crimp Terminal Contact 3.0mm</t>
  </si>
  <si>
    <t xml:space="preserve">Hộp nhựa 100x70x38 mm </t>
  </si>
  <si>
    <t>Resistor 2.2 KOhm 2W 5% 4 Color Rings</t>
  </si>
  <si>
    <t>VO</t>
  </si>
  <si>
    <t>MO2W-2K2±5%-9T73</t>
  </si>
  <si>
    <t>VTG</t>
  </si>
  <si>
    <t>sensor Smoking  2412/24E (JTY-GD-2412/24E Smoke detector</t>
  </si>
  <si>
    <t>SSE</t>
  </si>
  <si>
    <t xml:space="preserve">System Sensor 2412  </t>
  </si>
  <si>
    <t>VTG không kiểm định PCCC</t>
  </si>
  <si>
    <t>NTC 10K B3950 Temperature Sensor</t>
  </si>
  <si>
    <t>OEM</t>
  </si>
  <si>
    <t xml:space="preserve">NTC 10K B3950 </t>
  </si>
  <si>
    <t>KHO 2 XK-Z2</t>
  </si>
  <si>
    <t>Rigid PCB, 4Layer,FR4 , T=1.6mm,
Finished copper:1/1 OZ, ENIG
Green soldermak, white silkscreen</t>
  </si>
  <si>
    <t>SOM Final_27052025</t>
  </si>
  <si>
    <t>ESD01 Magnetic Door Switch Sensor</t>
  </si>
  <si>
    <t>SENSOR ESD01</t>
  </si>
  <si>
    <t>SS-22F32 Công Tắc Trượt 6 Chân Gắn Bảng ON-OFF 1P2T 0.5A</t>
  </si>
  <si>
    <t>SS-22F32</t>
  </si>
  <si>
    <t>ONN PWR JACK 2X5.5MM SOLDER</t>
  </si>
  <si>
    <t>PCB DISPLAY_ADT</t>
  </si>
  <si>
    <t>IC INVERT SCHMITT 6CH 1IN 14SOIC</t>
  </si>
  <si>
    <t>TE Connectivity ALCOSWITCH Switches</t>
  </si>
  <si>
    <t>1571983-3</t>
  </si>
  <si>
    <t>IC IMU ACCEL/GYRO I2C/SPI 14LGA</t>
  </si>
  <si>
    <t>LSM6DSLTR</t>
  </si>
  <si>
    <t>1A Independent Type 1kV 1.1V@1A SMAF Diodes - General Purpose ROHS</t>
  </si>
  <si>
    <t>MDD</t>
  </si>
  <si>
    <t>CGA Series 0603 100 nF 50 V Â±10 % Tolerance X7R SMT Multilayer Ceramic Capacitor</t>
  </si>
  <si>
    <t>TDK Corporation</t>
  </si>
  <si>
    <t>CAP ALUM 220UF 20% 16V SMD</t>
  </si>
  <si>
    <t>Würth Elektronik</t>
  </si>
  <si>
    <t>865080343009</t>
  </si>
  <si>
    <t>Capacitor Tantalum Polymer 10uF 20% 16V 2-Pin Surface Mount T/R</t>
  </si>
  <si>
    <t>AVX</t>
  </si>
  <si>
    <t>TCJB106M016R0100E</t>
  </si>
  <si>
    <t>Multilayer Ceramic Capacitor, 22 Pf, 50 V, Â½ 5%, C0G (NP0), 0603 [1608 Metric]</t>
  </si>
  <si>
    <t>Murata</t>
  </si>
  <si>
    <t>GRM1885C1H220JA01D</t>
  </si>
  <si>
    <t>CL21A106KOQNNNE</t>
  </si>
  <si>
    <t>Cap Ceramic 1uF 50V X5R 10% SMD 0805 85Â°C Cardboard T/R</t>
  </si>
  <si>
    <t>CL21A105KBCLNNC</t>
  </si>
  <si>
    <t>SCHOTTKY BARRIER DIODE Rectifier Diode, Schottky, 1 Phase, 1 Element, 0.2A, 30V V(RRM), Silicon</t>
  </si>
  <si>
    <t>onsemi</t>
  </si>
  <si>
    <t>DC DC CONVERTER 5V 1W</t>
  </si>
  <si>
    <t>EVISUN</t>
  </si>
  <si>
    <t>Gas Discharge Tube 0.5pF 2kA 117VDC Solder Pad 2-Pin 1812 T/R</t>
  </si>
  <si>
    <t>XH RoHS Compliant 2010 GENERAL PURPOSE Connector Header -25C~85C 3A 250V 0.134 3.40mm</t>
  </si>
  <si>
    <t>JST</t>
  </si>
  <si>
    <t>S8B-XH-A-1(LF)(SN)</t>
  </si>
  <si>
    <t>Conn Shrouded Header (3 Sides) HDR 5 POS 2.5mm Solder ST Top Entry Thru-Hole Bag</t>
  </si>
  <si>
    <t>TE Connectivity / AMP</t>
  </si>
  <si>
    <t>440052-5</t>
  </si>
  <si>
    <t>Jumper (Busbar), Shunt, Standard Board to Board Connectors, 2 Positions, 2.54 mm</t>
  </si>
  <si>
    <t>Plug</t>
  </si>
  <si>
    <t>SNT-100-YW-T</t>
  </si>
  <si>
    <t>Ind Power Shielded Wirewound 47uH 20% 100KHz Ferrite 1A Blister T/R</t>
  </si>
  <si>
    <t>EPCOS</t>
  </si>
  <si>
    <t>B82472P6473M000</t>
  </si>
  <si>
    <t>LED Uni-Color Super Red 645nm 2-Pin Chip 0805(2012Metric) T/R</t>
  </si>
  <si>
    <t>Osram Opto</t>
  </si>
  <si>
    <t>LS R976-NR-1</t>
  </si>
  <si>
    <t>Ptc Reset Fuse 30V 0.5A 1812</t>
  </si>
  <si>
    <t>Meritek</t>
  </si>
  <si>
    <t>MPTS1812L05030R</t>
  </si>
  <si>
    <t>Tape &amp; Reel (TR) Surface Mount NPN SINGLE Bipolar (BJT) Transistor 120 @ 100mA 1V 1.5A 625mW 100MHz</t>
  </si>
  <si>
    <t>MCC</t>
  </si>
  <si>
    <t>Tape &amp; Reel (TR) Surface Mount PNP SINGLE Bipolar (BJT) Transistor 120 @ 100mA 1V 1.5A 625mW 100MHz</t>
  </si>
  <si>
    <t>MMSS8550-L-TP</t>
  </si>
  <si>
    <t>Zero Ohm Resistor, Jumper, 0603 [1608 Metric], Thick Film, 100 mW, 1 A, Surface Mount</t>
  </si>
  <si>
    <t>Res Thick Film 1210 2.7K Ohm 1% 0.5W(1/2W) Â±100ppm/C Pad SMD T/R</t>
  </si>
  <si>
    <t>RC1210FR-072K7L</t>
  </si>
  <si>
    <t>Zero Ohm Resistor, Jumper, 0805 [2012 Metric], Thick Film, 125 mW, 2 A, Surface Mount</t>
  </si>
  <si>
    <t>Res Thick Film 0805 240 Ohm 1% 0.125W(1/8W) Â±100ppm/C Pad SMD T/R</t>
  </si>
  <si>
    <t>RC0805FR-07240RL</t>
  </si>
  <si>
    <t>Res Thick Film 1206 120 Ohm 1% 0.25W(1/4W) Â±100ppm/C Pad SMD T/R</t>
  </si>
  <si>
    <t>RC1206FR-07120RL</t>
  </si>
  <si>
    <t>Res Thick Film 0603 6.8K Ohm 1% 0.1W(1/10W) Â±100ppm/C Pad SMD T/R</t>
  </si>
  <si>
    <t>20 kOhms Â±1% 0.1W, 1/10W Chip Resistor 0603 (1608 Metric) Moisture Resistant Thick Film</t>
  </si>
  <si>
    <t>100Mw Thick Film Resistors 100Ppm/ 1% 100 0603 Chip Resistor Surface Mount Rohs</t>
  </si>
  <si>
    <t>Res Thick Film 1206 4.7 Ohm 1% 0.25W(1/4W) Â±200ppm/C Pad SMD T/R</t>
  </si>
  <si>
    <t>RC1206FR-074R7L</t>
  </si>
  <si>
    <t>Res General Purpose Thick Film 0603 3.3K Ohm 1% 1/10W Â±100ppm/Â°C Molded SMD Paper T/R</t>
  </si>
  <si>
    <t>SMD Chip Resistor, 51 Kohm, Â½ 1%, 100 Mw, 0603 [1608 Metric], Thick Film, General Purpose</t>
  </si>
  <si>
    <t>RC0603FR-0751KL</t>
  </si>
  <si>
    <t>SMBJ Series 53.3 V 0.6 kW Surface Mount Uni-Directional TVS Diode - DO-214AA</t>
  </si>
  <si>
    <t>Littelfuse Inc</t>
  </si>
  <si>
    <t>SMBJ33A</t>
  </si>
  <si>
    <t>Step-down type Fixed 7V~40V 2A 5V TO-263-5 DC-DC Converters ROHS</t>
  </si>
  <si>
    <t>UMW</t>
  </si>
  <si>
    <t>LM2575S-5.0</t>
  </si>
  <si>
    <t>Transistor Output Optocouplers Optocoupler Transistor AC Input</t>
  </si>
  <si>
    <t>Everlight</t>
  </si>
  <si>
    <t>EL814S1(A)(TA)-V</t>
  </si>
  <si>
    <t>TJA1051 Series 5.5 V 5 Mbit/s) High-speed CAN Transceiver - SOIC-8</t>
  </si>
  <si>
    <t>NXP Semiconductors</t>
  </si>
  <si>
    <t>TJA1051T/3/1J</t>
  </si>
  <si>
    <t>Crystal 16MHZ 20PF SMD</t>
  </si>
  <si>
    <t>YIC</t>
  </si>
  <si>
    <t>16M20P2/49SMT</t>
  </si>
  <si>
    <t>±25% 0.1W 10kΩ Plugin Potentiometers, Variable Resistors ROHS</t>
  </si>
  <si>
    <t>BOCHEN(Chengdu Guosheng Tech)</t>
  </si>
  <si>
    <t>RM065-103</t>
  </si>
  <si>
    <t>Multilayer Ceramic Capacitors MLCC - SMD/SMT 50V 470pF X7R 0603 10%</t>
  </si>
  <si>
    <t>C0603C471K5RACTU</t>
  </si>
  <si>
    <t>Cap Aluminum Lytic 330uF 10V 20% (6.3 X 11mm) Radial 2.5mm 540mA 6000h 105C Bulk</t>
  </si>
  <si>
    <t>Rubycon</t>
  </si>
  <si>
    <t>10ZLH330MEFC6.3X11</t>
  </si>
  <si>
    <t>Capacitor, Aluminum Electrolytic, Cap 47uF 35V 20%, Radial 5X11 LS 5 mm | Nichicon UVR1V470MDD</t>
  </si>
  <si>
    <t>Nichicon</t>
  </si>
  <si>
    <t>UVR1V470MDD</t>
  </si>
  <si>
    <t>Kemet</t>
  </si>
  <si>
    <t>C0603C106M9PACTU</t>
  </si>
  <si>
    <t>Multilayer Ceramic Capacitors MLCC - SMD/SMT 50V 0.01uF X7R 0603 10%</t>
  </si>
  <si>
    <t>YAGEO</t>
  </si>
  <si>
    <t>CC0603KRX7R9BB103</t>
  </si>
  <si>
    <t>DUAL SERIES SWITCHING DIODE Rectifier Diode, 2 Element, 0.215A, 100V V(RRM), Silicon, TO-236</t>
  </si>
  <si>
    <t>Led White Diffused 2012 SMD</t>
  </si>
  <si>
    <t>BNDLIGHT</t>
  </si>
  <si>
    <t>0805WBD8120S01</t>
  </si>
  <si>
    <t>Led Red Clear 2012 SMD</t>
  </si>
  <si>
    <t>0805RBD0070S01</t>
  </si>
  <si>
    <t>1N5819HW Series 40 V 1 A Surface Mount Schottky Barrier Rectifier - SOD-123</t>
  </si>
  <si>
    <t>Diodes Incorporated</t>
  </si>
  <si>
    <t>1N5819HW-7-F</t>
  </si>
  <si>
    <t>ESD Diode, SOT-23, 24V, 500W, 150Â°C, Bidir</t>
  </si>
  <si>
    <t>Diotec</t>
  </si>
  <si>
    <t>PSOT24C</t>
  </si>
  <si>
    <t>PTC Resettable Fuse 0.5A(hold) 1A(trip) 15V 100A 0.8W 0.15s 0.15Ohm SMD Solder Pad 1812 T/R</t>
  </si>
  <si>
    <t>Bourns</t>
  </si>
  <si>
    <t>PTC Resettable Fuse 1.5A(hold) 3A(trip) 33VDC 40A 1.5W 2s 0.08Ohm SMD Solder Pad 2920 T/R</t>
  </si>
  <si>
    <t>2920L150DR</t>
  </si>
  <si>
    <t>Inductor Power Shielded Wirewound 220uH 20% 100KHz Ferrite 0.67A 0.806Ohm DCR 3131 T/R</t>
  </si>
  <si>
    <t>NRS8040T221MJGK</t>
  </si>
  <si>
    <t>Ind Common Mode Choke Wirewound 51uH -30% to 50% 1MHz 230mA 1812 Embossed Plastic T/R</t>
  </si>
  <si>
    <t>DLW43SH510XK2L</t>
  </si>
  <si>
    <t>Conn Shrouded Header (4 Sides) HDR 4 POS 2mm Solder RA Side Entry Thru-Hole Box</t>
  </si>
  <si>
    <t>JST Sales</t>
  </si>
  <si>
    <t>S4B-PH-K-S(LF)(SN)</t>
  </si>
  <si>
    <t>Header for PCB; pitch 2.00mm; 2-contacts; THT; male; side entry; 100V/2A</t>
  </si>
  <si>
    <t>S2B-PH-K-S(LF)(SN)</t>
  </si>
  <si>
    <t>Small Signal Bipolar Transistor, 0.6A I(C), 40V V(BR)CEO, 1-Element, NPN, Silicon</t>
  </si>
  <si>
    <t>MMBT2222ALT1G</t>
  </si>
  <si>
    <t>Res Thick Film 0603 3K Ohm 1% 0.1W Â±100ppm/Â°C Molded SMD Punched Carrier T/R</t>
  </si>
  <si>
    <t>Panasonic</t>
  </si>
  <si>
    <t>ERJ-3EKF3001V</t>
  </si>
  <si>
    <t>Res Thick Film 1210 0.33 Ohm 1% 0.5W(1/2W) Â±200ppm/C Pad SMD T/R Automotive AEC-Q200</t>
  </si>
  <si>
    <t>ERJ14BQFR33U</t>
  </si>
  <si>
    <t>Res Thick Film 0603 1K Ohm 1% 1/10W Â±100ppm/Â°C Molded SMD Punched Carrier T/R</t>
  </si>
  <si>
    <t>Res Thick Film 1210 2.7K Ohm 1% 0.5W Â±100ppm/Â°C Molded SMD Embossed Carrier T/R</t>
  </si>
  <si>
    <t>ERJ-P14F2701U</t>
  </si>
  <si>
    <t>Res Thick Film 1210 120 Ohm 1% 0.5W(1/2W) Â±100ppm/C Pad SMD T/R Automotive AEC-Q200</t>
  </si>
  <si>
    <t>Vishay Dale</t>
  </si>
  <si>
    <t>CRCW1210120RFKEA</t>
  </si>
  <si>
    <t>Res Thick Film 0603 22 Ohm 1% 0.1W(1/10W) +/-100ppm/C Molded SMD Automotive Punched T/R</t>
  </si>
  <si>
    <t>ERJ-3EKF22R0V</t>
  </si>
  <si>
    <t>SMD Chip Resistor, 470 Ohm, Â± 1%, 100 mW, 0603 [1608 Metric], Thick Film, Precision</t>
  </si>
  <si>
    <t>Res Thick Film 0603 10K Ohm 1% 1/10W Â±100ppm/Â°C Molded SMD Punched Carrier T/R</t>
  </si>
  <si>
    <t>ERJ3EKF1002V</t>
  </si>
  <si>
    <t>Res Thick Film 0603 0 Ohm Pad SMD T/R Automotive AEC-Q200</t>
  </si>
  <si>
    <t>ERJ-H3G0R00V</t>
  </si>
  <si>
    <t>5.2mm 1.5mm Round Button 50mA Standing paste 5.2mm SPST 100000 Times 160gf 12V SMD Tactile Switches ROHS</t>
  </si>
  <si>
    <t>SHOUHAN</t>
  </si>
  <si>
    <t>TS5215A</t>
  </si>
  <si>
    <t>ARM Cortex-M3 STM32 F1 Microcontroller 32-Bit 72MHz 64kB FLASH LQFP48 STM32F103C8T6</t>
  </si>
  <si>
    <t>LD1117 Series 1300 mA 3.3 V Fixed Output Positive Voltage LDO Regulator- SOT-223</t>
  </si>
  <si>
    <t>LD1117S33TR</t>
  </si>
  <si>
    <t>50V 7-ch darlington transistor array 16-SOIC -40 to 70</t>
  </si>
  <si>
    <t>TexasInstruments</t>
  </si>
  <si>
    <t>HC/UH 74HC595 ROHS3Compliant Cut Tape (CT) shift register 34ns 1muA 141.690917mg 42MHz</t>
  </si>
  <si>
    <t>Texas Instruments</t>
  </si>
  <si>
    <t>SN74HC595DR</t>
  </si>
  <si>
    <t>Inverter Schmitt Trigger 6-Element CMOS 14-Pin SO T/R / IC HEX INVERTER SCHM TRIG 14SOIC</t>
  </si>
  <si>
    <t xml:space="preserve"> Nexperia USA</t>
  </si>
  <si>
    <t>74HC14D,653</t>
  </si>
  <si>
    <t>Abracon LLC</t>
  </si>
  <si>
    <t>ABM3-8.000MHZ-D2Y-T</t>
  </si>
  <si>
    <t>CAP CER 22PF 50V C0G/NPO 0603</t>
  </si>
  <si>
    <t>CL21A226KOQNNNG</t>
  </si>
  <si>
    <t>CC0603JRX7R9BB103</t>
  </si>
  <si>
    <t>UCD1H221MNL1GS</t>
  </si>
  <si>
    <t>CAP CER 10UF 50V X7R 1206</t>
  </si>
  <si>
    <t>CL31B106KBHNNNE</t>
  </si>
  <si>
    <t>CAP ALUM 330UF 20% 16V SMD</t>
  </si>
  <si>
    <t>UCD1C331MNL1GS</t>
  </si>
  <si>
    <t>Multilayer Ceramic Capacitors MLCC - SMD/SMT Multilayer Ceramic Capacitors MLCC - SMD/SMT 50V 0.22uF X7R 0603  10%</t>
  </si>
  <si>
    <t>CC0603KRX7R9BB224</t>
  </si>
  <si>
    <r>
      <t xml:space="preserve">CAP CER </t>
    </r>
    <r>
      <rPr>
        <sz val="11"/>
        <color rgb="FFFF0000"/>
        <rFont val="Calibri"/>
        <family val="2"/>
        <scheme val="minor"/>
      </rPr>
      <t>22UF 16V</t>
    </r>
    <r>
      <rPr>
        <sz val="11"/>
        <color theme="1"/>
        <rFont val="Calibri"/>
        <family val="2"/>
        <charset val="163"/>
        <scheme val="minor"/>
      </rPr>
      <t xml:space="preserve"> X7R 1210</t>
    </r>
  </si>
  <si>
    <t>C3225X7R1C226K250AC</t>
  </si>
  <si>
    <t>CAP CER 1UF 50V X7R 0603</t>
  </si>
  <si>
    <t>CC0603KRX7R9BB105</t>
  </si>
  <si>
    <t xml:space="preserve">	
1A 1kV 1.1V@1A DO-41 Diodes - General Purpose ROHS</t>
  </si>
  <si>
    <t>MDD(Microdiode Semiconductor)</t>
  </si>
  <si>
    <t>TVS DIODE 24VWM 37VC SOT233</t>
  </si>
  <si>
    <t>ESD2CANFD24DBZRQ1</t>
  </si>
  <si>
    <t>USB 2.0 1 4P Female Type-B Plugin</t>
  </si>
  <si>
    <t>Jing Extension of the Electronic Co.</t>
  </si>
  <si>
    <t>921-111A1010Y10200</t>
  </si>
  <si>
    <t>FIXED IND 22UH 1.9A 105MOHM SMD</t>
  </si>
  <si>
    <t>TDK</t>
  </si>
  <si>
    <t>VLS6045EX-220M-H</t>
  </si>
  <si>
    <t>LED RED CLEAR SMD</t>
  </si>
  <si>
    <t>Lite-On</t>
  </si>
  <si>
    <t>LTST-C171KRKT</t>
  </si>
  <si>
    <t>LED GREEN CLEAR SMD</t>
  </si>
  <si>
    <t>LTST-C171KGKT</t>
  </si>
  <si>
    <t>PTC RESET FUSE 15V 500MA 1206</t>
  </si>
  <si>
    <t>Littelfuse</t>
  </si>
  <si>
    <t>RES SMD 12K OHM 5% 1/2W 1210</t>
  </si>
  <si>
    <t>Panasonic Electronic Components</t>
  </si>
  <si>
    <t>ERJ-P14J123U</t>
  </si>
  <si>
    <t>RES 59 OHM 1% 1/4W 1206</t>
  </si>
  <si>
    <t>RC1206FR-0759RL</t>
  </si>
  <si>
    <t>Tactile Switches Tactile Switches FSM4JH=6MM TACT SWITCH, HIGH TEMP</t>
  </si>
  <si>
    <t>TE Connectivity</t>
  </si>
  <si>
    <t>13.3A 600W 45.4V 34.4V Bidirectional 28V SMB ESD and Surge Protection (TVS/ESD) ROHS</t>
  </si>
  <si>
    <t>TWGMC</t>
  </si>
  <si>
    <t>SMBJ28CA</t>
  </si>
  <si>
    <t>ULN Series 50V 500 mA High Voltage High Current Seven Darlington Array - SOIC-16</t>
  </si>
  <si>
    <t>Shift Register Single 8-Bit Serial/Parallel to Serial 16-Pin SOIC T/R</t>
  </si>
  <si>
    <t>SN74HC166DR</t>
  </si>
  <si>
    <t>Nexperia</t>
  </si>
  <si>
    <t>1K ohm</t>
  </si>
  <si>
    <t>RM065-102(1K)</t>
  </si>
  <si>
    <t>Connector Header, PH Series, 4 Position, 2.00mm, Solder, Through Hole, Tin, Natural</t>
  </si>
  <si>
    <t xml:space="preserve"> JST Sales</t>
  </si>
  <si>
    <t>Headers &amp; Wire Housings HDR SPOX VERTICAL 4P</t>
  </si>
  <si>
    <t>Molex</t>
  </si>
  <si>
    <t>09-65-2048</t>
  </si>
  <si>
    <t>Headers &amp; Wire Housings Headers &amp; Wire Housings XH HEADER (TOP)</t>
  </si>
  <si>
    <t>B5B-XH-AM(LF)(SN)</t>
  </si>
  <si>
    <t>8MHz Crystal Oscillator</t>
  </si>
  <si>
    <t>TAITIEN Elec</t>
  </si>
  <si>
    <t>XIHCELNANF-8MHZ</t>
  </si>
  <si>
    <t>DIODE ZENER 12V 1W DO214AC</t>
  </si>
  <si>
    <t>Diotec Semiconductor</t>
  </si>
  <si>
    <t>Z1SMA12</t>
  </si>
  <si>
    <r>
      <t>Rigid PCB, 2Layer,FR4, T=1.6mm,
Finished copper:1/1 OZ,</t>
    </r>
    <r>
      <rPr>
        <b/>
        <sz val="11"/>
        <color theme="1"/>
        <rFont val="Calibri"/>
        <family val="2"/>
        <scheme val="minor"/>
      </rPr>
      <t>ENIG</t>
    </r>
    <r>
      <rPr>
        <sz val="11"/>
        <color theme="1"/>
        <rFont val="Calibri"/>
        <family val="2"/>
        <charset val="163"/>
        <scheme val="minor"/>
      </rPr>
      <t xml:space="preserve">
Green soldermak, white silkscreen,piece size:100 x 60mm,Panel size:100 x 130mm,Array2</t>
    </r>
  </si>
  <si>
    <t>VGS404A</t>
  </si>
  <si>
    <r>
      <t>Rigid PCB, 2Layer,FR4, T=1.6mm,
Finished copper:1/1 OZ,</t>
    </r>
    <r>
      <rPr>
        <b/>
        <sz val="11"/>
        <color theme="1"/>
        <rFont val="Calibri"/>
        <family val="2"/>
        <scheme val="minor"/>
      </rPr>
      <t>ENIG</t>
    </r>
    <r>
      <rPr>
        <sz val="11"/>
        <color theme="1"/>
        <rFont val="Calibri"/>
        <family val="2"/>
        <charset val="163"/>
        <scheme val="minor"/>
      </rPr>
      <t xml:space="preserve">
Green soldermak, white silkscreen,piece size:72.15 x 141.5mm,Panel size:154.3 x 141.5mm,Array2</t>
    </r>
  </si>
  <si>
    <t>VGS502A</t>
  </si>
  <si>
    <r>
      <t xml:space="preserve">Rigid PCB, 2Layer,FR4, T=1.6mm,
Finished copper:1/1 OZ, </t>
    </r>
    <r>
      <rPr>
        <b/>
        <sz val="11"/>
        <color theme="1"/>
        <rFont val="Calibri"/>
        <family val="2"/>
        <scheme val="minor"/>
      </rPr>
      <t>ENIG</t>
    </r>
    <r>
      <rPr>
        <sz val="11"/>
        <color theme="1"/>
        <rFont val="Calibri"/>
        <family val="2"/>
        <charset val="163"/>
        <scheme val="minor"/>
      </rPr>
      <t xml:space="preserve">
Green soldermak, white silkscreen
Piece Size (mm) 243.9 x 50
Array  2
Panel size (mm) 243.9 x 110</t>
    </r>
  </si>
  <si>
    <t>VGS401A</t>
  </si>
  <si>
    <t>VSI</t>
  </si>
  <si>
    <t>4.7K 0805</t>
  </si>
  <si>
    <t>RES 4.7K 0805</t>
  </si>
  <si>
    <t>YX5200-24QS</t>
  </si>
  <si>
    <t>CL10A475KP8NNNC</t>
  </si>
  <si>
    <t>NMC0603X5R475K10TRPF</t>
  </si>
  <si>
    <t>Tụ điện gốm nhiều lớp SMD, 4.7UF, 10 V, 0603 [1608 Metric], ± 10%, X5R</t>
  </si>
  <si>
    <t>LMK212BJ226MG-T</t>
  </si>
  <si>
    <t>1210L075/24PR</t>
  </si>
  <si>
    <t>PTC RESET FUSE 24V 750MA 1210</t>
  </si>
  <si>
    <t>RC0603FR-0713K3L</t>
  </si>
  <si>
    <t>RES 13.3K OHM 1% 1/10W 0603</t>
  </si>
  <si>
    <t>RC1206FR-070RL</t>
  </si>
  <si>
    <t>RES 0 OHM JUMPER 1/16W 1206</t>
  </si>
  <si>
    <t>Điện trở dán 2512 1.5K 152-1W 5%</t>
  </si>
  <si>
    <t>Điện trở dán 0805 2.7K 5%</t>
  </si>
  <si>
    <t>CL10A226MO7JZNC</t>
  </si>
  <si>
    <t>RC0603JR-07470KL</t>
  </si>
  <si>
    <t>RES 470K OHM 5% 1/10W 0603</t>
  </si>
  <si>
    <t>VH-4AW 3.96mm</t>
  </si>
  <si>
    <t>CONN HEADER R/A 4POS 3.96MM</t>
  </si>
  <si>
    <t>Đầu KF2510 2.54mm 4 Chân Cong Xuyên Lỗ</t>
  </si>
  <si>
    <t>KF2510 2.54mm</t>
  </si>
  <si>
    <t>Tụ Tantalum 100uF 35V SMD7343</t>
  </si>
  <si>
    <t>Tụ Tantalum 220uF 25V SMD7343</t>
  </si>
  <si>
    <t>SENSOR 0.01PSID 0.19" 12BIT 4SIP</t>
  </si>
  <si>
    <t>RES 750K OHM 1% 1/16W 0402</t>
  </si>
  <si>
    <t>RES 300K OHM 1% 1/16W 0402</t>
  </si>
  <si>
    <t>RES 4.7 OHM 5% 1/4W 0402</t>
  </si>
  <si>
    <t>RES 100 OHM 1% 1/10W 0603</t>
  </si>
  <si>
    <t>Module custom</t>
  </si>
  <si>
    <t>FSC-BT825B</t>
  </si>
  <si>
    <t>PCB ISP</t>
  </si>
  <si>
    <t>PCB LENS</t>
  </si>
  <si>
    <t>PCB SURGE</t>
  </si>
  <si>
    <t>PCB CONNECTOR_2</t>
  </si>
  <si>
    <t>PCB PSU_UI</t>
  </si>
  <si>
    <t>PCB PSU_DC</t>
  </si>
  <si>
    <t>PCB PSU_AC</t>
  </si>
  <si>
    <t>PCB CONNECTOR_1</t>
  </si>
  <si>
    <t>PCB WATER SENSOR</t>
  </si>
  <si>
    <t>PCB LASER_CONN</t>
  </si>
  <si>
    <t>PCB OPTICAL_SENSOR</t>
  </si>
  <si>
    <t>PCB KNAN_Proxy_04_08_2020</t>
  </si>
  <si>
    <t>PCB KNAN_Button 05_08_2020</t>
  </si>
  <si>
    <t>PCB KNAN_Oled_04_08_2020</t>
  </si>
  <si>
    <t>PCB KNAN_Charger_04_08_2020</t>
  </si>
  <si>
    <t>Layer: 12, Thickness: 2mm, Material: ISOLA 370HR; SIZE (mm): 
159.8*204.5*8UP; Finish: ENIG; Special Remark: POV</t>
  </si>
  <si>
    <t>PCB KNAN_USB_Cable_04_08_2020</t>
  </si>
  <si>
    <t>PCB KNAN_Button_Cable_04_08_2020</t>
  </si>
  <si>
    <t>PCB KNAN_BAT_AA_04_0 8_2020</t>
  </si>
  <si>
    <t>PCB KNAN_Power_Connector_04_08_2020</t>
  </si>
  <si>
    <t>Mạch Bat Protect AA đã hàn lắp linh kiện hoàn chỉnh
- Kích thước: 25.5mmx12.8mm±0.5mm
- Độ dày mạch: 1.6 mm ± 5% 
- Vật liệu: Hi Tg, FR-4
- Số lớp: 2
- Phủ mạ: ENIG
- Silkscreen: Trắng (White)
- Màu sắc: Đen (Black)
- Độ dày lớp đồng:  2oz</t>
  </si>
  <si>
    <t>PCB KNAN_BatProtect_04_08_2020</t>
  </si>
  <si>
    <t>PCB KNAN_BAT_AA2_04_08_2020</t>
  </si>
  <si>
    <t xml:space="preserve">Rigid PCB, 8Layer,370HR , T=1.6mm,
Finished copper:1/1/1/1/1/1/1/1 OZ,
immersion gold
Green soldermak, white silkscreen
Repeat order at PO 22-24(KT20240407)Piece size:88 x 56mm,Panel size:102 x 114mm,Array 2
</t>
  </si>
  <si>
    <t>PCB MPIC_V1.1</t>
  </si>
  <si>
    <t>PCB TLSX EMB_MCU_V1.2</t>
  </si>
  <si>
    <t>PCB TLSX EMB_PWR_V1.1</t>
  </si>
  <si>
    <t>PCB TLSX ADU_MS5611</t>
  </si>
  <si>
    <t>Rigid PCB, 2Layer,FR4 , T=1.6mm,
Finished copper:1/1OZ, ENIG
Green soldermak, white silkscreen
Piece Size(mm): 120 x 112
Array: 1
Panel size(mm): 122 x 120</t>
  </si>
  <si>
    <t>Rigid PCB, 2Layer,FR4 , T=1.6mm,
Finished copper:1/1OZ, ENIG
Green soldermak, white silkscreen
Piece Size(mm): 69 x 104.5
Array: 2
Panel size(mm): 139.6 x 114.5</t>
  </si>
  <si>
    <t>Rigid PCB, 2Layer,FR4 , T=1.6mm,
Finished copper:1/1OZ, ENIG
Green soldermak, white silkscreen
Piece Size(mm): 98 x 158.1
Array: 1
Panel size(mm): 108 x 158.1</t>
  </si>
  <si>
    <t>Rigid PCB, 2Layer,FR4 , T=1.6mm,
Finished copper:2/2 OZ, ENIG
Green soldermak, white silkscreen
Piece Size(mm): 120 x 80
Array: 1
Panel size(mm): 120 x 90</t>
  </si>
  <si>
    <t>Rigid PCB, 6Layer,FR4 , T=1.6mm,
Finished copper:1/1/1/1/1/1 OZ, ENIG
DarkGreen soldermak, white silkscreen
Impedance:50,100 OHM
Piece Size(mm): 95.4 x 52
Array: 1
Panel size(mm): 95.4 x 66</t>
  </si>
  <si>
    <t>Rigid PCB, 4Layer,FR-370HR , T=2.08mm,
Finished copper:1/H/H/1 OZ, ENIG(5-10U")
DarkGreen soldermak, white silkscreen
Piece Size(mm): 124 x 136
Array: 2
Panel size(mm):138 x 136</t>
  </si>
  <si>
    <t>Rigid PCB, 2Layer,FR-370HR , T=2.08mm,
Finished copper:1.5/1.5 OZ, ENIG(5-10U")
DarkGreen soldermak, white silkscreen
Piece Size(mm): 130 x 80
Array: 1
Panel size(mm): 130 x 90</t>
  </si>
  <si>
    <t>Rigid PCB, 6Layer,FR4 , T=1.6mm,
Finished copper:1/1/1/1/1/1 OZ, ENIG
DarkGreen soldermak, white silkscreen
Impedance:50,100 OHM
Piece Size(mm): 152 x 78
Array: 1
Panel size(mm): 152 x 88</t>
  </si>
  <si>
    <t>Rigid PCB, 2Layer,FR4 , T=1.6mm,
Finished copper:1/1 OZ, ENIG
Green soldermak, white silkscreen
VIA IN PAD
Piece Size(mm): 167 x 28
Array: 2
Panel size(mm): 167 x 72</t>
  </si>
  <si>
    <t>Rigid PCB, 2Layer,FR4 , T=2.0mm,
Finished copper:1/1 OZ, ENIG
DarkGreen soldermak, white silkscreen
Piece Size(mm): 87.48 x 44.99
Array: 2
Panel size(mm): 101.5 x 91.98</t>
  </si>
  <si>
    <t>Rigid PCB, 2Layer,FR4 , T=1.6mm,
Finished copper:1/1 OZ, ENIG
DarkGreen soldermak, white silkscreen
Piece Size(mm): 80 x 44
Array: 2
Panel size(mm): 90 x 89.6</t>
  </si>
  <si>
    <t>Rigid PCB, 4Layer,FR-370HR , T=2.08mm,
Finished copper:1.5/H/H/1.5 OZ, ENIG(5-10U")
DarkGreen soldermak, white silkscreen
Piece Size(mm): 60 x 80
Array: 2
Panel size(mm): 94 x 121.6</t>
  </si>
  <si>
    <t>Rigid PCB, 1Layer,ALUMINUM (TC-1W/m·K) , T=1.6mm,
Finished copper:1/0 OZ, HASL Lead Free
Green soldermak, white silkscreen
Piece Size(mm): 74 x 62
Array: 2
Panel size(mm): 84 x 126</t>
  </si>
  <si>
    <t>PCB DS.MAIN_3.0</t>
  </si>
  <si>
    <t>Rigid PCB, 2Layer,FR4 , T=1.63mm,
Finished copper:1/1 OZ, ENIG
DarkGreen soldermak, white silkscreen
Impedance:50,100 OHM
Piece Size(mm): 266 x 94
Array: 1
Panel size(mm): 266 x 104</t>
  </si>
  <si>
    <t>Rigid PCB, 4Layer,FR4 , T=1.6mm,
Finished copper:1/1/1/1 OZ, ENIG
Green soldermak, white silkscreen
Impedance:50,100 OHM
VIN IN PAD
Piece Size(mm): 90 x 51
Array: 1
Panel size(mm): 90 x 65</t>
  </si>
  <si>
    <t>Rigid PCB, 6Layer,FR4 , T=1.6mm,
Finished copper:1/1/1/1/1/1 OZ, ENIG
DarkGreen soldermak, white silkscreen
Impedance:50,100 OHM
Piece Size(mm): 71 x 77
Array: 1
Panel size(mm):81 x 77</t>
  </si>
  <si>
    <t>Rigid PCB, 2Layer,FR4 , T=1.6mm,
Finished copper:1/1OZ, ENIG
DarkGreen soldermak, white silkscreen
Piece Size(mm): 180 x 75
Array: 2
Panel size(mm): 190 x 151.6</t>
  </si>
  <si>
    <t>Rigid PCB, 4Layer,IT-180A , T=1.5mm,
Finished copper:1/1/1/1 OZ, ENIG
DarkGreen soldermak, white silkscreen
Piece Size(mm): 180 x 56
Array: 2
Panel size(mm): 180 x 122</t>
  </si>
  <si>
    <t>Rigid PCB, 2Layer,FR-370HR , T=1.6mm,
Finished copper:1.5/1.5 OZ, ENIG(5-10U")
DarkGreen soldermak, white silkscreen
Piece Size(mm): 10 x 12
Array: 30
Panel size(mm): 82 x 60</t>
  </si>
  <si>
    <t>PCB VISS_BO04_PK10</t>
  </si>
  <si>
    <t>PCB VISS_HW_BO2_MAYHOI</t>
  </si>
  <si>
    <t>PCB VISS_HW_BO1_POV</t>
  </si>
  <si>
    <t>PCB VISS_HW_BO22_INTERFACE</t>
  </si>
  <si>
    <t>PCB VISS_HW_BO33_SHIFT_02RGB_HTT</t>
  </si>
  <si>
    <t>PCB VISS_HW_BO34_SHIFT_05RGB_HTT</t>
  </si>
  <si>
    <t>PCB VISS_HW_BO2_3C25E</t>
  </si>
  <si>
    <t>PCB VISS_HW_BO1_MAYHOI</t>
  </si>
  <si>
    <t>PCB VISS_BO01_PK10</t>
  </si>
  <si>
    <t>PCB VISS_HW_BO6_3M1</t>
  </si>
  <si>
    <t>PCB VISS_HW_BO8_3M1</t>
  </si>
  <si>
    <t>PCB  VISS_HW_BO10_3M1</t>
  </si>
  <si>
    <t>PCB VISS_HW_BO11_3M1</t>
  </si>
  <si>
    <t>PCB VISS_HW_BO3_3M2</t>
  </si>
  <si>
    <t>PCB VISS_HW_BO6_3M2</t>
  </si>
  <si>
    <t>PCB VISS_HW_BO1_3C25E</t>
  </si>
  <si>
    <t>PCB VISS_HW_BO3_3C25E</t>
  </si>
  <si>
    <t>PCB VISS_HW_BO1_KACY</t>
  </si>
  <si>
    <t>PCB VISS_HW_BO2_KACY</t>
  </si>
  <si>
    <t>PCB VISS_BO02_PK10</t>
  </si>
  <si>
    <t>PCB VISS_BO03_PK10</t>
  </si>
  <si>
    <t>PCB VISS_BO01_MP405</t>
  </si>
  <si>
    <t>PCB VISS_BO02_MP405</t>
  </si>
  <si>
    <t>PCB VISS_HW_BO5_3M1</t>
  </si>
  <si>
    <t>PCB  VISS_HW_BO7_3M1</t>
  </si>
  <si>
    <t>PCB VISS_HW_BO9_3M1</t>
  </si>
  <si>
    <t>PCB VISS_HW_BO12_3M1</t>
  </si>
  <si>
    <t>PCB VISS_HW_BO1_3M2</t>
  </si>
  <si>
    <t>PCB  VISS_HW_BO2_3M2</t>
  </si>
  <si>
    <t>PCB VISS_HW_BO4_3M2</t>
  </si>
  <si>
    <t>PCB VISS_HW_BO5_3M2</t>
  </si>
  <si>
    <t>PCB VISS_HW_BO7_3M2</t>
  </si>
  <si>
    <t>PCB VISS_HW_BO3_3M1</t>
  </si>
  <si>
    <t>PCB VISS_HW_BO2_3M1</t>
  </si>
  <si>
    <t>PCB VISS_BO05_PK10</t>
  </si>
  <si>
    <t>PCB VISS_HW_BO2_POV</t>
  </si>
  <si>
    <t>PCB VISS_HW_BO1_MAYDAP</t>
  </si>
  <si>
    <t>PCB VISS_HW_BO1_AK630</t>
  </si>
  <si>
    <t>PCB VISS_HW_BO8_ROTARY POTENTIOMETER</t>
  </si>
  <si>
    <t>PCB VISS_HW_BO9_IO</t>
  </si>
  <si>
    <t>PCB VISS_HW_BO4_3M1</t>
  </si>
  <si>
    <t>PCB VISS_HW_BO3_LIMIT_SWITCH</t>
  </si>
  <si>
    <t>PCB VISS_HW_BO5_02RGB</t>
  </si>
  <si>
    <t>PCB VISS_HW_BO29_RJ11</t>
  </si>
  <si>
    <t>PCB VISS_HW_BO6_01RGB</t>
  </si>
  <si>
    <t>PCB VISS_HW_BO35_MICTHONGTHOAI</t>
  </si>
  <si>
    <t>PCB VISS.HW.BO31_HALL_ENCODER_SENSOR</t>
  </si>
  <si>
    <t>PCB VISS_HW_BO1_3M1</t>
  </si>
  <si>
    <t>PCB VISS_HW_BO4_PUSHBUTTOM_TO</t>
  </si>
  <si>
    <t>PCB VISS_HW_BO14_PUSHBUTTM_SWITCH_DL</t>
  </si>
  <si>
    <t>PCB VISS_HW_BO10_TOGGLE_SWITCH2_DL_BHT</t>
  </si>
  <si>
    <t>PCB VISS_HW_BO1_CongTac12Muc</t>
  </si>
  <si>
    <t>PCB VISS_HW_BO1_ORION</t>
  </si>
  <si>
    <t>PCB VISS_HW_BO3_ORION</t>
  </si>
  <si>
    <t>PCB VISS_HW_BO4_ORION</t>
  </si>
  <si>
    <t>PCB VISS_HW_BO8_ORION</t>
  </si>
  <si>
    <t>PCB VISS_HW_BO9_ORION</t>
  </si>
  <si>
    <t>PCB VISS_HW_BO10_ORION</t>
  </si>
  <si>
    <t>PCB VISS_HW_BO11_ORION</t>
  </si>
  <si>
    <t>PCB VISS_HW_BO12_ORION</t>
  </si>
  <si>
    <t>PCB VISS_HW_BO15_ORION</t>
  </si>
  <si>
    <t>PCB VISS_HW_BO17_ORION</t>
  </si>
  <si>
    <t>PCB VISS_HW_BO18_ORION</t>
  </si>
  <si>
    <t>PCB VISS_HW_BO20_ORION</t>
  </si>
  <si>
    <t>PCB VISS_HW_BO1_DRIVER_DONG_HO</t>
  </si>
  <si>
    <t>PCB VISS_HW_BO1_TU_PHAN_PHOI_DIEN</t>
  </si>
  <si>
    <t>PCB VISS_HW_BO2_MAYTT_OLIVA</t>
  </si>
  <si>
    <t>PCB VISS_HW_BO1_K221_FR_IO</t>
  </si>
  <si>
    <t>Bo mạch PCB VISS_HW_BO1_SFELA_BUTTON</t>
  </si>
  <si>
    <t>PCB VISS_HW_BO2_SFELA_IO</t>
  </si>
  <si>
    <t>PCB VISS_HW_BO1_KVK_DEMDAN_IO</t>
  </si>
  <si>
    <t>PCB VISS_HW_BO6_ORION</t>
  </si>
  <si>
    <t>PCB VISS_HW_BO3_MAYTT_OLIVA</t>
  </si>
  <si>
    <t>PCB VISS_HW_BO5_MAYTT_OLIVA</t>
  </si>
  <si>
    <t>PCB VISS_HW_BO1_MAYTT_P638</t>
  </si>
  <si>
    <t>PCB VISS_HW_BO2_K221_TEMP</t>
  </si>
  <si>
    <t>PCB VISS_HW_BO3_IGLA_NRF_TRANS</t>
  </si>
  <si>
    <t>PCB VISS_HW_BO4_IGLA_NRF_RECEIVE</t>
  </si>
  <si>
    <t>PCB VISS_HW_BO5_IGLA_BATT_HOLDER</t>
  </si>
  <si>
    <t>PCB VISS_HW_BO2_ORION</t>
  </si>
  <si>
    <t>PCB VISS_HW_BO5_ORION</t>
  </si>
  <si>
    <t>PCB VISS_HW_BO13_ORION</t>
  </si>
  <si>
    <t>PCB VISS_HW_BO14_ORION</t>
  </si>
  <si>
    <t>PCB VISS_HW_BO1_TAMHUONG</t>
  </si>
  <si>
    <t>PCB VISS_HW_BO2_TAMHUONG_ECD</t>
  </si>
  <si>
    <t>PCB VISS_HW_BO3_KVK_TAYLAC</t>
  </si>
  <si>
    <t>PCB VISS_HW_BO1_IGLA_BATT_TEMP</t>
  </si>
  <si>
    <t>PCB VISS_HW_BO2_IGLA_BATT_REC</t>
  </si>
  <si>
    <t>PCB VISS_HW_BO12_ENCODER_MAYLAI</t>
  </si>
  <si>
    <t>PCB VISS_HW_BO1_AK176_5LEDSEGMENTS</t>
  </si>
  <si>
    <t>PCB VISS_HW_BO3_SFELA_3RGB</t>
  </si>
  <si>
    <t>PCB VISS_HW_BO4_MAYTT_OLIVA</t>
  </si>
  <si>
    <t>PCB VISS_HW_BO6_IGLA</t>
  </si>
  <si>
    <t>PCB VISS_HW_BO3_TAMHUONG_TEMP</t>
  </si>
  <si>
    <t>PCB VISS_HW_BO1_MAYTT_OLIVA</t>
  </si>
  <si>
    <t>PCB VISS_HW_BO17_TOGGLE_SWITCH3_DL_BHT</t>
  </si>
  <si>
    <t>Dây cáp 6</t>
  </si>
  <si>
    <t xml:space="preserve">Gối đỡ dây điện loại 2 </t>
  </si>
  <si>
    <t>Dây cáp 16</t>
  </si>
  <si>
    <t>Dây cáp 18</t>
  </si>
  <si>
    <t>'12V 60 W AC/DC External Desktop (Class I) Adapter Cord (Sold Separately) Input</t>
  </si>
  <si>
    <t>Dây cáp 8</t>
  </si>
  <si>
    <t>Dây cáp 9</t>
  </si>
  <si>
    <t>Dây cáp 10</t>
  </si>
  <si>
    <t>Dây cáp 7</t>
  </si>
  <si>
    <t>Dây cáp 12</t>
  </si>
  <si>
    <t>Dây cáp 17</t>
  </si>
  <si>
    <t>Dây điện màu đen, 1 lõi, tiết diện 22 AWG</t>
  </si>
  <si>
    <t>Dây điện màu đỏ , 1 lõi, tiết diện 22 AWG</t>
  </si>
  <si>
    <t>Cổng kết nối 4 vị trí, đực, chuẩn 2.8</t>
  </si>
  <si>
    <t>Cổng kết nối 4 vị trí,cái , chuẩn 2.8</t>
  </si>
  <si>
    <t>Cổng kết nối 3 vị trí, đực, chuẩn 2.8</t>
  </si>
  <si>
    <t>Cổng kết nối 3 vị trí, cái , chuẩn 2.8</t>
  </si>
  <si>
    <t>Co nhiệt phi 8mm</t>
  </si>
  <si>
    <t>Co nhiệt phi 10mm</t>
  </si>
  <si>
    <t>Co nhiệt phi 12mm</t>
  </si>
  <si>
    <t>CABLE USB B-B MALE 2M 2.0 VERS</t>
  </si>
  <si>
    <t xml:space="preserve"> Co nhiệt Loại 2 mm</t>
  </si>
  <si>
    <t xml:space="preserve"> Co nhiệt Loại 3 mm</t>
  </si>
  <si>
    <t xml:space="preserve"> Co nhiệt Loại 4 mm</t>
  </si>
  <si>
    <t>Co nhiệt phi 6mm</t>
  </si>
  <si>
    <t>Co nhiệt phi 2mm</t>
  </si>
  <si>
    <t>Co nhiệt phi 1mm</t>
  </si>
  <si>
    <t>Co nhiệt phi 3mm</t>
  </si>
  <si>
    <t>Co nhiệt phi 4mm</t>
  </si>
  <si>
    <t xml:space="preserve"> Đầu cose đực, chuẩn 2.8</t>
  </si>
  <si>
    <t xml:space="preserve"> Đầu cose cái, chuẩn 2.8</t>
  </si>
  <si>
    <t>CONN-DIP;HEADER,M,8POS,2.0MM,S08B-PUDSS-1(LF)(SN), R/A</t>
  </si>
  <si>
    <t>12V 60 W AC/DC External Desktop (Class I) Adapter Cord (Sold Separately) Input</t>
  </si>
  <si>
    <t>Cảm biến chân ga có giá trị cảm biến: 6000 OHM</t>
  </si>
  <si>
    <t>Băng dính vải, chiều dài 10m, bề rộng: 20mm</t>
  </si>
  <si>
    <t>CONN RECEPT HOUSING 14 POS 2MM</t>
  </si>
  <si>
    <t>90 Degree Left Angled USB B Type Male to Female extension cable with screws for Panel Mount 50cm</t>
  </si>
  <si>
    <t>Dây điện màu đỏ , 1 lõi, tiết diện 24 AWG</t>
  </si>
  <si>
    <t xml:space="preserve"> Đầu cose đực, chuẩn 4.8</t>
  </si>
  <si>
    <t>Dây điện màu đen, 1 lõi, tiết diện 24 AWG</t>
  </si>
  <si>
    <t>Dây điện màu xanh , 1 lõi, tiết diện 24 AWG</t>
  </si>
  <si>
    <t>FERRITE CORE 161 OHM SOLID 10MM</t>
  </si>
  <si>
    <t>THERM TAPE 4.57MX19.05MM W/ADH</t>
  </si>
  <si>
    <t>TESTER INDUST DUTY 2 BUT PENDANT</t>
  </si>
  <si>
    <t>Rigid PCB, 12Layer,FR408HR , T=1.6mm,
Finished copper:1/1/H/1/H/2/2/H/1/H/1/1 OZ,
ENIG
Green soldermak, white silkscreen
Piece Size(mm): 58.99 x 80
Array: 1
Panel size(mm): 72.99 x 80</t>
  </si>
  <si>
    <t>Rigid PCB, 4Layer,FR4 , T=1.6mm,
Finished copper:1/H/H/1 OZ, ENIG
Green soldermak, white silkscreen
Piece Size(mm): 86 x 74
Array: 1
Panel size(mm): 86 x 84</t>
  </si>
  <si>
    <t>Rigid PCB, 4Layer,FR4 , T=1.6mm,
Finished copper:1/1/1/1 OZ, ENIG
Green soldermak, white silkscreen
Piece Size(mm): 73.99 x 48
Array: 2
Panel size(mm): 83.99 x 97.6</t>
  </si>
  <si>
    <t>Rigid PCB, 4Layer,370HR , T=1.6mm,
Finished copper:1/H/H/1 OZ, ENIG
Green soldermak, white silkscreen
Piece Size(mm): 29 x 30.37
Array: 6
Panel size(mm): 90.99 x 76.74</t>
  </si>
  <si>
    <t xml:space="preserve"> 280*130*100mm (HEPA: 279*130*90mm, Carbon filter：279*130*10mm) Efficiency: H13 black cardboard frame
Two sides has a pull tab</t>
  </si>
  <si>
    <t>Size: 279*130*10mm</t>
  </si>
  <si>
    <t>Speaker 4Ohm/2W 40mm</t>
  </si>
  <si>
    <t>PCB Display</t>
  </si>
  <si>
    <t>CABLE 12COND 24AWG GRY SHD 1=1FT</t>
  </si>
  <si>
    <t>BATTERY 3.6 VOLTS SIZE D</t>
  </si>
  <si>
    <t>PCB Display ver cũ</t>
  </si>
  <si>
    <t>PCB control_28Oct</t>
  </si>
  <si>
    <t>PCB CONN_28oct</t>
  </si>
  <si>
    <t>PCB Display_28oct</t>
  </si>
  <si>
    <t>Rigid PCB, 2Layer,FR4 TG170 , T=1.6mm,
Finished copper:1/1 OZ, ENIG
Matte Green soldermak, white silkscreen,Piece size:166 x 166mm,Panel size:166 x 167mm, Array 1</t>
  </si>
  <si>
    <t>Rigid PCB, 2Layer,FR4 TG170 , T=1.6mm,
Finished copper:1/1 OZ, ENIG
Matte Green soldermak, white silkscreen,piece size:160 x 120mm,Panel size:160 x 130mm,Array 1</t>
  </si>
  <si>
    <t>Rigid PCB, 2Layer,FR4 TG170 , T=1.6mm,
Finished copper:1/1 OZ, ENIG
Matte Green soldermak, white silkscreen,Piece size:146 x 92,Panel size:156 x 185.6mm,Array 2</t>
  </si>
  <si>
    <t>Rigid PCB, 2Layer,FR4 TG170 , T=1.6mm,
Finished copper:1/1 OZ, ENIG
Matte Green soldermak, white silkscreen,Piece size:130 x 82mm,Panel size:140 x 166mm, Array 2</t>
  </si>
  <si>
    <t>PCB bo mạch VOTO.HW.SUM_V2 :
- Kích thước: 99.9x86mm±1mm
- Số lớp: 4 lớp
- Vật liệu: FR4, 1oz
- Sơn phủ Xanh, mạ thiếc, chữ màu trắng</t>
  </si>
  <si>
    <t>Layer Count： 12 L Rigid board Copper Thickness： 1/1OZ Smallest hole：≥8mil
Material Type： FR4 tg170 Board Size：149.8*96.8mm Blind&amp;burried Vias：No
Surface Finish： ENIG 2U'' Array Size：149.8*106.8mm（1up） Hole to Track Spacing：No
Gold finger(Pin)： NO Board Thickness： 2.0 mm Non-Conductive Resin：Yes
IPC Standard： IPC 2 Track Width&amp;Gap：3.5/4.9mil Conductive Resin：NO
Soldermask Colour：Matte green Impedance Control： NO
Silkscreen Colour： White Others: Date code</t>
  </si>
  <si>
    <t>PCB bo mạch VOTO.HW.GEAR_MANUAL :
- Kích thước: 95x71mm±1mm
- Số lớp: 2 lớp
- Vật liệu: FR4, 1oz
- Sơn phủ Xanh, mạ thiếc, chữ màu trắng</t>
  </si>
  <si>
    <t>PCB bo mạch VOTO.HW.GEAR_AUTO :
- Kích thước: 78.366x52.971mm±1mm
- Số lớp: 2 lớp
- Vật liệu: FR4, 1oz
- Sơn phủ Xanh, mạ thiếc, chữ màu trắng</t>
  </si>
  <si>
    <t>PCB bo mạch VOTO.HW.WHELL :
- Kích thước: 99.9x52mm±1mm
- Số lớp: 2 lớp
- Vật liệu: FR4, 1oz
- Sơn phủ Xanh, mạ thiếc, chữ màu trắng</t>
  </si>
  <si>
    <t>Rigid PCB, 6Layer,185HR , T=1.6mm,
Finished copper:1/1/1/1/1/1OZ, immersion
gold
Green soldermak, white silkscreen
Impedance:50,100 OHM,Piece Size
(mm): 30 x 30, Array: 6, Panel size
(mm): 94 x 76</t>
  </si>
  <si>
    <t>PCB TSDN.HW.GUNCONTR OL.HUB</t>
  </si>
  <si>
    <t>PCB TSDN.HW.SVD.SCOPE</t>
  </si>
  <si>
    <t>PCB TSDN.HW.GUNCONTR OL.DEVICE</t>
  </si>
  <si>
    <t>PCB TSDN.HW.LASER</t>
  </si>
  <si>
    <t>PCB MCC_v2.0  L2</t>
  </si>
  <si>
    <t>PCB 2-X_MCC_V1.0_TKM (ko sử dụng)</t>
  </si>
  <si>
    <t>PCB UAV2 -X_MCC_V1.0_13.09.22</t>
  </si>
  <si>
    <t>Rigid PCB, 4Layer,FR-370HR , T=2.08mm,
Finished copper:1.5/H/H/1.5OZ OZ, ENIG(5-
10U")
DarkGreen soldermak, white silkscreen
Piece Size(mm): 120 x 140
Array: 2
Panel size(mm): 191.4 x 150</t>
  </si>
  <si>
    <t>Rigid PCB, 4Layer,FR-370HR , T=2.08mm,
Finished copper:1.5/H/H/1.5OZ OZ, ENIG(5-
10U")
DarkGreen soldermak, white silkscreen
Piece Size(mm): 100 x 55
Array: 2
Panel size(mm): 110 x 111.6</t>
  </si>
  <si>
    <t>Rigid PCB, 4Layer,FR-370HR , T=2.08mm,
Finished copper:1.5/H/H/1.5OZ OZ, ENIG(5-
10U")
DarkGreen soldermak, white silkscreen
Impedance:40,75,90,100 OHM
Piece Size(mm): 99.99 x 75
Array: 1
Panel size(mm):100 x 89</t>
  </si>
  <si>
    <t>Rigid PCB, 4Layer,FR-370HR , T=2.08mm,
Finished copper:1.5/H/H/1.5OZ OZ, ENIG(5-
10U")
DarkGreen soldermak, white silkscreen
Piece Size(mm): 175 x 125
Array: 2
Panel size(mm): 185 x 214</t>
  </si>
  <si>
    <t>Rigid PCB, 4Layer,FR-370HR , T=1.6mm,
Finished copper:1.5/H/H/1.5OZ OZ, ENIG(5-
10U")
DarkGreen soldermak, white silkscreen
Piece Size(mm):150 x 60
Array: 2
Panel size(mm): 160 x 121.6</t>
  </si>
  <si>
    <t>Rigid PCB, 2Layer,FR-370HR , T=1.6mm,
Finished copper:1.5/1.5OZ OZ, ENIG(5-10U")
DarkGreen soldermak, white silkscreen
Piece Size(mm): 70 x 35
Array: 2
Panel size(mm) :80 x 71.6</t>
  </si>
  <si>
    <t>Rigid PCB, 2Layer,FR-370HR , T=1.1mm,
Finished copper:1.5/1.5OZ OZ, ENIG(5-10U")
DarkGreen soldermak, white silkscreen
Piece Size(mm): 75 x 60
Array: 2
Panel size(mm): 85 x 121.6</t>
  </si>
  <si>
    <t>PCB MCC_v2.0 PCB 8Layer 370HR T=1.6mm</t>
  </si>
  <si>
    <t>Rigid PCB, 2Layer,FR-370HR , T=1.6mm,
Finished copper:1.5/1.5OZ OZ, ENIG(5-10U")
DarkGreen soldermak, white silkscreen
Piece Size(mm): 10 x 12
Array: 30
Panel size(mm): 60 x 81.98</t>
  </si>
  <si>
    <t>PCB TLSX_MAIN-2.0</t>
  </si>
  <si>
    <t>PCB TLSX_DSP-2.0</t>
  </si>
  <si>
    <t>PCB 01.CS-DSP</t>
  </si>
  <si>
    <t>PCB 04.CS-MAIN</t>
  </si>
  <si>
    <t>PCB 02.CS-FILTER</t>
  </si>
  <si>
    <t>PCB 03.CS-ISP</t>
  </si>
  <si>
    <t>PCB 05.CS-EMB-COM</t>
  </si>
  <si>
    <t>6L 1/2OZ FR4 95.4*52mm</t>
  </si>
  <si>
    <t>4L 1/1OZ FR4 180*56mm</t>
  </si>
  <si>
    <t>Layer Count： 2 L Rigid board Copper Thickness ： 1/1OZ Smallest hole：≥8mil</t>
  </si>
  <si>
    <t>6L 1/2OZ FR4 71*77mm</t>
  </si>
  <si>
    <t>PCB bo mạch VOTO.HW.PEDAL :
- Kích thước: 75.5x26mm±1mm
- Số lớp: 2 lớp
- Vật liệu: FR4, 1oz
- Sơn phủ Xanh, mạ thiếc, chữ màu trắng</t>
  </si>
  <si>
    <t>PCB bo mạch VOTO.HW.DOF_RESISTOR :
- Kích thước: 118.5x39mm±1mm
- Số lớp: 2 lớp
- Vật liệu: FR4, 1oz
- Sơn phủ Xanh, mạ thiếc, chữ màu trắng</t>
  </si>
  <si>
    <t>PCB KNAN-MAIN</t>
  </si>
  <si>
    <t>PCB KNAN_BatProtect_AA_04_08_2020</t>
  </si>
  <si>
    <t>PCB MCC_v2.0</t>
  </si>
  <si>
    <t>PCB DS.PSU_3.0</t>
  </si>
  <si>
    <t>PCB FCC.KEYPAD_3.0</t>
  </si>
  <si>
    <t>PCB ETRIGGER_INV_3.0</t>
  </si>
  <si>
    <t>PCB GS_FILTER_3.0</t>
  </si>
  <si>
    <t>PCB GS_DAY_3.0</t>
  </si>
  <si>
    <t>PCB CS_LENS_3.0</t>
  </si>
  <si>
    <t>PCB CS_FILTER_3.0</t>
  </si>
  <si>
    <t>PCB GS_UI_3.0</t>
  </si>
  <si>
    <t>PCB DS.UI_3.0</t>
  </si>
  <si>
    <t>PCB DS.WIPPER_3.0</t>
  </si>
  <si>
    <t>PCB FCC.A3DP_3.0</t>
  </si>
  <si>
    <t>PCB CS_ISP_3.0</t>
  </si>
  <si>
    <t>PCB ETRIGGER_PW_3.0</t>
  </si>
  <si>
    <t>PCB FCC.CONNECTOR_3.0</t>
  </si>
  <si>
    <t>PCB GS_EMB 30</t>
  </si>
  <si>
    <t>PCB GS_IR_3.0</t>
  </si>
  <si>
    <t>PCB ETRIGGER_CTRL_3.0</t>
  </si>
  <si>
    <t>PCB GS_ISP_3.0</t>
  </si>
  <si>
    <t>PCB CS_OPTOCAL_SENS_3.0</t>
  </si>
  <si>
    <t>PCB E-Trigger-v3 Output 2025-06-17</t>
  </si>
  <si>
    <t>83264 001100</t>
  </si>
  <si>
    <t>CL-3</t>
  </si>
  <si>
    <t>969M101-26-2TPS-025</t>
  </si>
  <si>
    <t>969M101-28-5TPS-025</t>
  </si>
  <si>
    <t>GST60A12-P1J</t>
  </si>
  <si>
    <t>83010 010100</t>
  </si>
  <si>
    <t>83010 002100</t>
  </si>
  <si>
    <t>83010 009100</t>
  </si>
  <si>
    <t>78304 SL005</t>
  </si>
  <si>
    <t>78303 SL005</t>
  </si>
  <si>
    <t>969M101-18-3-050</t>
  </si>
  <si>
    <t>3132-22-1-0500-001-1-TS</t>
  </si>
  <si>
    <t>3139-22-1-0500-001-1-TS</t>
  </si>
  <si>
    <t>3104A0741</t>
  </si>
  <si>
    <t>3204A0741</t>
  </si>
  <si>
    <t>3103A0741</t>
  </si>
  <si>
    <t>3203A0741</t>
  </si>
  <si>
    <t>S-901-600 KTT 8mm</t>
  </si>
  <si>
    <t>S-901-600 KTT 10mm</t>
  </si>
  <si>
    <t>S-901-600 KTT 12mm</t>
  </si>
  <si>
    <t>AK673/2-2</t>
  </si>
  <si>
    <t>HST-GF2-BL</t>
  </si>
  <si>
    <t>HST-GF3-BL</t>
  </si>
  <si>
    <t>HST-GF4-BL</t>
  </si>
  <si>
    <t>S-901-600 KTT 6mm</t>
  </si>
  <si>
    <t>S-901-600 KTT 2mm</t>
  </si>
  <si>
    <t>S-901-600 KTT 1mm</t>
  </si>
  <si>
    <t>S-901-600 KTT 3mm</t>
  </si>
  <si>
    <t>S-901-600 KTT 4mm</t>
  </si>
  <si>
    <t>FS110-06B95</t>
  </si>
  <si>
    <t>MS110-01B2</t>
  </si>
  <si>
    <t>S08B-PUDSS-1(LF)(SN)</t>
  </si>
  <si>
    <t>18919-AM810</t>
  </si>
  <si>
    <t>HST-GF2-BK-00</t>
  </si>
  <si>
    <t>HST-GF3-BK-00</t>
  </si>
  <si>
    <t>HST-GF4-BK-00</t>
  </si>
  <si>
    <t>BVD20</t>
  </si>
  <si>
    <t>PUDP-14V-S</t>
  </si>
  <si>
    <t>PUDP-8V-S</t>
  </si>
  <si>
    <t>U2-132-LE-0.5M</t>
  </si>
  <si>
    <t>3239-24-1-0500-004-1-TS</t>
  </si>
  <si>
    <t>501LT</t>
  </si>
  <si>
    <t>3132-24-1-0500-001-1-TS</t>
  </si>
  <si>
    <t>3050 BL013</t>
  </si>
  <si>
    <t>3/4-5-8810</t>
  </si>
  <si>
    <t>Cần gạt số xe hơi</t>
  </si>
  <si>
    <t>PCB PPK_System_v1.0</t>
  </si>
  <si>
    <t>PCB P57-GS-MAIN-20240304</t>
  </si>
  <si>
    <t>PCB PPK_Controller_v1.0</t>
  </si>
  <si>
    <t>PCB PPK_Driver_LLD_v1.0</t>
  </si>
  <si>
    <t>PCB PPK_LRF_v1.0</t>
  </si>
  <si>
    <t>Combined filter</t>
  </si>
  <si>
    <t>Coarse filter</t>
  </si>
  <si>
    <t>PCB LASER-MHMP (2)</t>
  </si>
  <si>
    <t>KNAN_MotherBoard_
Jig 21_09_2020</t>
  </si>
  <si>
    <t>KNAN_PROXY_OLED
_Jig 03_09_2020</t>
  </si>
  <si>
    <t>KNAN_BatProtect_Ji g 03_09_2020</t>
  </si>
  <si>
    <t>KNAN_CHARGER_JI
G 03_09_2020</t>
  </si>
  <si>
    <t>PCB-BPM_V1.0</t>
  </si>
  <si>
    <t>8.PCB LENS</t>
  </si>
  <si>
    <t>PCB_05.CONNECTOR_2</t>
  </si>
  <si>
    <t xml:space="preserve">PCB 03. SURGE </t>
  </si>
  <si>
    <t>PCB LASER</t>
  </si>
  <si>
    <t>PCB MHM_V1.0</t>
  </si>
  <si>
    <t>PCB SYSBOARD</t>
  </si>
  <si>
    <t>PCB 12.PSU-AC</t>
  </si>
  <si>
    <t>PCB_04.CONNECTOR_1</t>
  </si>
  <si>
    <t>PCB 15.LDD</t>
  </si>
  <si>
    <t>PCB GS- LENS</t>
  </si>
  <si>
    <t>PCB 14.LASER- DRIVER</t>
  </si>
  <si>
    <t>PCB CS - LENS</t>
  </si>
  <si>
    <t>PCB PSU- DS</t>
  </si>
  <si>
    <t>PCB CS_ UI</t>
  </si>
  <si>
    <t>PCB GS- UI</t>
  </si>
  <si>
    <t>PCB PSU_AC_020621</t>
  </si>
  <si>
    <t>PCB PSU_UI_020621</t>
  </si>
  <si>
    <t>PCB PSU_DC_020621</t>
  </si>
  <si>
    <t>PCB LASER_CAPACITOR</t>
  </si>
  <si>
    <t>PCB LASER DRIVER</t>
  </si>
  <si>
    <t>PCB_01.ISP</t>
  </si>
  <si>
    <t>PCB PSU-UI</t>
  </si>
  <si>
    <t>PCB CS_MAIN_10-02-2023</t>
  </si>
  <si>
    <t>PCB IRST-CONN-SCD</t>
  </si>
  <si>
    <t>PCB OPTICAL SENSOR</t>
  </si>
  <si>
    <t>PCB H1_CONTROL_Booard_DVT2</t>
  </si>
  <si>
    <t xml:space="preserve">PCB SENSOR </t>
  </si>
  <si>
    <t>PCB 02.FILTER</t>
  </si>
  <si>
    <t>PCB 08.LENS</t>
  </si>
  <si>
    <t>PCB VOTO.HW.SUM</t>
  </si>
  <si>
    <t>PCB DS.UI 1</t>
  </si>
  <si>
    <t>PCB DS.UI</t>
  </si>
  <si>
    <t>PCB CS_DSP_2023-02-26</t>
  </si>
  <si>
    <t>PCB VOTO.HW.GEAR_MANUA</t>
  </si>
  <si>
    <t>PCB VOTO.HW.GEAR_AUTO</t>
  </si>
  <si>
    <t>PCBA-NTM88</t>
  </si>
  <si>
    <t>PCB VEE_LRA_LRF_CONN</t>
  </si>
  <si>
    <t>PCB 07. LRF CONN</t>
  </si>
  <si>
    <t>PCB PSU_SOFTSTART</t>
  </si>
  <si>
    <t>PCB LRF CONN</t>
  </si>
  <si>
    <t>PCB DISPLAY7_290121</t>
  </si>
  <si>
    <t>PCB VOTO.HW.WHELL</t>
  </si>
  <si>
    <t>PCB Artwork_control</t>
  </si>
  <si>
    <t>PCBA TPMS_SP400</t>
  </si>
  <si>
    <t>PCB AFE_V10_EOS</t>
  </si>
  <si>
    <t>PCB TLSX UAV2-XMCC_v2.0</t>
  </si>
  <si>
    <t>PCB UAV2-X_MCC_V1.0 13.09.22</t>
  </si>
  <si>
    <t>PCB 2-X_MCC_V1.0_TKM</t>
  </si>
  <si>
    <t>PCB P57-GS-ISP</t>
  </si>
  <si>
    <t>PCB P57-GS-LENS</t>
  </si>
  <si>
    <t>PCB P57-GS-EMBCOM</t>
  </si>
  <si>
    <t>PCB P57-GS-FILTER</t>
  </si>
  <si>
    <t>PCB P57-GS-SURGE</t>
  </si>
  <si>
    <t>PCB P57-GS-CONNECTOR 1</t>
  </si>
  <si>
    <t>PCB P57-GS-CONNECTOR-2</t>
  </si>
  <si>
    <t>PCB P57-GS-OPTICAL-SENS</t>
  </si>
  <si>
    <t>PCB 06.TM.MAIN-2.0</t>
  </si>
  <si>
    <t>PCB 07.VEFCSDS.TM.DSP-2.0</t>
  </si>
  <si>
    <t>PCB GS.MAIN-2.0</t>
  </si>
  <si>
    <t>PCB GS.EMB-COM-2.0</t>
  </si>
  <si>
    <t>PCB FFC-KeyPab-2.0</t>
  </si>
  <si>
    <t>PCB FFC-MainBoard-2.0</t>
  </si>
  <si>
    <t>PCB.FFC_CONNECTOR</t>
  </si>
  <si>
    <t>PCB GS_DAY_LASER</t>
  </si>
  <si>
    <t>PCB GS.ISP-2.0</t>
  </si>
  <si>
    <t>4. GS LCD</t>
  </si>
  <si>
    <t>PCB KGM_I2_SENSOR</t>
  </si>
  <si>
    <t>PCB DS.UI1-2.0</t>
  </si>
  <si>
    <t>PCB DS.UI2-2.0</t>
  </si>
  <si>
    <t>PCB GS.FILTER-2.0</t>
  </si>
  <si>
    <t>PCB GS_IR_TX_v1.0_Sep07</t>
  </si>
  <si>
    <t>PCB.GS FILTER MOD</t>
  </si>
  <si>
    <t>PCB VOTO.HW.PEDAL</t>
  </si>
  <si>
    <t>PCB VOTO.HW.DOF_RESISTOR</t>
  </si>
  <si>
    <t>PCB VEE_LRA_MAIN</t>
  </si>
  <si>
    <t>Res 100 Ohm 0.1% 1/16W 0402</t>
  </si>
  <si>
    <t>CRYSTAL 8.0000MHZ 12PF SMD</t>
  </si>
  <si>
    <t>IND,10UH,20%,1.78A,0.0089R,NONSTANDARD,SMD</t>
  </si>
  <si>
    <t>PTC RESET FUSE 60V 500MA 1812</t>
  </si>
  <si>
    <t>IC REG BUCK ADJ 1.5A SOT23-6</t>
  </si>
  <si>
    <t>TRANS PNP 100V 2A SOT23-3</t>
  </si>
  <si>
    <t>RES 115K OHM 1% 1/16W 0402</t>
  </si>
  <si>
    <t>CMC 5A 2LN 300 OHM SMD</t>
  </si>
  <si>
    <t>CONN HEADER SMD 40POS 1MM</t>
  </si>
  <si>
    <t>CONN HEADER SMD 4POS 2MM</t>
  </si>
  <si>
    <t>Cap Ceramic 0.22uF 100V X7R 10% Pad SMD 0805 Soft Termination 125C T/R</t>
  </si>
  <si>
    <t>CONN HEADER SMD R/A 20POS 1MM</t>
  </si>
  <si>
    <t>AC Series 0603 100 Ohm ±1 % 0.1 W ±100 ppm/°C Surface Mount Thick Film Resistor</t>
  </si>
  <si>
    <t>Zero Ohm Resistor, Jumper, 1210 [3225 Metric], Thick Film, 500 mW, 2 A, Surface Mount</t>
  </si>
  <si>
    <t>RES SMD 49.9 OHM 1% 1/10W 0402</t>
  </si>
  <si>
    <t xml:space="preserve"> 
RES 20 OHM 1% 1/10W 0402</t>
  </si>
  <si>
    <t>Multilayer Ceramic Capacitor, 0.01 uF, 100 V, ± 10%, X7R, 0603 [1608 Metric]</t>
  </si>
  <si>
    <t>Res Thick Film 0603 220K Ohm 5% 1/10W ±100ppm/°C Molded SMD T/R</t>
  </si>
  <si>
    <t>RES SMD 28.7K OHM 1% 1/16W 0402</t>
  </si>
  <si>
    <t>RES 15.6K OHM 0.1% 1/10W 0402</t>
  </si>
  <si>
    <t>RFI SHIELD CLIP MICRO TIN SMD</t>
  </si>
  <si>
    <t>RES SMD 88.7K OHM 1% 1/10W 0402</t>
  </si>
  <si>
    <t>TVS Diode 1-LINE 3.3V 0.25PF ESD SLP0603P2</t>
  </si>
  <si>
    <t>RES SMD 12.1K OHM 1% 1/10W 0402</t>
  </si>
  <si>
    <t>Chip Capacitor, 22 uF, +/- 20%, 10 V, -55 to 85 degC, 0603 (1608 Metric), RoHS, Tape and Reel</t>
  </si>
  <si>
    <t>DIODE SCHOTTKY,40V,1A,1-CH,ID,SOD-123,SMD</t>
  </si>
  <si>
    <t>RES,200R,5%,62.5MW,0402,SMD</t>
  </si>
  <si>
    <t>INDUCTOR MULTILAYER 4.7UH 0805</t>
  </si>
  <si>
    <t>DIODE ZENER 34.89V 500MW SOD323F</t>
  </si>
  <si>
    <t>CAP CER,0.1UF,20%,100V,X5R,0603,SMD</t>
  </si>
  <si>
    <t>RES 0 OHM JUMPER 1/10W 0402</t>
  </si>
  <si>
    <t>CAP-CER,SMD;10uF,20%,0402,10V,X5R</t>
  </si>
  <si>
    <t>CAP CER,1NF,5%,50V,X7R,0805,SMD</t>
  </si>
  <si>
    <t>RES,25.5KR,1%,62.5MW,0402,SMD</t>
  </si>
  <si>
    <t>SMD Chip Resistor, 12 kOhm, ± 1%, 63 mW, 0402 [1005 Metric], Thick Film, General Purpose</t>
  </si>
  <si>
    <t>RES SMD 402 OHM 1% 1/10W 0402</t>
  </si>
  <si>
    <t>CAP CER 0.22UF 6.3V X6S 0201</t>
  </si>
  <si>
    <t>RES,61.9R,1%,62.5MW,0402,SMD</t>
  </si>
  <si>
    <t>CAP CER 10000PF 100V X7S 0402</t>
  </si>
  <si>
    <t>RES 21.5K OHM 1% 1/16W 0402</t>
  </si>
  <si>
    <t>SMD/SMT 50V 0.01uF X7R 0402 5%</t>
  </si>
  <si>
    <t>RES SMD 10 OHM 5% 1/20W 0201</t>
  </si>
  <si>
    <t>RN73R1ETTP1000B25</t>
  </si>
  <si>
    <t>S8411-45R</t>
  </si>
  <si>
    <t>ECS-80-12-33Q-GN-TR</t>
  </si>
  <si>
    <t>74404043100A</t>
  </si>
  <si>
    <t>1812L050/60MR</t>
  </si>
  <si>
    <t>AP3211KTR-G1</t>
  </si>
  <si>
    <t>ZXTP25100BFHTA</t>
  </si>
  <si>
    <t>RC0402FR-07115KL</t>
  </si>
  <si>
    <t>ACM7060-301-2PL-TL01</t>
  </si>
  <si>
    <t>501190-3027</t>
  </si>
  <si>
    <t>CL21B224KCFSNWE</t>
  </si>
  <si>
    <t>GCM188R71E105KA64J</t>
  </si>
  <si>
    <t>501571-2007</t>
  </si>
  <si>
    <t>AC0603FR-13100RL</t>
  </si>
  <si>
    <t>RC1210JR-070RL</t>
  </si>
  <si>
    <t>RK73G1ETTP49R9F</t>
  </si>
  <si>
    <t>RK73H1ETTP20R0F</t>
  </si>
  <si>
    <t>CL10B103KC8WPJL</t>
  </si>
  <si>
    <t>RC1608J224CS</t>
  </si>
  <si>
    <t>CRCW040228K7FKED</t>
  </si>
  <si>
    <t>STM32U073CCU6</t>
  </si>
  <si>
    <t>TNPW040215K6BEED</t>
  </si>
  <si>
    <t>S0991-46R</t>
  </si>
  <si>
    <t>ERJ-2RKF8872X</t>
  </si>
  <si>
    <t>RCLAMP3371ZCTFT</t>
  </si>
  <si>
    <t>ERJ-2RKF1212X</t>
  </si>
  <si>
    <t>KGM05ACG1H101JH</t>
  </si>
  <si>
    <t>SM5819PL-TP</t>
  </si>
  <si>
    <t>RC0402JR-07200RL</t>
  </si>
  <si>
    <t>MLZ2012N4R7L</t>
  </si>
  <si>
    <t>DDZ36DSF-7</t>
  </si>
  <si>
    <t>HMK107BJ104MA-T</t>
  </si>
  <si>
    <t>RK73G1ETTP1002F</t>
  </si>
  <si>
    <t>CR0402-10W-000T</t>
  </si>
  <si>
    <t>0402X106M100</t>
  </si>
  <si>
    <t>CC0805JRX7R9BB102</t>
  </si>
  <si>
    <t>RC0402FR-0725K5L</t>
  </si>
  <si>
    <t>RMCF0402FT12K0</t>
  </si>
  <si>
    <t>ERJ-2RKF4020X</t>
  </si>
  <si>
    <t>GRT033C80J224ME01D</t>
  </si>
  <si>
    <t>MPZ1608Y101BTA00</t>
  </si>
  <si>
    <t>RN73H1ETTP2002F</t>
  </si>
  <si>
    <t>CRCW040261R9FKED</t>
  </si>
  <si>
    <t>CGA2B3X7S2A103K050BB</t>
  </si>
  <si>
    <t>C0402C103J5R</t>
  </si>
  <si>
    <t>PMR01ZZPJ000</t>
  </si>
  <si>
    <t>RC0201JR-0710RL</t>
  </si>
  <si>
    <t>RC0603FR-0782KL</t>
  </si>
  <si>
    <t>Header, 6-Pin, Right Angle</t>
  </si>
  <si>
    <t>IC RTC CLK/CALENDAR I2C 8-SOIC</t>
  </si>
  <si>
    <t>CRYSTAL 28.63636MHZ 18PF SMD</t>
  </si>
  <si>
    <t>CRYSTAL 25.0MHZ 10PF SMD</t>
  </si>
  <si>
    <t>MOSFET P-CH 60V 196MA SOT23-3</t>
  </si>
  <si>
    <t>CONN FFC FPC 5POS 0.5MM R/A</t>
  </si>
  <si>
    <t>MOSFET P-CH 100V 33.6A PPAK SO-8</t>
  </si>
  <si>
    <t>CONN RCPT 8POS 0.059 TIN SMD</t>
  </si>
  <si>
    <t>MOSFET N-CH 600V 4A TO-252AA SMD</t>
  </si>
  <si>
    <t>E-MOSFET P-CH,30V,3.8A,0.065R,1.08W,SOT23-3,SMD</t>
  </si>
  <si>
    <t>Diode 5A Through Hole DO-201AD</t>
  </si>
  <si>
    <t>1.25mm (.049") Pitch PicoBlade Header, Surface Mount, Right Angle, Lead-free, 3 Circuits08:31/-strong/-heart:&gt;:o:-((:-hXem trước khi gửiThả Files vào đây để xem lại trước khi gửi</t>
  </si>
  <si>
    <t>CAP CER,6.8UF,20%,50V,X5R,1206,SMD</t>
  </si>
  <si>
    <t>LED RED CLEAR 0603 SMD, LED BLUE CLEAR 0603 SMD, LED YELLOW CLEAR 0603 SMD</t>
  </si>
  <si>
    <t>CAP ALUM HYB 100UF 20% 25V SMD</t>
  </si>
  <si>
    <t>CONN FFC FPC 4POS 0.5MM R/A</t>
  </si>
  <si>
    <t>BJT NPN 40V 200mA SOT23-3 SMD</t>
  </si>
  <si>
    <t>P-Channel 60 V 10A (Tc) 35W (Tc) Surface Mount DPAK</t>
  </si>
  <si>
    <t>CAP CER 4.7UF 50V X7R 1206</t>
  </si>
  <si>
    <t>1000 pF ±20% 2000V (2kV) Ceramic Capacitor X7R 1808 (4520 Metric)</t>
  </si>
  <si>
    <t>FIXED IND 5.6NH 800MA 51MOHM SMD</t>
  </si>
  <si>
    <t>IC BUF NON-INVERT 5.5V SOT953</t>
  </si>
  <si>
    <t>DIO GEN 600V 1A SMA SMD</t>
  </si>
  <si>
    <t>CONN FFC FPC 12POS 0.50MM R/A</t>
  </si>
  <si>
    <t>Bipolar (BJT) Transistor PNP 60 V 600 mA 200MHz 250 mW Surface Mount SOT-23-3 (TO-236)</t>
  </si>
  <si>
    <t>MOSFET N-CH 30V 6.2A SOT23</t>
  </si>
  <si>
    <t>CAP CER 2.2UF 10V X7T 0402</t>
  </si>
  <si>
    <t>CAP CER 2.2UF 25V X7R 0805</t>
  </si>
  <si>
    <t>DIODE ARRAY GP 300V 225MA SOT23</t>
  </si>
  <si>
    <t>CAP ALUM,100UF,20%,50V,,NONSTANDARD,SMD</t>
  </si>
  <si>
    <t>Multilayer Ceramic Capacitors 10μF ±10% 10V X5R SMD 0603</t>
  </si>
  <si>
    <t>IC TRANSLATOR BIDIR 12DSBGA</t>
  </si>
  <si>
    <t>DIO ZNR 10V 500mW SOD-123 SMD</t>
  </si>
  <si>
    <t>TVS DIODE 5VWM 14VC DFN1006-2</t>
  </si>
  <si>
    <t>CAP CER 0.47UF 6.3V X5R 0402</t>
  </si>
  <si>
    <t>DIODE SCHOTTKY,30V,200MA,1-CH,ID,SOD-523,SMD</t>
  </si>
  <si>
    <t>MOSFET N-CH 60V 115MA SOT-23</t>
  </si>
  <si>
    <t>RES ARRAY 4 RES 22 OHM 0804</t>
  </si>
  <si>
    <t>RES SMD 1K OHM 1% 1/2W 1210</t>
  </si>
  <si>
    <t>CAP CER 1UF 250V X7R 2220</t>
  </si>
  <si>
    <t>RES SMD 237K OHM 1% 1/4W 1206</t>
  </si>
  <si>
    <t>IC GATE AND 1CH 2-INP SC74A</t>
  </si>
  <si>
    <t>CAP CER 0.1UF 50V X5R 0603</t>
  </si>
  <si>
    <t xml:space="preserve"> CAP CER 47UF 10V X5R 0805</t>
  </si>
  <si>
    <t>RES,20R,1%,62.5MW,0402,SMD</t>
  </si>
  <si>
    <t>CAP CER,0.47UF,10%,50V,X7R,0603,SMD</t>
  </si>
  <si>
    <t>RES,14.3KR,1%,100MW,0603,SMD</t>
  </si>
  <si>
    <t>RES SMD 33 OHM 1% 1/16W 0402</t>
  </si>
  <si>
    <t>RES SMD 22.1K OHM 1% 1/10W 0402</t>
  </si>
  <si>
    <t>BM10B-SRSS-TB(LFSN)</t>
  </si>
  <si>
    <t>218-8LPSTR</t>
  </si>
  <si>
    <t>DS1340Z-3+</t>
  </si>
  <si>
    <t>SXT32418EE48-28.63636M</t>
  </si>
  <si>
    <t>RH100-25.000-10-F-3030-EXT-TR</t>
  </si>
  <si>
    <t>NTR5105PT1G</t>
  </si>
  <si>
    <t>SQJ211ELP-T1_GE3</t>
  </si>
  <si>
    <t>503154-0890</t>
  </si>
  <si>
    <t>FDD5N60NZTM</t>
  </si>
  <si>
    <t>HER508-B</t>
  </si>
  <si>
    <t>C3216X5R1H685M160AB</t>
  </si>
  <si>
    <t>APG1608SURKC/T</t>
  </si>
  <si>
    <t>EEHZA1E101XP</t>
  </si>
  <si>
    <t>503480-0440</t>
  </si>
  <si>
    <t>PMBT3904,215</t>
  </si>
  <si>
    <t>STD10P6F6</t>
  </si>
  <si>
    <t>C1808C102MGRACAUTO</t>
  </si>
  <si>
    <t>LQW15AN5N6C10D</t>
  </si>
  <si>
    <t>NL17SZ07P5T5G</t>
  </si>
  <si>
    <t>ES1J</t>
  </si>
  <si>
    <t>TCST5250</t>
  </si>
  <si>
    <t>MMBT2907A-7-F</t>
  </si>
  <si>
    <t>DMN3023L-7</t>
  </si>
  <si>
    <t>GRM155D71A225ME15D</t>
  </si>
  <si>
    <t>CGA4J3X7R1E225K125AB</t>
  </si>
  <si>
    <t>CRCW080520K0JNEA</t>
  </si>
  <si>
    <t>ACDST-2004S-HF</t>
  </si>
  <si>
    <t>50TZV100M8X10.5</t>
  </si>
  <si>
    <t>TXS0104EYZTR</t>
  </si>
  <si>
    <t>BZT52C10-7-F</t>
  </si>
  <si>
    <t>D5V0L1B2LP4-7B</t>
  </si>
  <si>
    <t>0402X474K6R3CT</t>
  </si>
  <si>
    <t>EXB-28V220JX</t>
  </si>
  <si>
    <t>CRCW12101K00FKEA</t>
  </si>
  <si>
    <t>C5750X7R2E105K230KA</t>
  </si>
  <si>
    <t>CRCW1206237KFKEA</t>
  </si>
  <si>
    <t>74LVC1G08GV,125</t>
  </si>
  <si>
    <t>CC0603KRX5R9BB104</t>
  </si>
  <si>
    <t>CRCW040220R0FKEDC</t>
  </si>
  <si>
    <t>C1608X7R1H474K080AC</t>
  </si>
  <si>
    <t>RC0603FR-0714K3L</t>
  </si>
  <si>
    <t>CRCW040233R0FKEDC</t>
  </si>
  <si>
    <t>ERJ-2RKF2212X</t>
  </si>
  <si>
    <t>CAP CER,22UF,20%,35V,X5R,1210,SMD</t>
  </si>
  <si>
    <t>CONN FFC VERT 12POS 0.5MM SMD</t>
  </si>
  <si>
    <t>IC BRIDGE USB TO UART 64QFN</t>
  </si>
  <si>
    <t>IC TRANSCEIVER FULL 1/1 SOT23-8</t>
  </si>
  <si>
    <t>IC;SN65HVD231QDR</t>
  </si>
  <si>
    <t>CONN RCP USB3.1 TYPEC 24P SMD RA</t>
  </si>
  <si>
    <t>CRYSTAL 28.63636MHZ 12PF SMD</t>
  </si>
  <si>
    <t>100F 35V Aluminum - Polymer Capacitors Radial, Can - SMD 35mOhm 4000 Hrs @ 125C</t>
  </si>
  <si>
    <t>CAP CER,1UF,10%,6.3V,X5R,0402,SMD</t>
  </si>
  <si>
    <t>TVS DIODE 36VWM 61.01VC DO214AC</t>
  </si>
  <si>
    <t>CONN RCPT 6POS 0.059 TIN SMD R/A</t>
  </si>
  <si>
    <t>TRANS NPN 100V 2.5A SOT23-3</t>
  </si>
  <si>
    <t>FERRITE BEAD,600 OHMS @ 100MHZ,0.2R,1A,0603,SMD</t>
  </si>
  <si>
    <t>CAP CER,0.22UF,10%,50V,X7R,0805,SMD</t>
  </si>
  <si>
    <t>ESP32 Lite V1.0.0 Module Thu Phát Wifi Bluetooth</t>
  </si>
  <si>
    <t>CAP CER,10UF,10%,25V,X5R,0805,SMD</t>
  </si>
  <si>
    <t>OPTOISO 3.75KV OPEN COLL SO6-5</t>
  </si>
  <si>
    <t>FERRITE BEAD 1K OHM 0603 1LN</t>
  </si>
  <si>
    <t>CAP CER 0.47UF 10V X7R 0402</t>
  </si>
  <si>
    <t>RES SMD 22.6K OHM 1% 1/10W 0402</t>
  </si>
  <si>
    <t>CAP CER 0402 4.7NF 50V X7R 10%</t>
  </si>
  <si>
    <t>DIODE ZENNER,15V,500MW,1-CH,ID,SOD-123,SMD</t>
  </si>
  <si>
    <t>FERRITE BEAD,1.5 KOHMS @ 100MHZ,0.3R,1A,0805,SMD</t>
  </si>
  <si>
    <t>RES SMD 2.2KOHM 0.25% 1/16W 0402</t>
  </si>
  <si>
    <t>CAP CER 0.33UF 10V X5R 0402</t>
  </si>
  <si>
    <t>RES,422KR,1%,100MW,0603,SMD</t>
  </si>
  <si>
    <t>CAP CER 4.7UF 6.3V X5R 0603, CAP CER,4.7UF,10%,16V,X5R,0603,SMD</t>
  </si>
  <si>
    <t>RES,4.7KR,1%,62.5MW,0402,SMD</t>
  </si>
  <si>
    <t>GMK325BJ226MM-P</t>
  </si>
  <si>
    <t>52559-1252</t>
  </si>
  <si>
    <t>CP2108-B03-GMR</t>
  </si>
  <si>
    <t>GRM188R60J475KE19D</t>
  </si>
  <si>
    <t>TCAN1044VDDFR</t>
  </si>
  <si>
    <t>SN65HVD231QDR</t>
  </si>
  <si>
    <t>C1608X5R1H105K080AB</t>
  </si>
  <si>
    <t>105450-0101</t>
  </si>
  <si>
    <t>ECS-286.3-12-33-AGN-TR</t>
  </si>
  <si>
    <t>EEH-ZK1V101XP</t>
  </si>
  <si>
    <t>C0402C105K9PACTU</t>
  </si>
  <si>
    <t>SMAJ36</t>
  </si>
  <si>
    <t>5025850670</t>
  </si>
  <si>
    <t>ZXTN25100DFHTA</t>
  </si>
  <si>
    <t>742792651</t>
  </si>
  <si>
    <t>GRM21BR71H224KA01L</t>
  </si>
  <si>
    <t xml:space="preserve">ESP32 Lite </t>
  </si>
  <si>
    <t>C2012X5R1E106K125AB</t>
  </si>
  <si>
    <t>TLP2362(TPR,E</t>
  </si>
  <si>
    <t>FBMH1608HM102-TV</t>
  </si>
  <si>
    <t>GRM155R71A474KE01D</t>
  </si>
  <si>
    <t>ERJ-2RKF2262X</t>
  </si>
  <si>
    <t>C0402C472K5RECAUTO</t>
  </si>
  <si>
    <t>LMSZ5245BT1G</t>
  </si>
  <si>
    <t>LTST-C191KFKT</t>
  </si>
  <si>
    <t>ERA-2ARC222X</t>
  </si>
  <si>
    <t>GRM155R61A334KE15D</t>
  </si>
  <si>
    <t>RC0603FR-07422KL</t>
  </si>
  <si>
    <t>KGM03DR50J475MH</t>
  </si>
  <si>
    <t>RCG04024K70JNED</t>
  </si>
  <si>
    <t>P-CHANNEL TRENCH MOSFET</t>
  </si>
  <si>
    <t>MOSFET 2P-CH 30V 6.9A 8SOIC</t>
  </si>
  <si>
    <t>MOSFET N-CH 60V 38A PG-HSOF-5</t>
  </si>
  <si>
    <t>TVS DIODE 5VWM 17.5VC SOT23-6</t>
  </si>
  <si>
    <t>MOSFET P-CH 100V 28A PPAK SO-8</t>
  </si>
  <si>
    <t>CAP TANT POLY 470UF 16V 2917</t>
  </si>
  <si>
    <t>1.25WB SGL RA ASSY 5CKT EMBPKG B</t>
  </si>
  <si>
    <t>Filter</t>
  </si>
  <si>
    <t xml:space="preserve"> 
IC MCU 8BIT 7KB FLASH 16UQFN</t>
  </si>
  <si>
    <t>CAP ALUM HYB 100UF 20% 50V SMD</t>
  </si>
  <si>
    <t>TVS Diode (Uni-directional)</t>
  </si>
  <si>
    <t>CAP CER,10UF,20%,50V,X5R,1206,SMD</t>
  </si>
  <si>
    <t>Schottky Diodes &amp; Rectifiers 40 Volt 200mA</t>
  </si>
  <si>
    <t>CAP CER 4.7UF 16V X5R 0603, [NoValue]</t>
  </si>
  <si>
    <t>TVS DIODE 5.5VWM 14VC 10USON</t>
  </si>
  <si>
    <t>10pF ±1% 50V Ceramic Capacitor C0G, NP0 0402 (1005 Metric)</t>
  </si>
  <si>
    <t>CAP CER 0.47nF 50V X7R 0402</t>
  </si>
  <si>
    <t>RES 33 OHM 1% 1/16W 0402</t>
  </si>
  <si>
    <t>CAP CER,10UF,10%,16V,X5R,0805,SMD</t>
  </si>
  <si>
    <t>10UF 25V X5R 0805</t>
  </si>
  <si>
    <t>RES 19.1K OHM 1% 1/16W 0402</t>
  </si>
  <si>
    <t>RES 88.7K OHM 1% 1/16W 0402</t>
  </si>
  <si>
    <t>RES SMD 2.7 OHM 5% 3W 2512</t>
  </si>
  <si>
    <t>RES 0.02 OHM 0.1% 1W 2512</t>
  </si>
  <si>
    <t>RNCF Precision Thin Film Chip Resistor 0402 Size 1.8K Ohm 0.5% 0.063 W 25 ppm/°C 2-Pin SMD T/R</t>
  </si>
  <si>
    <t>RES,22R,1%,62.5MW,0402,SMD</t>
  </si>
  <si>
    <t>SMD Chip Resistor, 174 kOhm, ± 1%, 63 mW, 0402 [1005 Metric], Thick Film, General Purpose</t>
  </si>
  <si>
    <t>PXP015-30QLJ</t>
  </si>
  <si>
    <t>FDS4935BZ</t>
  </si>
  <si>
    <t>IST011N06NM5AUMA1</t>
  </si>
  <si>
    <t>SRV05-4ATR</t>
  </si>
  <si>
    <t>SI7489DP-T1-E3</t>
  </si>
  <si>
    <t>T54EE477M016ESA025</t>
  </si>
  <si>
    <t>DLW21SN900HQ2L</t>
  </si>
  <si>
    <t>PIC16LF18424-E/JQ</t>
  </si>
  <si>
    <t xml:space="preserve"> LTST-C19HE1WT-RS1</t>
  </si>
  <si>
    <t>50PEV100M10X10.5</t>
  </si>
  <si>
    <t>97C04ST</t>
  </si>
  <si>
    <t>SP1003-01DTG</t>
  </si>
  <si>
    <t>BAS40-00-G3-08</t>
  </si>
  <si>
    <t>GCM155R71A104KA55D</t>
  </si>
  <si>
    <t>RCLAMP0522P.TCT</t>
  </si>
  <si>
    <t>GCM1555C1H100FA16D</t>
  </si>
  <si>
    <t>CC0402KRX7R9BB471</t>
  </si>
  <si>
    <t>RMCF0402FT33R0</t>
  </si>
  <si>
    <t>GRM21BR61C106KE5K</t>
  </si>
  <si>
    <t>GRM21BR61E106MA3L</t>
  </si>
  <si>
    <t>GCM188R71H224KA64D</t>
  </si>
  <si>
    <t>RMCF0402FT19K1</t>
  </si>
  <si>
    <t>RC0402FR-0788K7L</t>
  </si>
  <si>
    <t>35222R7JT</t>
  </si>
  <si>
    <t>PE2512FKE070R02L</t>
  </si>
  <si>
    <t>RT0402BRD071K8L</t>
  </si>
  <si>
    <t>RC0402FR-0722RL</t>
  </si>
  <si>
    <t>RC0402FR-07174KL</t>
  </si>
  <si>
    <t>6W, 1.0MM PITCH PIN HDR, SIL, TH</t>
  </si>
  <si>
    <t>Multilayer Ceramic Capacitor, 1000 pF, 100 V, ± 10%, X7R, 0603 [1608 Metric]</t>
  </si>
  <si>
    <t>ESR 50 FREQ 26 STABI ESC CRYSTALS</t>
  </si>
  <si>
    <t>FIXED IND 220NH 220MA 2.75OHM SM</t>
  </si>
  <si>
    <t>CAP-ALU,SMD;33uF,20%,SMD, 50V,</t>
  </si>
  <si>
    <t>FIXED IND 1.5UH 950MA 360MOHM SM</t>
  </si>
  <si>
    <t>FIXED IND 56NH 100MA 3.5 OHM SMD</t>
  </si>
  <si>
    <t>CAP CER SMD 1210 10% 1000PF COG 1000V</t>
  </si>
  <si>
    <t>FIXED IND 3.3UH 2A 66 MOHM SMD</t>
  </si>
  <si>
    <t>CAP CER 10000PF 25V X5R 0201</t>
  </si>
  <si>
    <t xml:space="preserve"> 
IC REG LINEAR 3.3V 1A 6WSON</t>
  </si>
  <si>
    <t>CAP-CER,SMD; 22uF,10%,1210, 25V,X7R</t>
  </si>
  <si>
    <t>CAP CER,10PF,5%,50V,C0G/NP0,0402,SMD</t>
  </si>
  <si>
    <t>IND,5.6NH,2%,1.78A,0.04R,0402,SMD</t>
  </si>
  <si>
    <t>SMD Chip Resistor, 887 kOhm, ± 1%, 100 mW, 0402</t>
  </si>
  <si>
    <t>RES,280KR,1%,62.5MW,0402,SMD</t>
  </si>
  <si>
    <t>10UH 1..365 OHM 250MA</t>
  </si>
  <si>
    <t>RES,110KR,0.5%,62.5MW,0402,SMD</t>
  </si>
  <si>
    <t>RES,12.1KR,1%,62.5MW,0402,SMD</t>
  </si>
  <si>
    <t>RES SMD 16.2K OHM 1% 1/10W 0402</t>
  </si>
  <si>
    <t>RES-SMD;402KOHM,1%,0402,1/10W</t>
  </si>
  <si>
    <t>FERRITE BEAD,220 OHMS @ 100MHZ,0.045R,2A,0805,SMD</t>
  </si>
  <si>
    <t>CAP-CER,SMD;1uF,20%,0201,6.3V,X5R</t>
  </si>
  <si>
    <t>IND-SMD;100nH,5%,0201,80mA,4.5 Ohm</t>
  </si>
  <si>
    <t>CAP CER 22UF 6.3V X5R 0402</t>
  </si>
  <si>
    <t>CAP-CER,SMD;1.2pF,0.25pF,0201,50V,C0G,NP0</t>
  </si>
  <si>
    <t>CAP-CER,SMD;12pF,5%,0201,25V,C0G,NP0</t>
  </si>
  <si>
    <t>BC020-06-A-0200-0300-L-D</t>
  </si>
  <si>
    <t>1-1571983-3</t>
  </si>
  <si>
    <t>CL10B102KC8NNNC</t>
  </si>
  <si>
    <t>ECS-260-12-37B2CKMTR</t>
  </si>
  <si>
    <t>LQW15AWR22J80D</t>
  </si>
  <si>
    <t>UWX1H330MCL1GB</t>
  </si>
  <si>
    <t>LQM2HPN1R5MCHL</t>
  </si>
  <si>
    <t>MLG0603P56NJT000</t>
  </si>
  <si>
    <t>C3225C0G3A102J200AC</t>
  </si>
  <si>
    <t>NRS4018T3R3MDGJ</t>
  </si>
  <si>
    <t>CC0201KRX5R8BB103</t>
  </si>
  <si>
    <t>TLV76733DRVR</t>
  </si>
  <si>
    <t>CL32B226KAJNNNE</t>
  </si>
  <si>
    <t>LQW15AN5N6G80D</t>
  </si>
  <si>
    <t>RC0402FR-07280KL</t>
  </si>
  <si>
    <t>MLZ160BM100WTD25</t>
  </si>
  <si>
    <t>RNCF0402DTE110K</t>
  </si>
  <si>
    <t>RMCF0402FT12K1</t>
  </si>
  <si>
    <t>ERJ-2RKF1622X</t>
  </si>
  <si>
    <t>RC0402FR-07402KL</t>
  </si>
  <si>
    <t>MLG0603PR10JT000</t>
  </si>
  <si>
    <t>CL05A226MQ5N6J8</t>
  </si>
  <si>
    <t>GRM0335C1H1R2CA01D</t>
  </si>
  <si>
    <t>DEVELOPMENT POWER MANAGEMENT</t>
  </si>
  <si>
    <t>Connector</t>
  </si>
  <si>
    <t>MOSFET P-CH 60V 5.7A 8-WDFN</t>
  </si>
  <si>
    <t>IC DRAM 2G PARALLEL 96FBGA</t>
  </si>
  <si>
    <t>IC BUF NON-INVERT 5.5V 5TSSOP</t>
  </si>
  <si>
    <t>MOSFET P-CH 60V 8.6A PPAK SO-8</t>
  </si>
  <si>
    <t>IC GATE OR 1CH 2-INP 5X2SON</t>
  </si>
  <si>
    <t>Rf Connectors / Coaxial Connectors U.fl Receptacle SMT Gld M Cont Reel</t>
  </si>
  <si>
    <t>SMD Chip Resistor, 348 kOhm, ± 1%, 100 mW, 0603 [1608 Metric], Thick Film, General Purpose</t>
  </si>
  <si>
    <t>Res Thick Film 0603 12.1K Ohm 1% 1/10W ±100ppm/°C SMD Paper T/R</t>
  </si>
  <si>
    <t>Res Thick Film 0603 100 Ohm 5% 0.1W(1/10W) ±100ppm/C Pad SMD T/R</t>
  </si>
  <si>
    <t>SMD Chip Resistor, 75 kOhm, ± 5%, 100 mW, 0603 [1608 Metric], Thick Film, General Purpose</t>
  </si>
  <si>
    <t>RES 0.005 OHM 1% 2W 2010</t>
  </si>
  <si>
    <t>OSC MEMS 90.0000MHZ LVCMOS SMD</t>
  </si>
  <si>
    <t>PTC RESET FUSE 15V 500MA 1812</t>
  </si>
  <si>
    <t>CONN RCPT MCR USB AB SMD TH SHLL</t>
  </si>
  <si>
    <t>RES SMD 95.3K OHM 1% 1/10W 0603</t>
  </si>
  <si>
    <t>ON SEMICONDUCTOR - SZMMSZ4678T1G - Zener-Diode, 1.8 V, 500 mW, SOD-123, 2 Pin(s), 150 °C</t>
  </si>
  <si>
    <t>CAP CER,15PF,5%,50V,C0G/NP0,0402,SMD</t>
  </si>
  <si>
    <t>FIXED IND 3.3UH 1.5A 70 MOHM SMD</t>
  </si>
  <si>
    <t>RES,5.23KR,1%,62.5MW,0402,SMD</t>
  </si>
  <si>
    <t>FERRITE BEAD 600 OHM 0805 1LN</t>
  </si>
  <si>
    <t>DIODE ZENER 10V 590MW SOD123</t>
  </si>
  <si>
    <t>CAP CER,2.2UF,20%,25V,X5R,0603,SMD</t>
  </si>
  <si>
    <t>RES ARRAY 4 RES 49.9 OHM 0804</t>
  </si>
  <si>
    <t>RES 5.69K OHM 0.1% 1/16W 0402</t>
  </si>
  <si>
    <t>Res Thick Film 0402 34K Ohm 1% 0.1W(1/10W) +/-100ppm/C Molded SMD Automotive Punched T/R</t>
  </si>
  <si>
    <t>NEXPERIA - BZX84-B3V3,215 - ZENER-DIODE, 0.25W, 3.3V, SOT23</t>
  </si>
  <si>
    <t>0402 10 V 4.7 uF ±20% Tolerance X5R Multilayer Ceramic Chip Capacitor</t>
  </si>
  <si>
    <t>RES 35.7K OHM 1% 1/16W 0402</t>
  </si>
  <si>
    <t>TRANS NPN 40V 0.2A SOT523</t>
  </si>
  <si>
    <t>Res Thin Film 0402 50 Ohm 0.1% 1/20W 25ppm/C Molded SMD SMD T/R</t>
  </si>
  <si>
    <t>CAP CER 100PF 200V C0G/NP0 0402</t>
  </si>
  <si>
    <t>CAP CER 33PF 25V C0G/NPO 0201</t>
  </si>
  <si>
    <t>CAP CER 10nF 50V X7R 0402</t>
  </si>
  <si>
    <t>RES 0.56 OHM 1% 1/6W 0402</t>
  </si>
  <si>
    <t>RES 6.04K OHM 1% 1/16W 0402</t>
  </si>
  <si>
    <t>LMZM33606EVM</t>
  </si>
  <si>
    <t>DX07S024WJ1R350</t>
  </si>
  <si>
    <t>RQ3E120ATTB</t>
  </si>
  <si>
    <t>MT41J128M16JT-125:KTR</t>
  </si>
  <si>
    <t>SP3003-02JTG</t>
  </si>
  <si>
    <t>74LVC1G126GW-Q100H</t>
  </si>
  <si>
    <t>SI7461DP-T1-E3</t>
  </si>
  <si>
    <t>74LV1T32GXH</t>
  </si>
  <si>
    <t>RC0603FR-07348KL</t>
  </si>
  <si>
    <t>RC0603FR-1312K1L</t>
  </si>
  <si>
    <t>RC0603JR-13100RL</t>
  </si>
  <si>
    <t>RC0603JR-0775KL</t>
  </si>
  <si>
    <t>WSL10205L000FEA</t>
  </si>
  <si>
    <t>SIT8008BC-23-33E-90.000000G</t>
  </si>
  <si>
    <t>1812L050PR</t>
  </si>
  <si>
    <t>RC0603FR-0795K3L</t>
  </si>
  <si>
    <t>SZMMSZ4678T1G</t>
  </si>
  <si>
    <t>C0402C150J5GACTU</t>
  </si>
  <si>
    <t>APG1608QBC/D</t>
  </si>
  <si>
    <t>RMCF0402FT5K23</t>
  </si>
  <si>
    <t>BZT52-B10X</t>
  </si>
  <si>
    <t>TMK107BBJ225MAHT</t>
  </si>
  <si>
    <t>YC124-FR-0749R9L</t>
  </si>
  <si>
    <t>RN73H1ETTP5691B50</t>
  </si>
  <si>
    <t>ERJ-2RKF3402X</t>
  </si>
  <si>
    <t>BZX84-B3V3,215</t>
  </si>
  <si>
    <t>GRM155R61A475MEAAD</t>
  </si>
  <si>
    <t>MMBT3904T-7-F</t>
  </si>
  <si>
    <t>RT0402BRE0750RL</t>
  </si>
  <si>
    <t>C0402C101J2GACAUTO</t>
  </si>
  <si>
    <t>CC0201JRNPO8BN330</t>
  </si>
  <si>
    <t>GRM155R71H103KA88J</t>
  </si>
  <si>
    <t>ERJ-2BQFR56X</t>
  </si>
  <si>
    <t>RC0402FR-076K04L</t>
  </si>
  <si>
    <t>IC REG LINEAR 3.3V 300MA 5TSOP</t>
  </si>
  <si>
    <t>IC REG LINEAR 1.8V 300MA 5TSOP</t>
  </si>
  <si>
    <t>IC USB FS SERIAL UART 32-QFN</t>
  </si>
  <si>
    <t>Integrated Circuits Capactive Sensor SOIC8 3Channel I2C, SMBus</t>
  </si>
  <si>
    <t>IC PWR DIST SWITCH SNGL SOT23-6</t>
  </si>
  <si>
    <t>IC EEPROM 32K I2C 1MHz 8SOIC</t>
  </si>
  <si>
    <t>CO2 SENSOR 'PM2.5 'DS-CO2-20B</t>
  </si>
  <si>
    <t>CONN EDGE DUAL FEMALE M.2 KEY-A 67POS 0.02 VERTICAL</t>
  </si>
  <si>
    <t>Power Management Specialized - PMIC Sink/Source DDR Term Reg</t>
  </si>
  <si>
    <t>CAP CER 10UF 50V X7S 1210</t>
  </si>
  <si>
    <t>CAP CER,68NF,10%,50V,X7R,0402,SMD</t>
  </si>
  <si>
    <t>CAP ALUM 220UF 20% 80V SMD</t>
  </si>
  <si>
    <t>RES 120 OHM 1% 1/16W 0402</t>
  </si>
  <si>
    <t>6800 pF ±20% 50V Ceramic Capacitor X7R 0402</t>
  </si>
  <si>
    <t>RES 8.06K OHM 1% 1/16W 0402</t>
  </si>
  <si>
    <t>RES,4.99KR,1%,62.5MW,0402,SMD</t>
  </si>
  <si>
    <t>NCP114ASN330T1G</t>
  </si>
  <si>
    <t>NCP114ASN180T1G</t>
  </si>
  <si>
    <t>FT232RQ-REEL</t>
  </si>
  <si>
    <t>CAP1203-1-SN-TR</t>
  </si>
  <si>
    <t>TPS22918DBVT</t>
  </si>
  <si>
    <t>AT24C32D-SSHM-T</t>
  </si>
  <si>
    <t>DS-CO2-20B</t>
  </si>
  <si>
    <t>MDT350A01001VT</t>
  </si>
  <si>
    <t>TPS51200DRCR</t>
  </si>
  <si>
    <t>CGA6P3X7S1H106K250AB</t>
  </si>
  <si>
    <t>CGA2B3X7R1H683K050BB</t>
  </si>
  <si>
    <t xml:space="preserve">EMVY800ARA221MKG5S </t>
  </si>
  <si>
    <t>RC0402FR-07120RL</t>
  </si>
  <si>
    <t>CGA2B2X7R1H682M050BA</t>
  </si>
  <si>
    <t>RMCF0402FT8K06</t>
  </si>
  <si>
    <t>RC0402FR-074K99L</t>
  </si>
  <si>
    <t>CAP ALUM 330UF 20% 80V SMD</t>
  </si>
  <si>
    <t>CONN FFC FPC 16POS 0.5MM R/A</t>
  </si>
  <si>
    <t>IC REG LINEAR 1.8V 300MA 4-DSBGA</t>
  </si>
  <si>
    <t>CAP CER 150PF 50V X7R 0603</t>
  </si>
  <si>
    <t>CAP CER 5PF 50V C0G/NPO 0402</t>
  </si>
  <si>
    <t>CONN RCPT 16POS 0.1 GOLD SMD</t>
  </si>
  <si>
    <t>CONN RCPT 10POS 0.1 GOLD SMD</t>
  </si>
  <si>
    <t>CAP CER 4.7UF 100V X5R 0805</t>
  </si>
  <si>
    <t>FIXED IND 110NH 900MA 0.13OHM SM</t>
  </si>
  <si>
    <t>RES 1.69K OHM 1% 1/16W 0402</t>
  </si>
  <si>
    <t>RES 1.05K OHM 0.5% 1/16W 0402</t>
  </si>
  <si>
    <t>RES 1.33 KOHMS 0.1% 1/16W 0402</t>
  </si>
  <si>
    <t>IC REG BUCK ADJ 3A TSOT23-6</t>
  </si>
  <si>
    <t>MOS-FET;N-CH,60V,2A,SOT-23,DMN6075S-7</t>
  </si>
  <si>
    <t>RES 22 OHM 1% 1/16W 0402</t>
  </si>
  <si>
    <t>IC REG BOOST ADJ 500MA SOT23-5</t>
  </si>
  <si>
    <t>MOSFET N-CH 60V 115MA SOT-323</t>
  </si>
  <si>
    <t>CAP CER 22UF 35V X5R 1206</t>
  </si>
  <si>
    <t>CAP CER 10000PF 100V X7R 0603</t>
  </si>
  <si>
    <t>IC PWR RELAY N-CHAN U-DFN3030-10</t>
  </si>
  <si>
    <t xml:space="preserve"> IC PWR RELAY N-CHAN 1:1 16TSSOP</t>
  </si>
  <si>
    <t>RCC0402 100 4K7 1% ET7 E3</t>
  </si>
  <si>
    <t>RES 316K OHM 1% 1/16W 0402</t>
  </si>
  <si>
    <t>CAP CER 0.1PF 25V C0G/NP0 0402</t>
  </si>
  <si>
    <t>RES SMD 8.45K OHM 1% 1/16W 0402</t>
  </si>
  <si>
    <t>RES SMD 10K OHM 5% 1/5W 0402</t>
  </si>
  <si>
    <t>RES 2M OHM 1% 1/16W 0402</t>
  </si>
  <si>
    <t>RES 107K OHM 1% 1/16W 0402</t>
  </si>
  <si>
    <t>RES 249 OHM 1% 1/16W 0402</t>
  </si>
  <si>
    <t>LED-SMD;2.2V,20mA,2.00x 1.25x0.90mm,GREEN,LG R971-KN-1</t>
  </si>
  <si>
    <t>RES-SMD;20KOHM,1%,0603,1/10W</t>
  </si>
  <si>
    <t>CAP-ALUM,SMD; 100uF,20%,16V,865080343009</t>
  </si>
  <si>
    <t>RES-SMD;4.7KOHM,1%,1206,1/4W</t>
  </si>
  <si>
    <t>CAP-CER,SMD;100pF,5%,0603,50V,C0G/NP0</t>
  </si>
  <si>
    <t>MAL215099705E3</t>
  </si>
  <si>
    <t>XF3M-1615-1B</t>
  </si>
  <si>
    <t>TPS7A2018PYCKR</t>
  </si>
  <si>
    <t>C0603C151K5RACAUTO</t>
  </si>
  <si>
    <t>CC0402BRNPO9BN5R0</t>
  </si>
  <si>
    <t>GRM21BC72A105KE01L</t>
  </si>
  <si>
    <t>M20-7810845R</t>
  </si>
  <si>
    <t>M20-7810545R</t>
  </si>
  <si>
    <t>C2012X5R1H475K125AB</t>
  </si>
  <si>
    <t>GCM1555C1H1R0CA16J</t>
  </si>
  <si>
    <t>LQW15CAR11J00D</t>
  </si>
  <si>
    <t>RMCF0402FT1K69</t>
  </si>
  <si>
    <t>RT0402DRD071K05L</t>
  </si>
  <si>
    <t>ERA-2ARB1331X</t>
  </si>
  <si>
    <t>VJ0402D470JXAAJ</t>
  </si>
  <si>
    <t>TPS54302DDCR</t>
  </si>
  <si>
    <t>PMEG100T10ELRX</t>
  </si>
  <si>
    <t>DMN6075S-7</t>
  </si>
  <si>
    <t>CRGCQ0402F22R</t>
  </si>
  <si>
    <t>AP3012KTR-G1</t>
  </si>
  <si>
    <t>2N7002W-TP</t>
  </si>
  <si>
    <t>C3216X5R1V226M160AC</t>
  </si>
  <si>
    <t>GRM188R72A103KA01D</t>
  </si>
  <si>
    <t>ULN2003F12FN-7</t>
  </si>
  <si>
    <t>ULN2003V12T16-13</t>
  </si>
  <si>
    <t>RCC04024K70FKED</t>
  </si>
  <si>
    <t>RC0402FR-07316KL</t>
  </si>
  <si>
    <t>CBR04C108B3GAC</t>
  </si>
  <si>
    <t>CRCW04028K45FKED</t>
  </si>
  <si>
    <t>CRCW040210K0JNEDHP</t>
  </si>
  <si>
    <t>RMCF0402FT2M00</t>
  </si>
  <si>
    <t>RC0402FR-07107KL</t>
  </si>
  <si>
    <t>RNCF0402DTE1K80</t>
  </si>
  <si>
    <t>RMCF0402FT249R</t>
  </si>
  <si>
    <t>LG R971-KN-1-0-20-R18</t>
  </si>
  <si>
    <t>CL10B472KB8WPNC</t>
  </si>
  <si>
    <t>AC1206FR-074K7L</t>
  </si>
  <si>
    <t>CAP CER 4.7UF 50V X7R 0805</t>
  </si>
  <si>
    <t>FIXED IND 22UH 5.3A 28 MOHM SMD</t>
  </si>
  <si>
    <t>MOSFET N-CH 80V 17.4A/63A PPAK</t>
  </si>
  <si>
    <t>CAP CER 10UF 100V X7S 1210</t>
  </si>
  <si>
    <t>1.25W/B DL PLG ASSY 10P B</t>
  </si>
  <si>
    <t>MOSFET N-CH 20V 4.1A SOT23</t>
  </si>
  <si>
    <t>Cap Cer 47UF 6.3V X5R 0603</t>
  </si>
  <si>
    <t>1.25WB SGL RA ASSY 6CKT EMBPKG B</t>
  </si>
  <si>
    <t>N-CHANNEL 70 V (D-S) MOSFET POWE</t>
  </si>
  <si>
    <t>RES 3550 330R 5%</t>
  </si>
  <si>
    <t>IC PWR SWITCH N-CHANNEL 1:1 8DFN</t>
  </si>
  <si>
    <t>MOSFET N-CH 100V 170MA SOT23-3</t>
  </si>
  <si>
    <t>RES 0.5 OHM 1% 1/16W 0402</t>
  </si>
  <si>
    <t>TVS DIODE 3.5VWM VESM</t>
  </si>
  <si>
    <t>CAP CER 1UF 10V X6S 0402</t>
  </si>
  <si>
    <t>CAP CER 1500PF 50V X7R 0402</t>
  </si>
  <si>
    <t>RES 0.002 OHM 1% 1W 1206</t>
  </si>
  <si>
    <t>FIXED IND 15UH 1A 264 MOHM SMD</t>
  </si>
  <si>
    <t>RES SMD 52.3K OHM 1% 1/16W 0402</t>
  </si>
  <si>
    <t>RES SMD 3.74K OHM 1% 1/16W 0402</t>
  </si>
  <si>
    <t>RES 470K OHM 1% 1/16W 0402</t>
  </si>
  <si>
    <t>RES SMD 10M OHM 5% 1/16W 0402</t>
  </si>
  <si>
    <t>CAP CER 10UF 35V X5R 1210</t>
  </si>
  <si>
    <t>CAP CER 10000PF 10V X5R 0402</t>
  </si>
  <si>
    <t>CAP CER 2.2UF 6.3V X6S 0402</t>
  </si>
  <si>
    <t>1.25WB SGL ST ASSY 3CKT BK G038</t>
  </si>
  <si>
    <t>FIXED IND 22UH 1.8A 89 MOHM SMD</t>
  </si>
  <si>
    <t>RES 0.11 OHM 1% 1/2W 0805</t>
  </si>
  <si>
    <t>CAP CER 0.082UF 50V X7R 0402</t>
  </si>
  <si>
    <t>DIODE SCHOTTKY 40V 400MA SOD323</t>
  </si>
  <si>
    <t>DIODE SCHOTT 100V 250MA SOD123F</t>
  </si>
  <si>
    <t>RES 3.3 OHM 1% 1/16W 0402</t>
  </si>
  <si>
    <t>RES SMD 51 OHM 1% 1/16W 0402</t>
  </si>
  <si>
    <t>RES SMD 7.15K OHM 1% 1/16W 0402</t>
  </si>
  <si>
    <t>RES 820 OHM 1% 1/16W 0402</t>
  </si>
  <si>
    <t>RES 1.5K OHM 1% 1/16W 0402</t>
  </si>
  <si>
    <t>RES 0.033 OHM 1% 1W 1206</t>
  </si>
  <si>
    <t>CAP CER 0.1UF 50V C0G 1210</t>
  </si>
  <si>
    <t>CAP CER 1UF 6.3V X7R 0402</t>
  </si>
  <si>
    <t>2W 0.010 OHMS 0.5% 2512</t>
  </si>
  <si>
    <t>FERRITE BEAD 60 OHM 0805 1LN</t>
  </si>
  <si>
    <t>FIXED IND 4.7UH 1.9A 84 MOHM SMD</t>
  </si>
  <si>
    <t>2W 0.020 OHMS 0.5% 2512</t>
  </si>
  <si>
    <t>RES,240R,5%,250MW,1206,SMD</t>
  </si>
  <si>
    <t>CAP CER 10UF 35V X5R 0603</t>
  </si>
  <si>
    <t>RES 0.001 OHM 1% 1W 1206</t>
  </si>
  <si>
    <t>FERRITE BEAD 220 OHM 0402 1LN</t>
  </si>
  <si>
    <t>RES,0.005R,1%,500MW,0805,SMD</t>
  </si>
  <si>
    <t>CAP CER 0402 10NF 50V X7R 5%</t>
  </si>
  <si>
    <t>CAP CER 1UF 10V X7S 0402</t>
  </si>
  <si>
    <t>DIODE ZENER 10V 200MW SOD323F</t>
  </si>
  <si>
    <t>SWITCH TACTILE SPST-NO 0.05A 32V</t>
  </si>
  <si>
    <t>RES SMD 27K OHM 1% 1/16W 0402</t>
  </si>
  <si>
    <t>RES 4.02K OHM 1% 1/16W 0402</t>
  </si>
  <si>
    <t>RES 12K OHM 1% 1/16W 0402</t>
  </si>
  <si>
    <t>RES SMD 750 OHM 1% 1/10W 0402</t>
  </si>
  <si>
    <t>RES 9.09K OHM 1% 1/16W 0402</t>
  </si>
  <si>
    <t>RES SMD 2K OHM 1% 1/10W 0402</t>
  </si>
  <si>
    <t>RES SMD 4.7K OHM 1% 1/10W 0402</t>
  </si>
  <si>
    <t>28V Lithium-ion/Polymer 1~6 10A VQFN-24-EP(4x4) Battery Management ROHS</t>
  </si>
  <si>
    <t>CGA4J1X7R1H475K125AC</t>
  </si>
  <si>
    <t>7447709220</t>
  </si>
  <si>
    <t>SISS32ADN-T1-GE3</t>
  </si>
  <si>
    <t>GRM32EC72A106KE05K</t>
  </si>
  <si>
    <t>2077601071</t>
  </si>
  <si>
    <t>IRLML6246TRPBF</t>
  </si>
  <si>
    <t>C0603B476M007T</t>
  </si>
  <si>
    <t>5055670631</t>
  </si>
  <si>
    <t>SIS176LDN-T1-GE3</t>
  </si>
  <si>
    <t>3550330RJT</t>
  </si>
  <si>
    <t>SLG59M1446V</t>
  </si>
  <si>
    <t>BSS123LT1G</t>
  </si>
  <si>
    <t>RL0402FR-070R5L</t>
  </si>
  <si>
    <t>DF3A5.6LFV(TPL3,Z)</t>
  </si>
  <si>
    <t>GRT155R61A106ME13J</t>
  </si>
  <si>
    <t>GRM155C81A105KA12D</t>
  </si>
  <si>
    <t>MLASU105SB7152KFNA01</t>
  </si>
  <si>
    <t>CSNL1206FT2L00</t>
  </si>
  <si>
    <t>LMK107BBJ106MALT</t>
  </si>
  <si>
    <t>GRM155R71H102KA01J</t>
  </si>
  <si>
    <t>SRN4018-150M</t>
  </si>
  <si>
    <t>CRCW040252K3FKED</t>
  </si>
  <si>
    <t>CRCW04023K74FKED</t>
  </si>
  <si>
    <t>CRCW0402470KFKEDC</t>
  </si>
  <si>
    <t>CRCW040210M0JNED</t>
  </si>
  <si>
    <t>CRCW04025K10FKED</t>
  </si>
  <si>
    <t>C1210C106K6PACTU</t>
  </si>
  <si>
    <t>C0402C103K8PACTU</t>
  </si>
  <si>
    <t>GRM155C80J225ME95D</t>
  </si>
  <si>
    <t>GRM21BR61A476ME15K</t>
  </si>
  <si>
    <t>5055680331</t>
  </si>
  <si>
    <t>ASPI-6045S-220M-T</t>
  </si>
  <si>
    <t>RMCF0402FT35K7</t>
  </si>
  <si>
    <t>ERJ-6DSFR11V</t>
  </si>
  <si>
    <t>GRM155R71H823KE14D</t>
  </si>
  <si>
    <t>ZHCS400TA</t>
  </si>
  <si>
    <t>BAT46WH,115</t>
  </si>
  <si>
    <t>RMCF0402FT3R30</t>
  </si>
  <si>
    <t>RT0402FRE0751RL</t>
  </si>
  <si>
    <t>CRCW04027K15FKED</t>
  </si>
  <si>
    <t>CRCW04021K50FKEDC</t>
  </si>
  <si>
    <t>RMCF0402FT9K10</t>
  </si>
  <si>
    <t>WSLP1206R0330FEA</t>
  </si>
  <si>
    <t>CGA6P2C0G1H104J250AA</t>
  </si>
  <si>
    <t>GRM155R61E224KE01D</t>
  </si>
  <si>
    <t>GRM155R70J105KA12J</t>
  </si>
  <si>
    <t>PCS2512DR0100ET</t>
  </si>
  <si>
    <t>CGA4J3X7S2A105M125AE</t>
  </si>
  <si>
    <t>SRN4018-4R7M</t>
  </si>
  <si>
    <t>PCS2512DR0200ET</t>
  </si>
  <si>
    <t>CRCW1206240RJNEA</t>
  </si>
  <si>
    <t>GRM188R6YA106MA73D</t>
  </si>
  <si>
    <t>CSNL1206FT1L00</t>
  </si>
  <si>
    <t>MPZ1005S221ETD25</t>
  </si>
  <si>
    <t>BLM18SG221TN1D</t>
  </si>
  <si>
    <t>ERJ-6LWFR005V</t>
  </si>
  <si>
    <t>C0402C103J5RECAUTO</t>
  </si>
  <si>
    <t>GRM155C71A105KE11D</t>
  </si>
  <si>
    <t>MM3Z10VC</t>
  </si>
  <si>
    <t>KST221GLFS</t>
  </si>
  <si>
    <t>C0402C105K8PAC7867</t>
  </si>
  <si>
    <t>RT0402FRE0727KL</t>
  </si>
  <si>
    <t>RMCF0402FT4K02</t>
  </si>
  <si>
    <t>RC0402FR-0712KL</t>
  </si>
  <si>
    <t>ERJ2RKF7500X</t>
  </si>
  <si>
    <t>GCM1555C1H180FA16J</t>
  </si>
  <si>
    <t>RMCF0402FT9K09</t>
  </si>
  <si>
    <t>RC0402FR-0752K3L</t>
  </si>
  <si>
    <t>ERJ-2RKF2001X</t>
  </si>
  <si>
    <t>BQ24610RGET</t>
  </si>
  <si>
    <t>PICOBLADE 6 CIRCUIT 50MM</t>
  </si>
  <si>
    <t>CONN SOCKET 22-26AWG CRIMP TIN</t>
  </si>
  <si>
    <t>IC REG LINEAR 3.3V 1A SOT89</t>
  </si>
  <si>
    <t>CAP CER 4.7UF 16V X7R 0603</t>
  </si>
  <si>
    <t>CAP CER 0.027UF 10V X7R 0402</t>
  </si>
  <si>
    <t>MOSFET N/P-CH 30V 9A/18.5A 8DFN</t>
  </si>
  <si>
    <t>RES SMD 1.87K OHM 1% 1/16W 0402</t>
  </si>
  <si>
    <t>CAP CER 10UF 10V X7T 0603</t>
  </si>
  <si>
    <t>RES 37K OHM 1% 1/16W 0402</t>
  </si>
  <si>
    <t>RES ARRAY 8 RES 33 OHM 1506</t>
  </si>
  <si>
    <t>CAP CER 10UF 35V X5R 0805</t>
  </si>
  <si>
    <t>DIODE ZENNER,10V,500MW,1-CH,ID,SOD-123,SMD</t>
  </si>
  <si>
    <t>RES,750R,1%,250MW,0805,SMD</t>
  </si>
  <si>
    <t>RES,24.3KR,1%,62.5MW,0402,SMD</t>
  </si>
  <si>
    <t>RES,4.02KR,1%,250MW,1206,SMD</t>
  </si>
  <si>
    <t>RES SMD 41.2KOHM 0.1% 1/16W 0402</t>
  </si>
  <si>
    <t>RES,150R,1%,62.5MW,0402,SMD</t>
  </si>
  <si>
    <t>RES 17.8K OHM 1% 1/16W 0402</t>
  </si>
  <si>
    <t>RES 51 OHM 1% 1/16W 0402</t>
  </si>
  <si>
    <t>Res Thick Film 0603 10 Ohm 1% 0.1W(1/10W) +/-100ppm/C Molded SMD Automotive Punched T/R</t>
  </si>
  <si>
    <t>RES,2.32KR,1%,62.5MW,0402,SMD</t>
  </si>
  <si>
    <t>RES SMD 24.9K OHM 1% 1/16W 0402</t>
  </si>
  <si>
    <t>RES,2.2KR,5%,125MW,0805,SMD</t>
  </si>
  <si>
    <t>CAP CER 1000PF 25V X7R 0402</t>
  </si>
  <si>
    <t>RES,47KR,1%,62.5MW,0402,SMD</t>
  </si>
  <si>
    <t>175151-2</t>
  </si>
  <si>
    <t>AZ1117CR-3.3TRG1</t>
  </si>
  <si>
    <t>C1005X5R1H104K050BB</t>
  </si>
  <si>
    <t>KGM05DR50J226MH</t>
  </si>
  <si>
    <t>GRM188Z71C475KE21J</t>
  </si>
  <si>
    <t>GRM155R71A273KA01D</t>
  </si>
  <si>
    <t>GRM1555C1H331JA01D</t>
  </si>
  <si>
    <t>AON7611</t>
  </si>
  <si>
    <t>CRCW04021K87FKED</t>
  </si>
  <si>
    <t>C0603C105K4RACTU</t>
  </si>
  <si>
    <t>GRM188D71A106KA73D</t>
  </si>
  <si>
    <t>RN73H1ETTP3702F25</t>
  </si>
  <si>
    <t>EXB-2HV330JV</t>
  </si>
  <si>
    <t>C2012X5R1V106K125AC</t>
  </si>
  <si>
    <t>BZT52C10-TP</t>
  </si>
  <si>
    <t>CR0805-FX-7500ELF</t>
  </si>
  <si>
    <t>C1608X5R1E475M080AC</t>
  </si>
  <si>
    <t>ERJ2GE0R00X</t>
  </si>
  <si>
    <t>RC0402FR-0724K3L</t>
  </si>
  <si>
    <t>RC1206FR-074K02L</t>
  </si>
  <si>
    <t>GRM188R61E475KE11D</t>
  </si>
  <si>
    <t>ERA-2ARB4122X</t>
  </si>
  <si>
    <t>AF0402FR-07150RL</t>
  </si>
  <si>
    <t>RMCF0402FT17K8</t>
  </si>
  <si>
    <t>ERJ3EKF10R0V</t>
  </si>
  <si>
    <t>RC0402FR-072K32L</t>
  </si>
  <si>
    <t>GRT188R61C106KE13D</t>
  </si>
  <si>
    <t>AC0402FR-0724K9L</t>
  </si>
  <si>
    <t>GRM155R71H102KA01D</t>
  </si>
  <si>
    <t>XTAL OSC XO 25.0000MHZ CMOS SMD</t>
  </si>
  <si>
    <t>IC HALF BRIDGE DRIVER 10A 24VQFN</t>
  </si>
  <si>
    <t>IC OPAMP GP 1 CIRCUIT 8WSON</t>
  </si>
  <si>
    <t>IC POWER MANAGEMENT</t>
  </si>
  <si>
    <t>225-PS HIGH-SPEED COMPARATOR WIT</t>
  </si>
  <si>
    <t>CONN HEADER SMD 18POS 1.25MM</t>
  </si>
  <si>
    <t>OPTOISOLATOR 5KV TRANS 4SMD</t>
  </si>
  <si>
    <t>IC SURGE STOPPER HV 16SOIC</t>
  </si>
  <si>
    <t>IC DGTL POT 1024POS 10K 10MSOP</t>
  </si>
  <si>
    <t>CONN FFC FPC 18POS 0.5MM R/A</t>
  </si>
  <si>
    <t>Connector Receptacle, SR Series, 10 Position, 1.00mm, 30 AWG, Free Hanging, Closed End, Tin, Natural</t>
  </si>
  <si>
    <t>CONN HEADER SMD 20POS 1.25MM</t>
  </si>
  <si>
    <t>MCU 32-bit STM32F1 ARM Cortex M3 RISC 64KB Flash 2.5V/3.3V 48-Pin LQFP T/R</t>
  </si>
  <si>
    <t>IC HOT SWAP CTRLR GP 32QFN</t>
  </si>
  <si>
    <t>DIODE GEN PURP 200V 200MA SOT323</t>
  </si>
  <si>
    <t>Connector Header, ZR Series, 8 Position, 1.50mm, 30 AWG, Free Hanging, Closed End, Natural</t>
  </si>
  <si>
    <t>TVS-DIODE;DESD5V0S1BLD-7B</t>
  </si>
  <si>
    <t>CAP ALUM,47UF,20%,50V,,RADIAL,SMD</t>
  </si>
  <si>
    <t>CAP CER 6.8UF 16V X7S 0805</t>
  </si>
  <si>
    <t>FIXED IND 470NH 3.6A 32 MOHM SMD</t>
  </si>
  <si>
    <t>FIXED IND 330NH 390MA 560MOHM SM</t>
  </si>
  <si>
    <t>ROUND SPACER STEEL 5MM</t>
  </si>
  <si>
    <t>CAP CER 0.047UF 100V X7R 0805</t>
  </si>
  <si>
    <t>RES SMD 332K OHM 1% 1/8W 0805</t>
  </si>
  <si>
    <t>RES SMD 12.1K OHM 1% 1/8W 0805</t>
  </si>
  <si>
    <t>RES SMD 30.1 OHM 1% 1/8W 0805</t>
  </si>
  <si>
    <t>CAP CER,1UF,20%,25V,X5R,0402,SMD</t>
  </si>
  <si>
    <t>FERRITE BEAD,60 OHMS @ 100MHZ,0.025R,3A,0805,SMD</t>
  </si>
  <si>
    <t>RES SMD 18.2K 1% 1206</t>
  </si>
  <si>
    <t>CAP CER 0.1UF 630V X7T 1210</t>
  </si>
  <si>
    <t>CURRENT SENS SMD 1W 0.018 OHM 1% 100ppm</t>
  </si>
  <si>
    <t>RES SMD 100 OHM 5% 3/4W 1210</t>
  </si>
  <si>
    <t>DIODE ZENER 2.11V 960MW DO219AC</t>
  </si>
  <si>
    <t>RES,22.6KR,1%,62.5MW,0402,SMD</t>
  </si>
  <si>
    <t>CAP CER 3300PF 50V C0G/NP0 0603</t>
  </si>
  <si>
    <t>CAP CER 47PF 16V C0G/NPO 01005</t>
  </si>
  <si>
    <t>RES,2.8KR,1%,62.5MW,0402,SMD</t>
  </si>
  <si>
    <t>CAP CER 0.1UF 100V X8L 0603</t>
  </si>
  <si>
    <t>RES SMD 1.4K OHM 1% 1/10W 0402</t>
  </si>
  <si>
    <t>Res Thick Film 0402 24K Ohm 1% 1/10W ±100ppm/°C Molded SMD Punched Carrier T/R</t>
  </si>
  <si>
    <t>RES SMD 102K OHM 1% 1/10W 0402</t>
  </si>
  <si>
    <t>RES SMD 45.3K OHM 1% 1/10W 0402</t>
  </si>
  <si>
    <t>SG-210STF 25.0000ML3</t>
  </si>
  <si>
    <t>DRV8955PRGER</t>
  </si>
  <si>
    <t>OPA856IDSGR</t>
  </si>
  <si>
    <t>TPS63802DLAR</t>
  </si>
  <si>
    <t>BG302-03-A-L-G</t>
  </si>
  <si>
    <t>200485-0640</t>
  </si>
  <si>
    <t>TLV3801DSGT</t>
  </si>
  <si>
    <t>5054331881</t>
  </si>
  <si>
    <t>LTV-816S</t>
  </si>
  <si>
    <t>LT4363HS-2#TRPBF</t>
  </si>
  <si>
    <t>AD5175BRMZ-10-RL7</t>
  </si>
  <si>
    <t>XF3M-1815-1B</t>
  </si>
  <si>
    <t>10SR-3S</t>
  </si>
  <si>
    <t>5054332081</t>
  </si>
  <si>
    <t>LTC4260IUH#TRPBF</t>
  </si>
  <si>
    <t>BAS21W-7-F</t>
  </si>
  <si>
    <t>08ZR-3H-P</t>
  </si>
  <si>
    <t>503480-0540</t>
  </si>
  <si>
    <t>DESD5V0S1BLD-7B</t>
  </si>
  <si>
    <t>EDH476M050A9HAA</t>
  </si>
  <si>
    <t>CGA4J1X7S1C685K125AC</t>
  </si>
  <si>
    <t>GRM188R60J106ME84J</t>
  </si>
  <si>
    <t>DFE201610E-R47M=P2</t>
  </si>
  <si>
    <t>LQW15CNR33J10D</t>
  </si>
  <si>
    <t>9774050960R</t>
  </si>
  <si>
    <t>C2012X7R2A473K125AA</t>
  </si>
  <si>
    <t>CRCW0805332KFKEA</t>
  </si>
  <si>
    <t>CRCW080512K1FKEA</t>
  </si>
  <si>
    <t>CRCW080530R1FKEA</t>
  </si>
  <si>
    <t>PE-0603PFB121ST</t>
  </si>
  <si>
    <t>TMK105BJ105MV-F</t>
  </si>
  <si>
    <t>MH2029-600Y</t>
  </si>
  <si>
    <t>GRM022R61A103KE19L</t>
  </si>
  <si>
    <t>CL05C150JB5NNNC</t>
  </si>
  <si>
    <t>RCS120618K2FKEA</t>
  </si>
  <si>
    <t>C3225X7T2J104K160AC</t>
  </si>
  <si>
    <t>LRC-LRF2010LF-01-R018F</t>
  </si>
  <si>
    <t>CRCW1210100RJNEAHP</t>
  </si>
  <si>
    <t>PLZ2V0B-G3/H</t>
  </si>
  <si>
    <t>RC0402FR-0722K6L</t>
  </si>
  <si>
    <t>C0402C470J4GAC7867</t>
  </si>
  <si>
    <t>RMCF0402FT2K80</t>
  </si>
  <si>
    <t>CL10A226MQ8NRNE</t>
  </si>
  <si>
    <t>GCJ188L8EL104KA07D</t>
  </si>
  <si>
    <t>ERA-2AEB1331X</t>
  </si>
  <si>
    <t>ERJ-2RKF1401X</t>
  </si>
  <si>
    <t>ERJ-2RKF2402X</t>
  </si>
  <si>
    <t>ERJ-2RKF1023X</t>
  </si>
  <si>
    <t>ERJ-2RKF4532X</t>
  </si>
  <si>
    <t>CONN HEADER SMD R/A 40POS 1MM</t>
  </si>
  <si>
    <t>CRYSTAL 27.0000MHZ 18PF SMD</t>
  </si>
  <si>
    <t>IC FLASH 256GBIT EMMC 153VFBGA</t>
  </si>
  <si>
    <t>CONN RCPT 4POS 0.059 TIN SMD R/A</t>
  </si>
  <si>
    <t>IC FPGA 250 I/O 484FCBGA</t>
  </si>
  <si>
    <t>IC REG BUCK ADJUSTABLE 2A 8SOPWR</t>
  </si>
  <si>
    <t>BATT HLDR COIN 6.8MM 1 CELL SMD</t>
  </si>
  <si>
    <t>IC OPAMP GP 1 CIRCUIT SOT23-5</t>
  </si>
  <si>
    <t>CRYSTAL 25.0000MHZ 10PF SMD</t>
  </si>
  <si>
    <t>Ultra Fine Pitch (0.4mm), Ultra Low Profile (1mm) 30 pin</t>
  </si>
  <si>
    <t>FIXED IND 3.3UH 8.1A 23.1MOHM SM</t>
  </si>
  <si>
    <t>DRVT 1.5 SMT AU0.76 ETP 14P NAT</t>
  </si>
  <si>
    <t>IC MCU 32BIT 2MB FLASH 144LQFP</t>
  </si>
  <si>
    <t>N-Channel 80 V 170A (Ta) 294W (Ta)</t>
  </si>
  <si>
    <t>CAP CER 0.47UF 100V X7R 0805</t>
  </si>
  <si>
    <t>RES SMD 6.19K OHM 1% 1/8W 0805</t>
  </si>
  <si>
    <t>RES SMD 10 OHM 5% 1/8W 0805</t>
  </si>
  <si>
    <t>RES SMD 5.6M OHM 5% 1/8W 0805</t>
  </si>
  <si>
    <t>RES 240 OHM 1% 1/16W 0402</t>
  </si>
  <si>
    <t>FERRITE BEAD,220 OHMS @ 100MHZ,0.1R,1.5A,0603,THD</t>
  </si>
  <si>
    <t>RES ARRAY 4 RES 10K OHM 0804</t>
  </si>
  <si>
    <t>LAN XFMR,10/100/1000 BASE-T,IEEE</t>
  </si>
  <si>
    <t>CAP CER 15nF 630V X7T 1206</t>
  </si>
  <si>
    <t>RES SMD 24.9K OHM 1% 1/2W 1210</t>
  </si>
  <si>
    <t>TVS DIODE 128VWM 207VC DO214AA</t>
  </si>
  <si>
    <t>RES SMD 649K OHM 1% 1/4W 1206</t>
  </si>
  <si>
    <t>RES,0R,JUMPER,250MW,1206,SMD</t>
  </si>
  <si>
    <t>FERRITE BEAD 120 OHM 0402 1LN</t>
  </si>
  <si>
    <t>RES 49.9K OHM 1% 1/16W 0402</t>
  </si>
  <si>
    <t>RES SMD 2.61 OHM 1% 1/16W 0402</t>
  </si>
  <si>
    <t>RES,10R,1%,333MW,0603,SMD</t>
  </si>
  <si>
    <t>RES SMD 124K OHM 1% 1/10W 0402</t>
  </si>
  <si>
    <t>ABM3-10.000MHZ-D4Y-T</t>
  </si>
  <si>
    <t>501571-4007</t>
  </si>
  <si>
    <t>ABM3C-27.000MHZ-D4Y-T</t>
  </si>
  <si>
    <t>MTFC32GAZAQHD-IT</t>
  </si>
  <si>
    <t>XC7A50T-2FGG484I</t>
  </si>
  <si>
    <t>LMR14020SDDA</t>
  </si>
  <si>
    <t>1318164-1</t>
  </si>
  <si>
    <t>OPA353NA/3K</t>
  </si>
  <si>
    <t>ABM8G-25.000MHZ-4Y-T3</t>
  </si>
  <si>
    <t>USL00-30L</t>
  </si>
  <si>
    <t>SRP5030CA-3R3M</t>
  </si>
  <si>
    <t>ATSAMV71Q21B-AABT</t>
  </si>
  <si>
    <t>PSMN4R2-80YSEX</t>
  </si>
  <si>
    <t>08051C474KAZ2A</t>
  </si>
  <si>
    <t>CRCW08056K19FKEA</t>
  </si>
  <si>
    <t>CRCW080510R0JNEA</t>
  </si>
  <si>
    <t>ERJ-6GEYJ565V</t>
  </si>
  <si>
    <t>RMCF0402FT240R</t>
  </si>
  <si>
    <t>MPZ1608Y221BTA00</t>
  </si>
  <si>
    <t>YC124-JR-0710KL</t>
  </si>
  <si>
    <t>SM453229A-381N7Y</t>
  </si>
  <si>
    <t>GC331AD7LQ153KX18J</t>
  </si>
  <si>
    <t>CRCW121024K9FKEA</t>
  </si>
  <si>
    <t>P6SMB150CA-E3/52</t>
  </si>
  <si>
    <t>CRCW1206649KFKEA</t>
  </si>
  <si>
    <t>RMCF1206ZT0R00</t>
  </si>
  <si>
    <t>BLM15PD121SN1D</t>
  </si>
  <si>
    <t>RC0402FR-0749K9L</t>
  </si>
  <si>
    <t>CRCW04022R61FKED</t>
  </si>
  <si>
    <t>CRCW060310R0FKEAHP</t>
  </si>
  <si>
    <t>ERJ-2RKF1243X</t>
  </si>
  <si>
    <t>IC DAC 16BIT V-OUT 16LFCSP</t>
  </si>
  <si>
    <t>INDUCTOR 120nH 1.4A 150mOhm Max 0603</t>
  </si>
  <si>
    <t>DIODE ZENER 3.3V 300MW SOD323</t>
  </si>
  <si>
    <t>CAP CER 0.33UF 25V X7R 0805</t>
  </si>
  <si>
    <t>FIXED IND 1UH 5.13A 47mOHM SMD</t>
  </si>
  <si>
    <t>IC REG LINEAR 3.3V 1A SOT223-4</t>
  </si>
  <si>
    <t>IC MTR DVR BIPOLR 2.3-5.5V 15VCSP</t>
  </si>
  <si>
    <t>TRIMMER 100K OHM 0.25W SMD</t>
  </si>
  <si>
    <t>DIODE ZENER 22V 300MW SOD323</t>
  </si>
  <si>
    <t>RES SMD 499K OHM 1% 1/16W 0402</t>
  </si>
  <si>
    <t>RES-SMD;8.25KOHM,1%,0402,1/10W</t>
  </si>
  <si>
    <t>CAP CER 1UF 35V X5R 0402</t>
  </si>
  <si>
    <t>RES-SMD;100OHM,1%,1/20W,0201</t>
  </si>
  <si>
    <t>CAP CER 0.22UF 6.3V X5R 0201</t>
  </si>
  <si>
    <t>RES,16.5KR,1%,62.5MW,0402,SMD</t>
  </si>
  <si>
    <t>CAP CER 10PF 50V NP0 0201</t>
  </si>
  <si>
    <t>RES SMD 2.2K OHM 1% 1/20W 0201</t>
  </si>
  <si>
    <t>RES SMD 8.45K OHM 1% 1/10W 0603</t>
  </si>
  <si>
    <t>RES SMD 10K OHM 1% 1/20W 0201</t>
  </si>
  <si>
    <t>CAP CER 2.2UF 6.3V X5R 0201</t>
  </si>
  <si>
    <t>RES SMD 12K OHM 1% 1/20W 0201</t>
  </si>
  <si>
    <t>RES SMD 16.9K OHM 1% 1/20W 0201</t>
  </si>
  <si>
    <t>RES SMD 470 OHM 5% 1/20W 0201</t>
  </si>
  <si>
    <t>CAP CER 33PF 25V C0G/NP0 0201</t>
  </si>
  <si>
    <t>CAP CER 10000PF 100V X7R 0402</t>
  </si>
  <si>
    <t>RES SMD 12.1K OHM 1% 1/20W 0201</t>
  </si>
  <si>
    <t>RES SMD 18K OHM 1% 1/20W 0201</t>
  </si>
  <si>
    <t>RES SMD 16K OHM 1% 1/10W 0603</t>
  </si>
  <si>
    <t>MOSFET N-CH 100V 18A LFPAK33</t>
  </si>
  <si>
    <t>AD5686BCPZ-RL7</t>
  </si>
  <si>
    <t>0603LS-121XGRC</t>
  </si>
  <si>
    <t>BZX384-C3V3,115</t>
  </si>
  <si>
    <t>C0805C334J3R</t>
  </si>
  <si>
    <t>DX07S024JJ2R1300</t>
  </si>
  <si>
    <t>MCSLPT4848C1DTR</t>
  </si>
  <si>
    <t>TLV1117LV33DCYR</t>
  </si>
  <si>
    <t>CRCW0603330RFKEB</t>
  </si>
  <si>
    <t>ST5ETP104</t>
  </si>
  <si>
    <t>MM3Z22VT1G</t>
  </si>
  <si>
    <t>CRCW0402499KFKTD</t>
  </si>
  <si>
    <t>CRCW060340K2FKEA</t>
  </si>
  <si>
    <t>RC0402FR-078K25L</t>
  </si>
  <si>
    <t>GMK105ABJ105KV-F</t>
  </si>
  <si>
    <t>CRGCQ0402F120R</t>
  </si>
  <si>
    <t>ERJ-1GNF1000C</t>
  </si>
  <si>
    <t>JMK063BJ224MP-F</t>
  </si>
  <si>
    <t>RC0402FR-0716K5L</t>
  </si>
  <si>
    <t>UMK063CG100DT-F</t>
  </si>
  <si>
    <t>RC0201FR-072K2L</t>
  </si>
  <si>
    <t>RMCF0603FT8K45</t>
  </si>
  <si>
    <t>RC0201FR-0710KP</t>
  </si>
  <si>
    <t>CC0201MRX5R5BB225</t>
  </si>
  <si>
    <t>RC0201FR-0712KL</t>
  </si>
  <si>
    <t>RC0201FR-0716K9L</t>
  </si>
  <si>
    <t>CRCW060395K3FKEA</t>
  </si>
  <si>
    <t>RC0201JR-07470RL</t>
  </si>
  <si>
    <t>GRM0335C1E330JA01D</t>
  </si>
  <si>
    <t>CC0402KRX7R0BB103</t>
  </si>
  <si>
    <t>RC0201FR-0712K1L</t>
  </si>
  <si>
    <t>RC0201FR-0718KL</t>
  </si>
  <si>
    <t>RC0201FR-075K1L</t>
  </si>
  <si>
    <t>JMK105BBJ475MVHF</t>
  </si>
  <si>
    <t>CRCW060316K0FKEA</t>
  </si>
  <si>
    <t>PSMN075-100MSEX</t>
  </si>
  <si>
    <t>CL05A475KQ5NRNC</t>
  </si>
  <si>
    <t>885012105001</t>
  </si>
  <si>
    <t>MOSFET P-CH 100V 140A TO268</t>
  </si>
  <si>
    <t>CAP 100mF -20% +80% 5.5V SMD</t>
  </si>
  <si>
    <t>CONN RCPT USB MICRO B R/A SMT</t>
  </si>
  <si>
    <t>RES 0.015 OHM 1% 2W 2512</t>
  </si>
  <si>
    <t>IC REG LINEAR 3V 150MA 6WSON</t>
  </si>
  <si>
    <t>DRV8874 H-BRIDGE MOTOR DRIVER</t>
  </si>
  <si>
    <t>IC CURR SENSE 1 CIRCUIT 8SOIC</t>
  </si>
  <si>
    <t>CAP FILM 1UF 10% 310VAC RADIAL</t>
  </si>
  <si>
    <t>N_CHANEL MOSFET 500mA</t>
  </si>
  <si>
    <t>FIXED IND 8.2UH 4.5A 50.5 MOHM</t>
  </si>
  <si>
    <t>CAP TANT 33UF 20% 16V 1206</t>
  </si>
  <si>
    <t>USB Bridge, USB to UART USB 2.0 UART Interface 20-QFN (3x3)</t>
  </si>
  <si>
    <t>RES SMD 232K OHM 1% 1/10W 0402</t>
  </si>
  <si>
    <t>CRGCQ 0805 330R 1%</t>
  </si>
  <si>
    <t>CAP CER 0.068UF 16V X5R 0402</t>
  </si>
  <si>
    <t>RES SMD 604K OHM 1% 1/10W 0402</t>
  </si>
  <si>
    <t>PRECISION ANALOG MULTIPLEXER</t>
  </si>
  <si>
    <t>RES SMD 20 OHM 1% 1/10W 0402</t>
  </si>
  <si>
    <t>MEMS OSC XO 33.3333MHZ CMOS SMD</t>
  </si>
  <si>
    <t>IC; IC RF MCU,QFN48,-40TO85,nRF52811-QFAA-T</t>
  </si>
  <si>
    <t>RES SMD 133K OHM 1% 1/16W 0402</t>
  </si>
  <si>
    <t>CAP CER 2200PF 2KV X7R 1812</t>
  </si>
  <si>
    <t>Green LED Indication - Discrete 2.05V 0603 (1608 Metric)</t>
  </si>
  <si>
    <t>10UF 35V 0805</t>
  </si>
  <si>
    <t>FERRITE BEAD 220 OHM 2A 0603 1LN</t>
  </si>
  <si>
    <t>CAP CER 16PF 50V C0G/NP0 0201</t>
  </si>
  <si>
    <t>CAP CER 1000PF 25V C0G/NP0 0201</t>
  </si>
  <si>
    <t>SMD Chip Resistor, 110 Ohm, ± 1%, 100 mW, 0603 [1608 Metric], Thick Film, General Purpose</t>
  </si>
  <si>
    <t>IXTT140P10T</t>
  </si>
  <si>
    <t>FCS0H104ZFTBR24</t>
  </si>
  <si>
    <t>GDH02STR04</t>
  </si>
  <si>
    <t>BLM21SN300SH1D</t>
  </si>
  <si>
    <t>CRA2512-FZ-R015ELF</t>
  </si>
  <si>
    <t>TPS71730QDRVRQ1</t>
  </si>
  <si>
    <t>DRV8874PWPR</t>
  </si>
  <si>
    <t>INA240A4DR</t>
  </si>
  <si>
    <t>FBTH1608HE600-T</t>
  </si>
  <si>
    <t>105MKP275KE</t>
  </si>
  <si>
    <t>RHK005N03FRAT146</t>
  </si>
  <si>
    <t>SRP6540-8R2M</t>
  </si>
  <si>
    <t>TCTAL1C336M8R</t>
  </si>
  <si>
    <t>CP2102N-A01-GQFN20</t>
  </si>
  <si>
    <t>ERJ-2RKF2323X</t>
  </si>
  <si>
    <t>CRGCQ0805F330R</t>
  </si>
  <si>
    <t>885012206091</t>
  </si>
  <si>
    <t>GRM155R61C683KA88D</t>
  </si>
  <si>
    <t>ERJ-2RKF6043X</t>
  </si>
  <si>
    <t>TMUX1247DCKR</t>
  </si>
  <si>
    <t>ERJ-2RKF20R0X</t>
  </si>
  <si>
    <t>DSC1001CI5-033.3300</t>
  </si>
  <si>
    <t>nRF52811-QFAA-T</t>
  </si>
  <si>
    <t>RC0402FR- 07133KL</t>
  </si>
  <si>
    <t>CC1812KKX7RDBB222</t>
  </si>
  <si>
    <t>19-213/GVC-AMNB/3T</t>
  </si>
  <si>
    <t>GRM21BR6YA106KE3L</t>
  </si>
  <si>
    <t>MPZ1608S221ATA00</t>
  </si>
  <si>
    <t>GRM0335C1H160JA01D</t>
  </si>
  <si>
    <t>TMK063CG102JT-F</t>
  </si>
  <si>
    <t>NRC06F1100TRF</t>
  </si>
  <si>
    <t>IC MCU 32BIT 128KB FLSH 28UFQFPN</t>
  </si>
  <si>
    <t>MOSFET P-CH 200V 26A TO263</t>
  </si>
  <si>
    <t>CONN RCPT 40POS SMD GOLD</t>
  </si>
  <si>
    <t>CONN-SMD;20525-#30E-02</t>
  </si>
  <si>
    <t>CONN RCPT USB2.0 TYP C 24POS SMD</t>
  </si>
  <si>
    <t>CONN FFC VERT 21POS 0.5MM SMD</t>
  </si>
  <si>
    <t>Standard Schottky 35V0.1A 0402/DFN1006</t>
  </si>
  <si>
    <t>CAP TANT 10UF 20% 6.3V 0402</t>
  </si>
  <si>
    <t>Capacitor</t>
  </si>
  <si>
    <t>CAP CER 8.2PF 50V C0G/NP0 0402</t>
  </si>
  <si>
    <t>CAP TANT 22UF 20% 10V 0603</t>
  </si>
  <si>
    <t>RES SMD 2.2K OHM 1% 1/3W 0603</t>
  </si>
  <si>
    <t>Multilayer Ceramic Capacitor, 4.7 uF, 100 V, ± 20%, X7S, 1206 [3216 Metric]</t>
  </si>
  <si>
    <t>Multilayer Ceramic Capacitor, 1000 pF, 50 V, ± 10%, X7R, 0603 [1608 Metric]</t>
  </si>
  <si>
    <t>100 V, 3 A low leakage current Schottky barrier rectifier</t>
  </si>
  <si>
    <t>CAP CER 5PF 50V C0G 0402</t>
  </si>
  <si>
    <t>CAP CER 1.8PF 100V C0G/NP0 0402</t>
  </si>
  <si>
    <t>CONN HEADER SMD 6POS 1MM</t>
  </si>
  <si>
    <t>CRYSTAL 12.0000MHZ 18PF SMD</t>
  </si>
  <si>
    <t>RES 18K OHM 1% 1/16W 0402</t>
  </si>
  <si>
    <t>FERRITE BEAD 33 OHM 0402 1LN</t>
  </si>
  <si>
    <t>RES SMD 15.8K OHM 1% 1/10W 0603</t>
  </si>
  <si>
    <t>RES 150 OHM 1% 1/20W 0201</t>
  </si>
  <si>
    <t>RES 220K OHM 1% 1/10W 0603</t>
  </si>
  <si>
    <t>RES SMD 19.1K OHM 1% 1/10W 0402</t>
  </si>
  <si>
    <t>RES 12 OHM 1% 1/20W 0201</t>
  </si>
  <si>
    <t>RES 24.9 OHM 1% 1/20W 0201</t>
  </si>
  <si>
    <t>RES 2.2K OHM 1% 1/20W 0201</t>
  </si>
  <si>
    <t>RES SMD 3.57K OHM 1% 1/10W 0402</t>
  </si>
  <si>
    <t>RES 100K OHM 1% 1/20W 0201</t>
  </si>
  <si>
    <t>RES 360K OHM 1% 1/20W 0201</t>
  </si>
  <si>
    <t>RES SMD 2.49K OHM 1% 1/10W 0402</t>
  </si>
  <si>
    <t>RES 2K OHM 1% 1/20W 0201</t>
  </si>
  <si>
    <t>RES 4.7K OHM 1% 1/20W 0201</t>
  </si>
  <si>
    <t>CAP CER 0.047UF 10V X5R 0402</t>
  </si>
  <si>
    <t>RES SMD 40.2 OHM 1% 1/10W 0402</t>
  </si>
  <si>
    <t>RES SMD 80.6 OHM 1% 1/10W 0402</t>
  </si>
  <si>
    <t>RES-SMD; 4.7KOHM,5%,0402,1/16W</t>
  </si>
  <si>
    <t>STM32G071GBU3</t>
  </si>
  <si>
    <t>IXTA26P20P-TRL</t>
  </si>
  <si>
    <t>BAV20WS-TP</t>
  </si>
  <si>
    <t>DF12NB-40DS-0.5V(51)</t>
  </si>
  <si>
    <t>20525-#30E-02</t>
  </si>
  <si>
    <t>217182-0001</t>
  </si>
  <si>
    <t>52559-2152</t>
  </si>
  <si>
    <t>C1005X5R0J475K050BC</t>
  </si>
  <si>
    <t>ACDBQC0130L-HF</t>
  </si>
  <si>
    <t>TLCK106M006QTA</t>
  </si>
  <si>
    <t>CL32Y106KCVZNWE</t>
  </si>
  <si>
    <t>CL05C8R2BB51PNC</t>
  </si>
  <si>
    <t>298D226X0010M2T</t>
  </si>
  <si>
    <t>CRCW06032K20FKEAHP</t>
  </si>
  <si>
    <t>GRM31CC72A475ME11L</t>
  </si>
  <si>
    <t>PMEG10030ELPX</t>
  </si>
  <si>
    <t>CGA2B2C0G1H050C050BA</t>
  </si>
  <si>
    <t>CL05C1R8CC51PNC</t>
  </si>
  <si>
    <t>5044490607</t>
  </si>
  <si>
    <t>445I23D12M00000</t>
  </si>
  <si>
    <t>RMCF0402FT18K0</t>
  </si>
  <si>
    <t>MPZ1005S330HT000</t>
  </si>
  <si>
    <t>ERJ-3EKF1582V</t>
  </si>
  <si>
    <t>RMCF0201FT150R</t>
  </si>
  <si>
    <t>RC0603FR-07220KL</t>
  </si>
  <si>
    <t>ERJ-2RKF1912X</t>
  </si>
  <si>
    <t>CRCW020112R0FNED</t>
  </si>
  <si>
    <t>RMCF0201FT24R9</t>
  </si>
  <si>
    <t>RMCF0603FT200R</t>
  </si>
  <si>
    <t>RMCF0201FT2K20</t>
  </si>
  <si>
    <t>ERJ-2RKF3571X</t>
  </si>
  <si>
    <t>RMCF0201FT100K</t>
  </si>
  <si>
    <t>CRCW0201360KFKED</t>
  </si>
  <si>
    <t>C0402C270J5GAC7867</t>
  </si>
  <si>
    <t>ERJ-2RKF2491X</t>
  </si>
  <si>
    <t>RMCF0201FT2K00</t>
  </si>
  <si>
    <t>RMCF0201FT4K70</t>
  </si>
  <si>
    <t>GRM155R61A473KA01D</t>
  </si>
  <si>
    <t>ERJ-2RKF40R2X</t>
  </si>
  <si>
    <t>ERJ-2RKF80R6X</t>
  </si>
  <si>
    <t>C0402C102J3RACTU</t>
  </si>
  <si>
    <t>MOSFET N-CH 60V 240MA SOT323</t>
  </si>
  <si>
    <t>MOSFET P-CH 85V 96A TO220AB</t>
  </si>
  <si>
    <t>RES 0.5 OHM 1% 1/4W 1206</t>
  </si>
  <si>
    <t>RES SMD 94.2K OHM 0.1% 1/10W 0603</t>
  </si>
  <si>
    <t>RES SMD 3.2K OHM 0.5% 1/16W 0402</t>
  </si>
  <si>
    <t>CAP CER 0.47UF 6.3V X5R 0201</t>
  </si>
  <si>
    <t>IC REG LIN 12V 1.5A DDPAK/TO263</t>
  </si>
  <si>
    <t>CAP ALUM HYBRD 100UF 20% 50V SMD</t>
  </si>
  <si>
    <t>IC, IC REG LINEAR, SOT-223, -65 TO 150 °C, LM1117MPX-5.0/NOPB, Fixed Output 5V 800mA</t>
  </si>
  <si>
    <t>RES SMD 80.6K OHM 1% 1/16W 0402</t>
  </si>
  <si>
    <t>RES-SMD; 13.3k OHM, 1%, 0603,1/10W</t>
  </si>
  <si>
    <t>FERRITE BEAD 100 OHM 1812 1LN</t>
  </si>
  <si>
    <t>RES SMD 110K OHM 1% 1/8W 0805</t>
  </si>
  <si>
    <t>RES SMD 324K OHM 1% 1/10W 0603</t>
  </si>
  <si>
    <t>RES 0.02 OHM 1% 2W 2512</t>
  </si>
  <si>
    <t>RES 499K OHM 1% 1/10W 0603</t>
  </si>
  <si>
    <t>RES SMD 12.4K OHM 1% 1/10W 0402</t>
  </si>
  <si>
    <t>RES SMD 13.7K OHM 1% 1/20W 0201</t>
  </si>
  <si>
    <t>RES SMD 59 OHM 1% 1/16W 0402</t>
  </si>
  <si>
    <t>RES SMD 200K OHM 1% 1/20W 0201</t>
  </si>
  <si>
    <t>FIXED IND 3.3UH 19.6A 3.96 MOHM</t>
  </si>
  <si>
    <t>ANT; RFID ANT 125kHz</t>
  </si>
  <si>
    <t>RES SMD 4.7K OHM 5% 1/20W 0201</t>
  </si>
  <si>
    <t>1000PF 16V 10% 0201</t>
  </si>
  <si>
    <t>CAP-CER,SMD;0.47uF,±10%,0201,6.3V,X5R</t>
  </si>
  <si>
    <t>DMN67D8LW-13</t>
  </si>
  <si>
    <t>IXTP96P085T</t>
  </si>
  <si>
    <t>97C02ST</t>
  </si>
  <si>
    <t>CSR0603FKR500</t>
  </si>
  <si>
    <t>RT0603BRD0794K2L</t>
  </si>
  <si>
    <t>RT0402DRE073K2L</t>
  </si>
  <si>
    <t>C0402C103K3RACTU</t>
  </si>
  <si>
    <t>KST241GLFS</t>
  </si>
  <si>
    <t>CL03A474KQ3NNNC</t>
  </si>
  <si>
    <t>LM340S-12/NOPB</t>
  </si>
  <si>
    <t>HHXD500ARA101MJA0G</t>
  </si>
  <si>
    <t>LM1117MPX-5.0/NOPB</t>
  </si>
  <si>
    <t>RC0402FR-0780K6L</t>
  </si>
  <si>
    <t>CRCW060313K3FKEA</t>
  </si>
  <si>
    <t>2518131018Y8</t>
  </si>
  <si>
    <t>RC0805FR-07110KL</t>
  </si>
  <si>
    <t>IDXSM66AL</t>
  </si>
  <si>
    <t>CRCW0603324KFKEA</t>
  </si>
  <si>
    <t>CSRN2512FK20L0</t>
  </si>
  <si>
    <t>RMCF0603FT499K</t>
  </si>
  <si>
    <t>LTST-C171GKT</t>
  </si>
  <si>
    <t>ERJ-2RKF1242X</t>
  </si>
  <si>
    <t>RC0201FR-0713K7L</t>
  </si>
  <si>
    <t>RC0402FR-0759RL</t>
  </si>
  <si>
    <t>RC0201FR-07200KL</t>
  </si>
  <si>
    <t>ETQP8M3R3JFA</t>
  </si>
  <si>
    <t>MLG0603P2N2G000</t>
  </si>
  <si>
    <t>B82450A7204A000</t>
  </si>
  <si>
    <t>RC0201FR-074K7L</t>
  </si>
  <si>
    <t>GRM033R60J474KE90D</t>
  </si>
  <si>
    <t>CONN-DIP;HEADER,M,2POS,1MM,3A5037630291,SMD R/A</t>
  </si>
  <si>
    <t>N-CH 80V 100A TDSON MOSFET</t>
  </si>
  <si>
    <t>CAP ALUM 100UF 20% 50V SMD</t>
  </si>
  <si>
    <t>CAP ALUM 22UF 20% 50V SMD</t>
  </si>
  <si>
    <t>CAP CER 0.2UF 50V X7R 1206</t>
  </si>
  <si>
    <t>RES SMD 5.1 OHM 5% 1/2W 0805</t>
  </si>
  <si>
    <t>FERRITE BEAD 600 OHM 0.5A 0805 1LN</t>
  </si>
  <si>
    <t>DIODE SCHOTTKY 30V 0.8A</t>
  </si>
  <si>
    <t>RES 10 OHM 1/20W 1% 0201 SMD</t>
  </si>
  <si>
    <t>TVS DIODE 15V 24.4V 3HUSON</t>
  </si>
  <si>
    <t>DIODE TVS 200W 9.2V</t>
  </si>
  <si>
    <t>FIXED IND 47NH 230MA 1 OHM SMD</t>
  </si>
  <si>
    <t>TVS DIODE 14V 23.2V DO214AC</t>
  </si>
  <si>
    <t>RES 0.01 OHM 1% 1/4W 0603</t>
  </si>
  <si>
    <t>TVS DIODE 40V 0.04PF 0402</t>
  </si>
  <si>
    <t>RES SMD 100K OHM 5% 1/20W 0201</t>
  </si>
  <si>
    <t>RES SMD 62K OHM 1% 1/20W 0201</t>
  </si>
  <si>
    <t>RES SMD 220K OHM 5% 1/20W 0201</t>
  </si>
  <si>
    <t>RES SMD 17.8K OHM 1% 1/20W 0201</t>
  </si>
  <si>
    <t>RES SMD 2K OHM 1% 1/20W 0201</t>
  </si>
  <si>
    <t>RES SMD 42.2K OHM 1% 1/20W 0201</t>
  </si>
  <si>
    <t>RES SMD 19.1K OHM 1% 1/20W 0201</t>
  </si>
  <si>
    <t>RES SMD 15K OHM 5% 1/20W 0201</t>
  </si>
  <si>
    <t>RES SMD 3K OHM 1% 1/20W 0201</t>
  </si>
  <si>
    <t>RES SMD 6.8K OHM 1% 1/20W 0201</t>
  </si>
  <si>
    <t>RES SMD 220K OHM 1% 1/20W 0201</t>
  </si>
  <si>
    <t>RES SMD 36K OHM 1% 1/20W 0201</t>
  </si>
  <si>
    <t>RES SMD 2.2K OHM 5% 1/20W 0201</t>
  </si>
  <si>
    <t>TVS DIODE 12V 30VC 17pF DSN0603-2</t>
  </si>
  <si>
    <t>TVS DIODE 5.5V 4.6V 10DFN2510</t>
  </si>
  <si>
    <t>TVS DIODE 5V 15.5V 35pF DSN0603-2</t>
  </si>
  <si>
    <t>5037630291</t>
  </si>
  <si>
    <t>BSC057N08NS3GATMA1</t>
  </si>
  <si>
    <t>107AXZ050M</t>
  </si>
  <si>
    <t>UWT1H220MCL1GB</t>
  </si>
  <si>
    <t>12065C204KAT4A</t>
  </si>
  <si>
    <t>ERJ-6DQJ5R1V</t>
  </si>
  <si>
    <t>HZ0805E601R-10</t>
  </si>
  <si>
    <t>CUS10S30,H3F</t>
  </si>
  <si>
    <t>ERJ-1GEF10R0C</t>
  </si>
  <si>
    <t>PTVS15VU1UPAZ</t>
  </si>
  <si>
    <t>SMF5.0A-TP</t>
  </si>
  <si>
    <t>HK100547NJ-T</t>
  </si>
  <si>
    <t>SMAJ14A</t>
  </si>
  <si>
    <t>PMR03EZPFU10L0</t>
  </si>
  <si>
    <t>AXGD10402KR</t>
  </si>
  <si>
    <t>RC0201JR-07100KL</t>
  </si>
  <si>
    <t>RC0201FR-0762KL</t>
  </si>
  <si>
    <t>RC0201JR-07220KL</t>
  </si>
  <si>
    <t>RC0201FR-0717K8L</t>
  </si>
  <si>
    <t>RC0201FR-072KL</t>
  </si>
  <si>
    <t>RC0201FR-0742K2L</t>
  </si>
  <si>
    <t>RC0201FR-0719K1L</t>
  </si>
  <si>
    <t>RC0201JR-0715KL</t>
  </si>
  <si>
    <t>RC0201FR-073KL</t>
  </si>
  <si>
    <t>RC0201FR-076K8L</t>
  </si>
  <si>
    <t>RC0201FR-07220KL</t>
  </si>
  <si>
    <t>RC0201FR-0736KL</t>
  </si>
  <si>
    <t>RC0201JR-072K2L</t>
  </si>
  <si>
    <t>PESD12VA-SFYL</t>
  </si>
  <si>
    <t>PUSB3F96X</t>
  </si>
  <si>
    <t>PESD5V0S1BSF,315</t>
  </si>
  <si>
    <t>TERM BLOCK 4POS 45DEG 5.08MM PCB</t>
  </si>
  <si>
    <t>IC SUPERVISOR 1 CHANNEL SOT23-3</t>
  </si>
  <si>
    <t>AP7362-33SP-13</t>
  </si>
  <si>
    <t>CRYSTAL;25.0000MHZ,20ppm,12PF,3.2x2.5mm,ABM8AIG-25.000MHZ-12-2Z-T3</t>
  </si>
  <si>
    <t>CAP-CER,SMD;10UF,10%,1206,16V,X5R</t>
  </si>
  <si>
    <t>FIXED IND 330UH 700MA 850MOHM SM</t>
  </si>
  <si>
    <t>CONN-DIP;HEADER,M,4POS,1MM,5037630491,SMD R/A</t>
  </si>
  <si>
    <t>0.1 µF Film Capacitor 200V 400V Polyester, Metallized Radial</t>
  </si>
  <si>
    <t>IC; REG Adj 1.2 V ~ 5.5 V 1A, 8-SON (3x3),-40°C ~ 125°C, TPS79601DRBR</t>
  </si>
  <si>
    <t>RES CHP 10R 5% 1/4W 1206 SMD</t>
  </si>
  <si>
    <t>Zener Diode 18 V 500 mW ±5% Surface Mount SOD-80C</t>
  </si>
  <si>
    <t>Zener Diode 10 V 500 mW ±5% Surface Mount SOD-80C</t>
  </si>
  <si>
    <t>RES 100K OHM 5% 2W 2512</t>
  </si>
  <si>
    <t>CAP CER 0.22uF 100V X5R 0805</t>
  </si>
  <si>
    <t>RES SMD 0.002 OHM 1% 1/2W 0805</t>
  </si>
  <si>
    <t>'RES 0603 470R 5% 100mW</t>
  </si>
  <si>
    <t>RES 200R OHM 1% 1/10W 0603</t>
  </si>
  <si>
    <t>RES 0603 2K2 5% 100mW</t>
  </si>
  <si>
    <t>BJT PNP -60V 150mA SOT23-3 SMD</t>
  </si>
  <si>
    <t>CAP-CER,SMD;22UF,10%,1206,16V,X5R</t>
  </si>
  <si>
    <t>FIXED IND 15UH 2.6A 47 MOHM SMD</t>
  </si>
  <si>
    <t>CAP CER 330PF 100V X7R 0603</t>
  </si>
  <si>
    <t>10 Ohms ±5% 1W Through Hole Resistor Axial Flame Proof, Safety Metal Film</t>
  </si>
  <si>
    <t>RES 5.11K OHM 1% 1/10W 0603</t>
  </si>
  <si>
    <t>RES 1M OHM 5% 1W 2512</t>
  </si>
  <si>
    <t>TVS DIODE 20VWM 30VC SOD323</t>
  </si>
  <si>
    <t>TVS-DIODE;BI-DIR,400W,3.3V/10.9VC,CDSOD323-T03SC</t>
  </si>
  <si>
    <t xml:space="preserve">100 kOhms ±1% 0.1W, 1/10W  0603 </t>
  </si>
  <si>
    <t>FIXED IND 470NH 4.7A 26MOHM SMD</t>
  </si>
  <si>
    <t>CAP CER 0603 10NF 50V X7R</t>
  </si>
  <si>
    <t xml:space="preserve"> RES SMD 1M OHM 5% 1/10W 0603</t>
  </si>
  <si>
    <t>CAP-CER,SMD;220pF,±5%,0402,50V</t>
  </si>
  <si>
    <t>CAP-CER,SMD;22pF,±5%,0402,25V,C0G/N0P</t>
  </si>
  <si>
    <t>CAP-CER,SMD;2.2nF,±10%,0402,50V,X7R</t>
  </si>
  <si>
    <t>CAP-CER,SMD;2.2µF,±20%,0402,10V,X5R</t>
  </si>
  <si>
    <t>RES 120 0HM 1% 1/10W 0402</t>
  </si>
  <si>
    <t>CAP-CER,SMD;10nF,±10%,0402,125V,X7R</t>
  </si>
  <si>
    <t>RES-SMD;1KOHM,1%,1/20W,0201</t>
  </si>
  <si>
    <t>RES 4.7K OHM 1% 1/16W 0402</t>
  </si>
  <si>
    <t>RES 10K OHM 1% 1/10W 0603, RES CHP 10K 5% 1/10W 0603 SMD</t>
  </si>
  <si>
    <t>CAP CER 0.33UF 6.3V X5R 0201</t>
  </si>
  <si>
    <t>RES 210K OHM 1% 1/16W 0402</t>
  </si>
  <si>
    <t>RES SMD 4.7K OHM 1% 1/20W 0201</t>
  </si>
  <si>
    <t>IC PWR SWITCH P-CHAN 1:1 SOT23-8</t>
  </si>
  <si>
    <t>RES SMD 240 OHM 1% 1/20W 0201</t>
  </si>
  <si>
    <t>RES SMD 22.1K OHM 1% 1/20W 0201</t>
  </si>
  <si>
    <t>CAP CER,33NF,10%,25V,X7R,0402,SMD</t>
  </si>
  <si>
    <t>FERRITE BEAD 60 OHM 0402 1LN</t>
  </si>
  <si>
    <t>RES-SMD; 22kOHM,1%,0402,1/16W</t>
  </si>
  <si>
    <t>RES CHP 15K 1% 1/10W 0603 SMD</t>
  </si>
  <si>
    <t>1906268</t>
  </si>
  <si>
    <t>MCP130T-300I/TT</t>
  </si>
  <si>
    <t>ABM8AIG-25.000MHZ-12-2Z-T3</t>
  </si>
  <si>
    <t>CL31A106KOHNNNF</t>
  </si>
  <si>
    <t>SRN8040TA-331M</t>
  </si>
  <si>
    <t>5037630491</t>
  </si>
  <si>
    <t>ECQ-E4104KF</t>
  </si>
  <si>
    <t>TPS79601DRBR</t>
  </si>
  <si>
    <t>WR12X100 JTL</t>
  </si>
  <si>
    <t>ZMM18</t>
  </si>
  <si>
    <t>ZMM10</t>
  </si>
  <si>
    <t>CC1206MKX5R5BB476</t>
  </si>
  <si>
    <t>CRGH2512J100K</t>
  </si>
  <si>
    <t>CC0805KKX7R0BB224</t>
  </si>
  <si>
    <t>PMR10EZPFV2L00</t>
  </si>
  <si>
    <t>RC0603JR-07200RL</t>
  </si>
  <si>
    <t>2SA1015</t>
  </si>
  <si>
    <t>CL31A226KOHNNNE</t>
  </si>
  <si>
    <t>ASPI-8040S-150M-T</t>
  </si>
  <si>
    <t>CC0603KRX7R0BB331</t>
  </si>
  <si>
    <t>FMP100JT-52-10R</t>
  </si>
  <si>
    <t>RC0603FR-075K1L</t>
  </si>
  <si>
    <t>RMCF2512JT1M00</t>
  </si>
  <si>
    <t>CC0805KKX7R9BB105</t>
  </si>
  <si>
    <t>D20V0L1B2WS-7</t>
  </si>
  <si>
    <t>CDSOD323-T03SC</t>
  </si>
  <si>
    <t>RT0603FRD07100KL</t>
  </si>
  <si>
    <t>MEKK2016HR47M</t>
  </si>
  <si>
    <t>RC0402JR-0710KP</t>
  </si>
  <si>
    <t>C0402C221J5GACTU</t>
  </si>
  <si>
    <t>C0402C220J3GACAUTO</t>
  </si>
  <si>
    <t>C0402C222K5RACTU</t>
  </si>
  <si>
    <t>C0402C225M8PACTU</t>
  </si>
  <si>
    <t>RK73H1ERTTP1200F</t>
  </si>
  <si>
    <t>C0402C103K3RAC7411</t>
  </si>
  <si>
    <t>ERJ-1GEF1001C</t>
  </si>
  <si>
    <t>AC0402FR-134K7L</t>
  </si>
  <si>
    <t>GRM033R60J334ME90D</t>
  </si>
  <si>
    <t>RC0402FR-07210KL</t>
  </si>
  <si>
    <t>GRM033R60J224ME90D</t>
  </si>
  <si>
    <t>CRCW0214K70FKED</t>
  </si>
  <si>
    <t>TPS22960DCNR</t>
  </si>
  <si>
    <t>RC0201FR-07240RL</t>
  </si>
  <si>
    <t>RC0201FR-0722K1L</t>
  </si>
  <si>
    <t>0402B333K250CT</t>
  </si>
  <si>
    <t>BKP1005EM600-T</t>
  </si>
  <si>
    <t>RC0201JR-071KL</t>
  </si>
  <si>
    <t>0.50 mm Micro Blade &amp; Beam Ultra Low Profile Socket Strip</t>
  </si>
  <si>
    <t>RES-SMD; 49R9 OHM, 1%, 0603,1/10W</t>
  </si>
  <si>
    <t>RES SMD 1.15M OHM 5% 1/10W 0603</t>
  </si>
  <si>
    <t>Mô đun wi-fi(802.11)</t>
  </si>
  <si>
    <t>Diodes - General Purpose, Power, Switching SINGLE JUNC. 75V 4.0NS COMP</t>
  </si>
  <si>
    <t>CONN; FFC 40 Pin</t>
  </si>
  <si>
    <t>24 Position FPC Connector Contacts, Bottom 0.020" (0.50mm) Surface Mount, Right Angle</t>
  </si>
  <si>
    <t>PUSH-BUTTON;TACTILE SPST-NO,Top Actuated,6.20mm x 6.20mm,KMR221GLFS</t>
  </si>
  <si>
    <t>Fixed Inductors 4018 1uH 32.4mOhms +/-20%Tol 3200mAFixed Inductors 3012 10uH 324mOhms +/-20%Tol 720mA Q200</t>
  </si>
  <si>
    <t>Crystal 16.00MHz 16.0pF SMD</t>
  </si>
  <si>
    <t>SENSOR OPTO TRANS REFL SMD PHOTO</t>
  </si>
  <si>
    <t>CAP CER 1000PF 250V NP0 0603</t>
  </si>
  <si>
    <t>MOS-FET;P-Channel,30V,5A,SOT-23</t>
  </si>
  <si>
    <t>LDO Voltage Regulators LDO Reg, Ultra-Low Noise High PSRR 2.5V</t>
  </si>
  <si>
    <t>Schottky Barrier Diode 1A/40V SOD123</t>
  </si>
  <si>
    <t>RES 0.025 OHM 0.1% 1W 2512</t>
  </si>
  <si>
    <t>SMD LED RGB WS2812B 1=50</t>
  </si>
  <si>
    <t>Transistor NPN SOT23 MMBT2222A Pitch_0.90 mm 2.92x2.00x1.11mm</t>
  </si>
  <si>
    <t>RES-SMD; 510k OHM, 5%, 0603,1/10W</t>
  </si>
  <si>
    <t>RES-SMD; 105k OHM, 1%, 0603,1/10W</t>
  </si>
  <si>
    <t>IC CURR SENSE 1 CIRCUIT SOT23-5</t>
  </si>
  <si>
    <t>RES SMD 21.5K OHM 1% 1/10W 0402</t>
  </si>
  <si>
    <t>SMD;10uH,5%,1008,155mA,3.5Ohm</t>
  </si>
  <si>
    <t xml:space="preserve">MOSFET MOSFET BVDSS: 8V-24V </t>
  </si>
  <si>
    <t>RES-SMD; 5.23k OHM, 1%, 0603,1/10W</t>
  </si>
  <si>
    <t xml:space="preserve"> CAP CER 75PF 50V C0G/NP0 0603</t>
  </si>
  <si>
    <t>COMMON MODE CHOKE 100MA 2LN SMD</t>
  </si>
  <si>
    <t>Magnetic NO 2700Hz 80dB @ 5V, 10cm 3.6V 8.5mm x 8.5mm 8.5*8.5*3mm Buzzers RoHS</t>
  </si>
  <si>
    <t>CAP CER 220PF 25V NP0 0201</t>
  </si>
  <si>
    <t>CRCW060349R9FKEA</t>
  </si>
  <si>
    <t>RC0603FR-071M15L</t>
  </si>
  <si>
    <t>ESPWROOM-02D</t>
  </si>
  <si>
    <t>TF31-40S-0.5SH(800)</t>
  </si>
  <si>
    <t>SFV24R-3STBE1HLF</t>
  </si>
  <si>
    <t>KMR221GLFS</t>
  </si>
  <si>
    <t>NRH3012T100MNV</t>
  </si>
  <si>
    <t>ECS-160-16-33B-CKM-TR</t>
  </si>
  <si>
    <t>QRE1113GR</t>
  </si>
  <si>
    <t>CGA3E3NP02E102J080AA</t>
  </si>
  <si>
    <t>SI2347DS-T1-GE3</t>
  </si>
  <si>
    <t>NCP161ASN250T1G</t>
  </si>
  <si>
    <t>1N5819HWQ-7-F</t>
  </si>
  <si>
    <t>Y14870R02500B9R</t>
  </si>
  <si>
    <t>WS2812B</t>
  </si>
  <si>
    <t>CRCW0603510KJNEA</t>
  </si>
  <si>
    <t>CRCW0603105KFKEA</t>
  </si>
  <si>
    <t>SI8540-B-FWR</t>
  </si>
  <si>
    <t>ERJ-2RKF2152X</t>
  </si>
  <si>
    <t>NLV25T-100J-PF</t>
  </si>
  <si>
    <t>DMP2170U-7</t>
  </si>
  <si>
    <t>CRCW06035K23FKEA</t>
  </si>
  <si>
    <t>CBR06C750F5GAC</t>
  </si>
  <si>
    <t>NFG0QHB542HS2D</t>
  </si>
  <si>
    <t>MLT-8530</t>
  </si>
  <si>
    <t>TMK063CG221JTHF</t>
  </si>
  <si>
    <t>MODULE DC DC CONVERTER 5V 1W</t>
  </si>
  <si>
    <t>4 Position Receptacle Connector 0.079" (2.00mm) Surface Mount, Right Angle Tin</t>
  </si>
  <si>
    <t>IC TRANSLTR BIDIRECTIONAL 8VSSOP</t>
  </si>
  <si>
    <t>CONN RCPT 20POS 0.05 GOLD SMD</t>
  </si>
  <si>
    <t>SWITCH SLIDE DIP SPST 100MA 6V</t>
  </si>
  <si>
    <t>DIP Switches / SIP Switches SPST 8POS REC RCKR SMT DIP SWITCH</t>
  </si>
  <si>
    <t>FB-SMD;600ohm100MHz,2A,100mOhm,0805,MPZ2012S601ATD25</t>
  </si>
  <si>
    <t>CAP ALUM POLY 120UF 20% 50V SMD</t>
  </si>
  <si>
    <t>CAP CER 4.7UF 100V X7S 1206</t>
  </si>
  <si>
    <t xml:space="preserve">LED BLUE CLEAR CHIP SMD </t>
  </si>
  <si>
    <t>DIODE GEN PURP 600V 15A DO214AB</t>
  </si>
  <si>
    <t>Zener Diode 36 V 500 mW ±5% Surface Mount SOD-80C</t>
  </si>
  <si>
    <t>RX TXRX MOD WIFI TRACE ANT SMD</t>
  </si>
  <si>
    <t>RES 5.62K OHM 1% 1/10W 0603</t>
  </si>
  <si>
    <t>FIXED IND 560NH 17.7A 4.52MOHM SMD</t>
  </si>
  <si>
    <t>Zener Diode 5 V 500 mW ±5% Surface Mount SOD-80C</t>
  </si>
  <si>
    <t>RES 10R OHM 1% 1/10W 0603</t>
  </si>
  <si>
    <t>RES CHP 60.4K 1% 1/10W 0603 SMD</t>
  </si>
  <si>
    <t>RES CHP 41.2K 1% 1/10W 0603 SMD</t>
  </si>
  <si>
    <t>RES CHP 470K 1% 1/4W 1206 SMD</t>
  </si>
  <si>
    <t>RES 51K OHM 1% 1/10W 0603</t>
  </si>
  <si>
    <t>RES CHP 27K 1% 1/10W 0603 SMD</t>
  </si>
  <si>
    <t>RES CHP 360R 1% 1/10W 0603 SMD</t>
  </si>
  <si>
    <t>CAP CER 22NF 10% 50V X8R 0603 SMD</t>
  </si>
  <si>
    <t>FIXED IND 1MH 240MA 6 OHM SMD</t>
  </si>
  <si>
    <t>DIODE-ZENER,2V, 500mW, 5%, SOT-123,BZT52C2V0-7-F</t>
  </si>
  <si>
    <t>IC, IC REG BUCK Fixed 5V 2A,Vin 3.8-32V, SOT-263, -40 TO 85 °C, AP63205WU-7</t>
  </si>
  <si>
    <t>LED SMD GREEN WATER CLEAR 571NM 12.5MCD</t>
  </si>
  <si>
    <t>RES 120R OHM 1% 1/10W 0603</t>
  </si>
  <si>
    <t>22 µF ±20% 6.3V Ceramic Capacitor X5R 0603</t>
  </si>
  <si>
    <t>CAP CER 4700PF 100V X7R 0402</t>
  </si>
  <si>
    <t>DIODE SCHOTTKY 90V 2A SMB</t>
  </si>
  <si>
    <t>RES-SMD; 20 MOhms, ±5%,0402,1/16W</t>
  </si>
  <si>
    <t>CAP-CER,SMD; 0.1UF,±10%, 16V, X7R, 0402</t>
  </si>
  <si>
    <t>CAP-CER,SMD;4.7pF,±0.25pF,0402,50V,C0G/NPO</t>
  </si>
  <si>
    <t>CAP CER 0.1UF 100V X5R 0402</t>
  </si>
  <si>
    <t>RES 47.5K OHM 1% 1/16W 0402</t>
  </si>
  <si>
    <t>RES 560R OHM 1% 1/10W 0603</t>
  </si>
  <si>
    <t>RES 25.5K OHM 1% 1/10W 0603</t>
  </si>
  <si>
    <t>RES CHP 330K 5% 1/4W 1206 SMD</t>
  </si>
  <si>
    <t>CAP-CER,SMD;0.1µF,±10%,0402,16V,X7R</t>
  </si>
  <si>
    <t>CONN RCPT 6POS 0.059 TIN SMD</t>
  </si>
  <si>
    <t>CONN RCPT 24POS 0.059 TIN SMD</t>
  </si>
  <si>
    <t>CONN RCPT 22P 0.059 TIN SMD R/A</t>
  </si>
  <si>
    <t>IC REG BUCK ADJ 1.5A 8SOIC</t>
  </si>
  <si>
    <t>IC MCU 32BIT 32KB FLASH 32LQFP</t>
  </si>
  <si>
    <t>IND-SMD;4.7uH,1.7A,84mOhm</t>
  </si>
  <si>
    <t>OPTOISOLATOR 3.75KV TRANS 4-SSOP</t>
  </si>
  <si>
    <t>DISPLAY 14SEG 0.4" SGL GRN 16SMD</t>
  </si>
  <si>
    <t>CAP-CER,SMD;220PF,±5%,50V,X7R,0402</t>
  </si>
  <si>
    <t>MOS-FET;N-CH,100V,170MA,SOT-323,BSS123WQ-7-F</t>
  </si>
  <si>
    <t>CRYSTAL 25MHz +-30ppm 12pF 100ohm SMD2.5X2</t>
  </si>
  <si>
    <t>CAP-CER,SMD;1nF,±5%,0402,50V,C0G/N0P</t>
  </si>
  <si>
    <t>LED BLUE CLEAR CHIP SMD 0603</t>
  </si>
  <si>
    <t>RES SMD 60.4 OHM 1% 1/10W 0402</t>
  </si>
  <si>
    <t>RES-SMD; 9.1MOHM,1%,0402,1/16W</t>
  </si>
  <si>
    <t>RES-SMD; 100KOHM,5%,0402,1/16W</t>
  </si>
  <si>
    <t>THERM NTC 100KOHM 4308K 0201</t>
  </si>
  <si>
    <t>1000PF 25V X7R 0201</t>
  </si>
  <si>
    <t>RES-SMD; 150KOHM,1%,0402,1/16W</t>
  </si>
  <si>
    <t>RES-SMD; 590kOHM,1%,0402,1/16W</t>
  </si>
  <si>
    <t>RES-SMD; 750KOHM,1%,0402,1/16W</t>
  </si>
  <si>
    <t>AM1LS-0505S-NZTR</t>
  </si>
  <si>
    <t>502494-0470</t>
  </si>
  <si>
    <t>TXS0102QDCURQ1</t>
  </si>
  <si>
    <t>20021321-00020C4LF</t>
  </si>
  <si>
    <t>CHS-02TB</t>
  </si>
  <si>
    <t>GDH08S04</t>
  </si>
  <si>
    <t>MPZ2012S601ATD25</t>
  </si>
  <si>
    <t>A768MS127M1HLAE024</t>
  </si>
  <si>
    <t>GRM31CC72A475KE11K</t>
  </si>
  <si>
    <t>APT1608VBC/D</t>
  </si>
  <si>
    <t>S15KC</t>
  </si>
  <si>
    <t>ZMM36</t>
  </si>
  <si>
    <t>CC1206KKX5R8BB106</t>
  </si>
  <si>
    <t>ATWINC1500-MR210PB1961</t>
  </si>
  <si>
    <t>RC0603FR-075K62L</t>
  </si>
  <si>
    <t>SRP5030CA-R56M</t>
  </si>
  <si>
    <t>ZMM5.1</t>
  </si>
  <si>
    <t>AC0603FR-0741K2L</t>
  </si>
  <si>
    <t>RC1206FR-07470KL</t>
  </si>
  <si>
    <t>RC0603FR-0727KL</t>
  </si>
  <si>
    <t>RC0603FR-07360RL</t>
  </si>
  <si>
    <t>GCM188R91H223KA37D</t>
  </si>
  <si>
    <t>BZT52C2V0-7-F</t>
  </si>
  <si>
    <t>AP63205WU-7</t>
  </si>
  <si>
    <t>APT1608CGCK</t>
  </si>
  <si>
    <t>RC0603JR-07120RL</t>
  </si>
  <si>
    <t>GCM155R72A472KA37D</t>
  </si>
  <si>
    <t>B290-13-F</t>
  </si>
  <si>
    <t>RC0402JR-0720ML</t>
  </si>
  <si>
    <t>NFG0QHB372HS2D</t>
  </si>
  <si>
    <t>CC0402KPX7R7BB104</t>
  </si>
  <si>
    <t>C0402C479D5GAC7867</t>
  </si>
  <si>
    <t>GRM155R62A104KE14J</t>
  </si>
  <si>
    <t>RC0402FR-0747K5L</t>
  </si>
  <si>
    <t>BK1005HS601-T</t>
  </si>
  <si>
    <t>RC0603JR-07560RL</t>
  </si>
  <si>
    <t>RC0603FR-0725K5L</t>
  </si>
  <si>
    <t>WR12X334 JTL</t>
  </si>
  <si>
    <t>5025840670</t>
  </si>
  <si>
    <t>5031542490</t>
  </si>
  <si>
    <t>5031482290</t>
  </si>
  <si>
    <t>MP4559DN-LF-Z</t>
  </si>
  <si>
    <t>STM32F042K6T6</t>
  </si>
  <si>
    <t>NRS4018T4R7MDGJ</t>
  </si>
  <si>
    <t>2N7002LT3G</t>
  </si>
  <si>
    <t>ACPSC04-41CGKWA</t>
  </si>
  <si>
    <t>CC0402JRX7R9BB221</t>
  </si>
  <si>
    <t>BSS123WQ-7-F</t>
  </si>
  <si>
    <t>8Z-25.000MAHE-T</t>
  </si>
  <si>
    <t>C0402C102J5GAC7411</t>
  </si>
  <si>
    <t>RC0402FR-0760R4L</t>
  </si>
  <si>
    <t>RC0402FR-079M1L</t>
  </si>
  <si>
    <t>NTCG064EF104FTBX</t>
  </si>
  <si>
    <t>GRM033R71E102KA01D</t>
  </si>
  <si>
    <t>RC0402FR-07150KL</t>
  </si>
  <si>
    <t>RC0402FR-07590KL</t>
  </si>
  <si>
    <t>Serial NOR Flash Memory 128Mb 2.7V to 3.6V 8-Pin SOIC Surface Mount T/R</t>
  </si>
  <si>
    <t>CONN UFS &amp; MICRO SD PUSH-PULL</t>
  </si>
  <si>
    <t>IC MEMORY UFS3.0 128GB 153BGA</t>
  </si>
  <si>
    <t>IC SUPPERVISOR 4 CHANNEL 16QSOP</t>
  </si>
  <si>
    <t>TEXAS INSTRUMENTS         TS3A44159PWR            Analogue Switch, Quad Channel, SPDT, 4 Channels, 0.3 ohm, 1.65V to 4.3V, TSSOP, 16 Pins</t>
  </si>
  <si>
    <t>CONN FFC FPC 20POS 0.50MM R/A</t>
  </si>
  <si>
    <t>OSCILLATOR, DIFFERENTIAL, 200MHZ</t>
  </si>
  <si>
    <t>ANT; RF ANT 2.4GHZ CHIP SOLDER SMD</t>
  </si>
  <si>
    <t>256-KBIT SERIAL I2C BUS EEPROM</t>
  </si>
  <si>
    <t>IC SUPERVISOR 3.15V LOW SOT23</t>
  </si>
  <si>
    <t>TVS-DIODE;BI-DIR,400W,15V/24.4VC,SMAJ15CA-13-F</t>
  </si>
  <si>
    <t>FIXED IND 22UH 720MA 240 MOHM</t>
  </si>
  <si>
    <t>CAP CER 47PF 50V C0G/NP0 0603</t>
  </si>
  <si>
    <t>RES SMD 40K OHM 1% 1/8W 0805</t>
  </si>
  <si>
    <t>MOSFET P-CH 50V 130MA SOT-23-3</t>
  </si>
  <si>
    <t>CAP CER 3300PF 10V 0402</t>
  </si>
  <si>
    <t>Schottky, 100V, 0.150A, 0.45V</t>
  </si>
  <si>
    <t>DIODE SCHOTTKY 40V 5A DO214AC</t>
  </si>
  <si>
    <t>RES SMD 51K OHM 0.1% 1/16W 0402</t>
  </si>
  <si>
    <t>CAP CER 4.7uF 10V 10% X5R 0402</t>
  </si>
  <si>
    <t>RES SMD 866 OHM 1% 1/10W 0603</t>
  </si>
  <si>
    <t>RES SMD 38.3K OHM 1% 1/10W 0402</t>
  </si>
  <si>
    <t>TNPU0402 100K 0.05% T-13 EP1 E3</t>
  </si>
  <si>
    <t>CAP CER 0.15UF 16V X7R 0402</t>
  </si>
  <si>
    <t>RES 0.05 OHM 1% 1W 1206</t>
  </si>
  <si>
    <t>CAP-CER,SMD;33pF,±5%,0402,50V,C0G/N0P</t>
  </si>
  <si>
    <t>RES SMD 69.8K OHM 1% 1/10W 0402</t>
  </si>
  <si>
    <t>RES SMD 33 OHM 5% 1/10W 0402</t>
  </si>
  <si>
    <t>RES-SMD; 1.1MOHM,1%,0402,1/16W</t>
  </si>
  <si>
    <t>CAP-CER,SMD;30pF,2%,0201,50V,C0G,NP0</t>
  </si>
  <si>
    <t>CAP-CER,SMD;0.1uF,10%,0201,16V,X5R</t>
  </si>
  <si>
    <t>RES-SMD;41.2k,1%,0201,1/20W</t>
  </si>
  <si>
    <t>IND-SMD;4.7nH,3%,0201,350mA,400 mOhm</t>
  </si>
  <si>
    <t>CAP-CER,SMD;0.047uF,10%,0201,6.3V,X5R</t>
  </si>
  <si>
    <t>RES SMD 10K OHM 1% 1/8W 0805</t>
  </si>
  <si>
    <t>AT25SF128A-SHB-T</t>
  </si>
  <si>
    <t>1010170469#2A</t>
  </si>
  <si>
    <t>KLUDG4UHDC-B0E1</t>
  </si>
  <si>
    <t>ECS-MPIL0630-100MC</t>
  </si>
  <si>
    <t>MCP6L71T-E/OT</t>
  </si>
  <si>
    <t>ADM1186-2ARQZ-REEL</t>
  </si>
  <si>
    <t>TS3A44159PWR</t>
  </si>
  <si>
    <t>XF3M-2015-1B</t>
  </si>
  <si>
    <t>SIT9365AI-2E1-33N200.0000</t>
  </si>
  <si>
    <t>M24256X-FCU6T/VF</t>
  </si>
  <si>
    <t>1-1624117-7</t>
  </si>
  <si>
    <t>SN65HVD234QDRQ1</t>
  </si>
  <si>
    <t>MCP130T-315I/TT</t>
  </si>
  <si>
    <t>SMAJ15CA-13-F</t>
  </si>
  <si>
    <t>GRM1885C1H470JA01D</t>
  </si>
  <si>
    <t>CRCW080540K0FKEA</t>
  </si>
  <si>
    <t>BVSS84LT1G</t>
  </si>
  <si>
    <t>LMK105SD332JV-F</t>
  </si>
  <si>
    <t>GRT1555C1H100JA02J</t>
  </si>
  <si>
    <t>BAT46WS</t>
  </si>
  <si>
    <t>CDBA540-HF</t>
  </si>
  <si>
    <t>RT0402BRD0751KL</t>
  </si>
  <si>
    <t>C1005X5R1A475K050BC</t>
  </si>
  <si>
    <t>APG1608CGKC/T</t>
  </si>
  <si>
    <t>ERJ-3EKF8660V</t>
  </si>
  <si>
    <t>ERJ-2RKF3832X</t>
  </si>
  <si>
    <t>TNPU0402100KAYEP00</t>
  </si>
  <si>
    <t>CGA2B2X7R1C154K050BA</t>
  </si>
  <si>
    <t>WSLP1206R0500FEA</t>
  </si>
  <si>
    <t>C0402C330J5GACTU</t>
  </si>
  <si>
    <t>ERJ-2RKF6982X</t>
  </si>
  <si>
    <t>ERJ-2GEJ330X</t>
  </si>
  <si>
    <t>RC0402FR-071M1L</t>
  </si>
  <si>
    <t>GRM0335C1H300GA01D</t>
  </si>
  <si>
    <t>GRM033R61C104KE84D</t>
  </si>
  <si>
    <t>RC0201FR-0741K2L</t>
  </si>
  <si>
    <t>MHQ0603P4N7HT000</t>
  </si>
  <si>
    <t>GRM033R60J473KE19D</t>
  </si>
  <si>
    <t>RC0805FR-0710KL</t>
  </si>
  <si>
    <t>CAP CER 22UF 25V X7R 1206</t>
  </si>
  <si>
    <t>CAP ALUM 47UF 20% 50V SMD</t>
  </si>
  <si>
    <t>CAP CER 0.047UF 6.3V X5R 0402</t>
  </si>
  <si>
    <t>DIODE ZENER 32V 1W PMDTM</t>
  </si>
  <si>
    <t>CRYSTAL;32.768kHz,10ppm,12.5pF,2.00x1.20mm</t>
  </si>
  <si>
    <t>IC FLASH 16MBIT SPI/QUAD 8WSON</t>
  </si>
  <si>
    <t>SWITCH TACTILE SPST-NO 0.02A 15V</t>
  </si>
  <si>
    <t>CRYSTAL;32MHz,10ppm,12pF,2.00x1.60mm</t>
  </si>
  <si>
    <t>CAP CER,4.7UF,20%,6.3V,X5R,0603,SMD</t>
  </si>
  <si>
    <t>LED GREEN/RED CLEAR SOT23 SMD</t>
  </si>
  <si>
    <t>RES,39KR,1%,250MW,1206,SMD</t>
  </si>
  <si>
    <t>CAP CER 150PF 50V NPO 0603</t>
  </si>
  <si>
    <t>RES SMD 196 OHM 1% 1/10W 0402</t>
  </si>
  <si>
    <t>MOSFET P-CH 30V 5.9A SOT-23</t>
  </si>
  <si>
    <t>CAP TANT 220UF 6.3V 20% 2312</t>
  </si>
  <si>
    <t>IC USB-TO-UART BRIDGE 28VQFN</t>
  </si>
  <si>
    <t>CAP CER,4.7NF,10%,50V,X7R,0402,SMD</t>
  </si>
  <si>
    <t>CHOKE-SMD;DLW43SH510XK2L</t>
  </si>
  <si>
    <t>CAP CER,22PF,5%,50V,C0G/NP0,0402,SMD</t>
  </si>
  <si>
    <t>CAP CER 0.047UF 100V X7R 0603</t>
  </si>
  <si>
    <t>MOSFET P-CH 30V 60A PPAK SO-8</t>
  </si>
  <si>
    <t>CAP CER 0.027UF 16V X5R 0201</t>
  </si>
  <si>
    <t>CAP-CER,SMD; 10uF,10%,1210, 35V,X7R</t>
  </si>
  <si>
    <t>RES,0.56R,1%,250MW,0603,SMD</t>
  </si>
  <si>
    <t>RES,30KR,1%,62.5MW,0402,SMD</t>
  </si>
  <si>
    <t>RES,11.5KR,1%,62.5MW,0402,SMD</t>
  </si>
  <si>
    <t>CAP CER 22UF 10V X7R 1206</t>
  </si>
  <si>
    <t>MOSFET N-CH 60V 360MA TO-236AB</t>
  </si>
  <si>
    <t>RES,5.62KR,1%,62.5MW,0402,SMD</t>
  </si>
  <si>
    <t>CAP CER 2.2UF 35V X6S 0805</t>
  </si>
  <si>
    <t>Multilayer Ceramic Capacitors MLCC - SMD/SMT 0805 4.7uF 16volts X7R +/-10%</t>
  </si>
  <si>
    <t>RES 160K OHM 1% 1/16W 0402</t>
  </si>
  <si>
    <t>RES SMD 30K OHM 1% 1/10W 0402</t>
  </si>
  <si>
    <t>CAP CER 10PF 25V C0G/NP0 0201</t>
  </si>
  <si>
    <t>IND-SMD;15nH,5%,0201,250mA,1.2 Ohm</t>
  </si>
  <si>
    <t>CAP-CER,SMD;100pF,5%,0201,25V,C0G,NP0</t>
  </si>
  <si>
    <t>CAP-CER,SMD;220pF,10%,0201,25V,X7R</t>
  </si>
  <si>
    <t>10000 pF ±10% 50V Ceramic Capacitor X7R 0603</t>
  </si>
  <si>
    <t>CC1206KKX5R8BB226</t>
  </si>
  <si>
    <t>865060645008</t>
  </si>
  <si>
    <t>C0402C473K9PACTU</t>
  </si>
  <si>
    <t>PDZVTR30B</t>
  </si>
  <si>
    <t>ECS-.327-12.5-12-C-TR</t>
  </si>
  <si>
    <t>W25Q16JVZPIQ TR</t>
  </si>
  <si>
    <t>431153015826</t>
  </si>
  <si>
    <t>ECS-320-12-37-CKM-TR</t>
  </si>
  <si>
    <t>RMCF0603FR22R0</t>
  </si>
  <si>
    <t>CC0603MRX5R5BB475</t>
  </si>
  <si>
    <t>SML-LX15IGC-TR</t>
  </si>
  <si>
    <t>RC1206FR-0739KL</t>
  </si>
  <si>
    <t>CC0603GRNPO9BN151</t>
  </si>
  <si>
    <t>ERJ-2RKF1960X</t>
  </si>
  <si>
    <t>‎SI2343CDS-T1-GE3</t>
  </si>
  <si>
    <t>T495C227M006ATE100</t>
  </si>
  <si>
    <t>CP2102-GRM</t>
  </si>
  <si>
    <t>CL31A476MPHNNNE</t>
  </si>
  <si>
    <t>C1005X7R1H472K050BE</t>
  </si>
  <si>
    <t>GRM1555C1H220JA01J</t>
  </si>
  <si>
    <t>HMJ107BB7473KAHT</t>
  </si>
  <si>
    <t>C0603C104K5RACTU</t>
  </si>
  <si>
    <t>SI7145DP-T1-GE3</t>
  </si>
  <si>
    <t>GRM033R61C273KE84D</t>
  </si>
  <si>
    <t>CL32B106KAJNNNE</t>
  </si>
  <si>
    <t>ERJ-3BQFR56V</t>
  </si>
  <si>
    <t>CR0402-FX3002GLF</t>
  </si>
  <si>
    <t>CRCW040211K5FKED</t>
  </si>
  <si>
    <t>C1206C226K8R</t>
  </si>
  <si>
    <t>BSS138P,215</t>
  </si>
  <si>
    <t>RC0402FR-075K62L</t>
  </si>
  <si>
    <t>UMK212BB7225KG-T</t>
  </si>
  <si>
    <t>CGA4J1X7R1E475K125AE</t>
  </si>
  <si>
    <t>RMCF0402FT160K</t>
  </si>
  <si>
    <t>ERJ-2EKF3002X</t>
  </si>
  <si>
    <t>GRM0335C1E100FA01D</t>
  </si>
  <si>
    <t>MLG0603P15NJT000</t>
  </si>
  <si>
    <t>GRM0335C1E101JA01D</t>
  </si>
  <si>
    <t>GRM033R71E221KA01D</t>
  </si>
  <si>
    <t>CL10B103KB8NNNC</t>
  </si>
  <si>
    <t>MOSFET N-CH 100V 120A LPTL</t>
  </si>
  <si>
    <t>IC OPAMP VFB 2 CIRCUIT 8VSSOP</t>
  </si>
  <si>
    <t>CAP TANT 47UF 10% 35V 2917</t>
  </si>
  <si>
    <t>IC DGT ISO 2.5KV RS422/RS485 20SOIC</t>
  </si>
  <si>
    <t>IC REG BUCK ADJ 3A SYNC 16QFN</t>
  </si>
  <si>
    <t>IC TRNSLTR UNIDIRECTIONAL 12UQFN</t>
  </si>
  <si>
    <t>TVS DIODE 70VWM 113VC DO214AA</t>
  </si>
  <si>
    <t>CAP CER SMD 0402 22PF 10% X7R 16</t>
  </si>
  <si>
    <t>IC GATE AND 1CH 2-INP SOT23-5</t>
  </si>
  <si>
    <t>M 2 3.5H M KEY VERTICAL</t>
  </si>
  <si>
    <t>CONN FFC FPC 8POS 0.50MM R/A</t>
  </si>
  <si>
    <t>DIODE TVS 6V-10.3V,1-CH-214AA SMD</t>
  </si>
  <si>
    <t>TPMS PG-DS0SP-14</t>
  </si>
  <si>
    <t>CONN HEADER SMD R/A 2POS 1.5MM</t>
  </si>
  <si>
    <t>IC;IC TPMS,4x4x2.08mm,NTM88H135T1</t>
  </si>
  <si>
    <t>RES 0.005 OHM 1% 2W 2512</t>
  </si>
  <si>
    <t>383 kOhms ±1% 0.1W, 1/10W Chip Resistor 0603</t>
  </si>
  <si>
    <t>IC REG LINEAR 1.8V 200MA 5TSOT</t>
  </si>
  <si>
    <t>PTC RESET FUSE 33V 1.1A 1812</t>
  </si>
  <si>
    <t>CAP CER 0.1UF 100V X7R 0805</t>
  </si>
  <si>
    <t>CAP CER 4.7UF 100V X7R 1210</t>
  </si>
  <si>
    <t>In a Bag of 10, TE Connectivity 0O 2512 (6432M) Thick Film SMD Resistor ±5% 3W - 3522ZR</t>
  </si>
  <si>
    <t>FIXED IND 2.2UH 1.72A 59 MOHM</t>
  </si>
  <si>
    <t>CMC 200MA 2LN 600 OHM SMD</t>
  </si>
  <si>
    <t>RES SMD 31.6K OHM 1% 1/10W 0603</t>
  </si>
  <si>
    <t>CAP CER 0.33UF 16V X7S 0402</t>
  </si>
  <si>
    <t>CAP CER 22F 6.3V X5R 0402</t>
  </si>
  <si>
    <t>CAP CER 0.068UF 50V X7R 0402</t>
  </si>
  <si>
    <t>RES SMD 787K OHM 1% 1/16W 0402</t>
  </si>
  <si>
    <t>RES 750 OHM 0.1% 1/10W 0402</t>
  </si>
  <si>
    <t>RES SMD 22K OHM 1% 1/10W 0603</t>
  </si>
  <si>
    <t>RES,470KR,5%,62.5MW,0402,SMD</t>
  </si>
  <si>
    <t>RES SMD 191K OHM 1% 1/10W 0603</t>
  </si>
  <si>
    <t>CAP-CER,SMD;68pF,2%,0201,50V,C0G,NP0</t>
  </si>
  <si>
    <t>IND-SMD;10nH,±5%,0201,250mA,950 mOhm</t>
  </si>
  <si>
    <t>RJ1P12BBDTLL</t>
  </si>
  <si>
    <t>ABM2-27.000MHZ-D4Y-T</t>
  </si>
  <si>
    <t>OPA2834IDGKR</t>
  </si>
  <si>
    <t>GCM188R71C105KA64J</t>
  </si>
  <si>
    <t>TPME476K035R0055</t>
  </si>
  <si>
    <t>ADM2587EBRWZ-REEL7</t>
  </si>
  <si>
    <t>TPS62130RGTR</t>
  </si>
  <si>
    <t>SMBJ7.0A</t>
  </si>
  <si>
    <t>C0402C220K4RAC7867</t>
  </si>
  <si>
    <t>UZ476M050HEJTA</t>
  </si>
  <si>
    <t>SN74AHC1G08DBVRG4</t>
  </si>
  <si>
    <t>MDT350M01001VT</t>
  </si>
  <si>
    <t>503480-0800</t>
  </si>
  <si>
    <t>505568-0671</t>
  </si>
  <si>
    <t>SMBJ6.0A-13-F</t>
  </si>
  <si>
    <t>SP4001511XTMA1</t>
  </si>
  <si>
    <t>S2B-ZR-SM4A-TF(LF)(SN)</t>
  </si>
  <si>
    <t>NTM88H135T1</t>
  </si>
  <si>
    <t>CRCW040222K1FKTD</t>
  </si>
  <si>
    <t>PMR100HZPFU5L00</t>
  </si>
  <si>
    <t>ERJ-3EKF3833V</t>
  </si>
  <si>
    <t>LM3940IMPX-3.3/N0PB</t>
  </si>
  <si>
    <t>1812L110/33MR</t>
  </si>
  <si>
    <t>GCM21BR72A104KA37K</t>
  </si>
  <si>
    <t>12101C475KAT2A</t>
  </si>
  <si>
    <t>3522ZR</t>
  </si>
  <si>
    <t>VLCF4020T-2R2N1R7</t>
  </si>
  <si>
    <t>EXC-24CN601X</t>
  </si>
  <si>
    <t>CRCW060331K6FKEA</t>
  </si>
  <si>
    <t>CGA2B1X7S1C334K050BC</t>
  </si>
  <si>
    <t>CM05X5R226M06AH080</t>
  </si>
  <si>
    <t>GCM155R71H683KE02J</t>
  </si>
  <si>
    <t>CRCW0402787KFKED</t>
  </si>
  <si>
    <t>TNPW0402750RBEED</t>
  </si>
  <si>
    <t>RMCF0603FT10R0</t>
  </si>
  <si>
    <t>RC0603FR-0722KL</t>
  </si>
  <si>
    <t>RC0402JR-07470KL</t>
  </si>
  <si>
    <t>RC0603FR-07191KL</t>
  </si>
  <si>
    <t>GRM0335C1H680GA01D</t>
  </si>
  <si>
    <t>MLG0603P10NJT000</t>
  </si>
  <si>
    <t>MOSFET N-CH 100V 160A TO263-7</t>
  </si>
  <si>
    <t>CAP-ALUM,SMD; 10uF,20%,25V,865080440002</t>
  </si>
  <si>
    <t>MOSFET P-CH 60V 100A TO220AB</t>
  </si>
  <si>
    <t>IC-FILLTER;RC (PI) ,40ohm/12pF, 16-UFDFM Exposed Pad,-40 TO 85°C, IP4252CZ16-8-TTL,1</t>
  </si>
  <si>
    <t>TVS-DIODE;BI-DIR,3.6V/9VC 20A,SOD-323;ESDA041-1JY</t>
  </si>
  <si>
    <t>FUSE;PTC RESETABLE,2A,6V,1206</t>
  </si>
  <si>
    <t>MOSFET 100V P-Channel MOSFET</t>
  </si>
  <si>
    <t>22 OHM 1% 0603 1/10W</t>
  </si>
  <si>
    <t>DIODE-SCHOTTKY, 30V, 2A, Vf 500mV,SOT-123,MBR230LSTR</t>
  </si>
  <si>
    <t>RES-SMD;1MOHM,±1%,0805,1/8W</t>
  </si>
  <si>
    <t>RES SMD 120 OHM 1% 1/10W 0603</t>
  </si>
  <si>
    <t>RES 20K OHM 1% 1/16W 0402</t>
  </si>
  <si>
    <t>CAP-CER,SMD;1.5pF,±0.1pF,0402,50V,C0G/NP0</t>
  </si>
  <si>
    <t>CAP-CER,SMD;1uF,10%,0805,16V,X5R</t>
  </si>
  <si>
    <t>IND-SMD;3.9nH, ±0.1nH, 0402,900mA,90mOhm</t>
  </si>
  <si>
    <t>RES-SMD;10OHM,1%,0805,1/8W</t>
  </si>
  <si>
    <t>CAP-CER,SMD;1000pF,1%,0805,25V,X8R</t>
  </si>
  <si>
    <t>CAP-CER,SMD; 4.7uF, 5%,0805,16V,X7R</t>
  </si>
  <si>
    <t>RES-SMD;20KOHM,1%,0805,1/8W</t>
  </si>
  <si>
    <t>RES-SMD;120OHM,1%,0805,1/8W</t>
  </si>
  <si>
    <t>IC DIODE CURRENT SWITCH SOT23-5</t>
  </si>
  <si>
    <t>RES 10 OHM 5% 1/8W 0805</t>
  </si>
  <si>
    <t>FIXED IND 10UH 1A 460 MOHM SMD</t>
  </si>
  <si>
    <t>0.47UF 16V X7R 0603</t>
  </si>
  <si>
    <t>RES-SMD;1.8KOHM,1%,0402,1/10W</t>
  </si>
  <si>
    <t>SENSOR SHOCK 50G PIEZO FILM</t>
  </si>
  <si>
    <t>OPTOISOLATION; SMD, 2.5KV OPEN COLL, 8 SMD, HCPL2630SD</t>
  </si>
  <si>
    <t>DIODE-SCHOTTKY, 100V, 30A, TO252-3, SDT30B100D1-13</t>
  </si>
  <si>
    <t>IC-CURRENT HALL SENSOR;8-SOIC, 5V,400mV/A, 5.6A,ACS725LLCTR-10AU-T</t>
  </si>
  <si>
    <t>FUSE;PTC RESETABLE; 0.5A;33V;1812</t>
  </si>
  <si>
    <t>IC, IC REG BUCK ADJ 2A TSOT23-6,Vin4-40V, -40 TO 125 °C, LMR14010ADDCR</t>
  </si>
  <si>
    <t>IND-SMD;22uH,1.8A,162.5mOhm</t>
  </si>
  <si>
    <t>RES-SMD;15KOHM,±1%,0805,1/8W</t>
  </si>
  <si>
    <t>OPTOISOLATION; SMD, 5KV TRANS, 4-LSOP</t>
  </si>
  <si>
    <t>CRYSTAL;25.0000MHZ,10ppm,18PF,2x2.5mm,ABLS-25.000MHZ-B4-F-T</t>
  </si>
  <si>
    <t>CAP-CER,SMD;2.2UF,10%,0805,50V,X5R</t>
  </si>
  <si>
    <t>RES-SMD;2.7KOHM,1%,1206,1/4W</t>
  </si>
  <si>
    <t>RES-SMD;3KOHM,1%,1206,1/4W</t>
  </si>
  <si>
    <t>CAP-CER,SMD;2.2uF,10%,0603,16V,X5R</t>
  </si>
  <si>
    <t>IC, IC REG BUCK, ADJ, 3.5A,8-POWER SOIC,Vin 4.5-42V, -40 TO 150 °C,100K-2.5MHz, TPS54340BDDAR</t>
  </si>
  <si>
    <t>IC-TRANSLATOR,UNIDIR, 2CH;1.08-5.5V,8-VSSOP,Schmitt-trigger Input,Tri-state,200Mbps,TXU0102DCUR, IC-TRANSLATOR,UNIDIR, 2CH;1.08-5.5V,8-VSSOP,Schmitt-trigger Input,Tri-state,200Mbps,TXU0102DCUR, IC-TRANSLATOR,UNIDIR, 2CH;1.08-5.5V,8-VSSOP,Schmitt-trigger Input,Tri-state,200Mhz,TXU0102DCUR, IC-TRANSLATOR,UNIDIR, 2CH;1.08-5.5V,8-VSSOP,Schmitt-trigger Input,Tri-state,200Mhz,TXU0102DCUR, IC-TRANSLATOR,UNIDIR, 2CH;1.08-5.5V,8-VSSOP,Schmitt-trigger Input,Tri-state,200Mhz,TXU0102DCUR</t>
  </si>
  <si>
    <t>TVS-DIODE;UN-DIR,170W,3.6VWM/6.5VC,SOT-23-5,ESDS314DBVR</t>
  </si>
  <si>
    <t>CAP-TA,SMD; 22uF,20%,3216,10V,3.2OHM</t>
  </si>
  <si>
    <t>IC;SERIAL LED-RGB;5x5mm Surface mount</t>
  </si>
  <si>
    <t>FB-SMD;120ohm100MHz,6A,25mOhm,0805,2508051217Y6</t>
  </si>
  <si>
    <t>IC; GENERAL PURPOSE AMPLIFIER 2 CIRCUIT,8-SO,-60 to 150 °C,LM358DT</t>
  </si>
  <si>
    <t>CMC-SMD;370mA, 2LN,120ohm 100MHz</t>
  </si>
  <si>
    <t>FUSE;PTC RESETABLE; 0.5A;9V;0805</t>
  </si>
  <si>
    <t>RES-SMD;11.5KOHM,1%,0603,1/10W</t>
  </si>
  <si>
    <t>RES-SMD;60.4KOHM,1%,0603,1/10W</t>
  </si>
  <si>
    <t>CAP-CER,SMD;22pF,5%,0805,25V,X8R</t>
  </si>
  <si>
    <t>RES-SMD;0.68OHM,±1%,0805,1/8W</t>
  </si>
  <si>
    <t>CAP-CER,SMD;2200pF,10%,0603,50V,X7R</t>
  </si>
  <si>
    <t>FB-SMD;60ohm100MHz,3A,25mOhm,0805,PE-0805PFB600ST</t>
  </si>
  <si>
    <t>CAP CER ,47uF,10%, 16V, X5R, 1210</t>
  </si>
  <si>
    <t>CAP-CER,SMD;10nF,5%,0805,50V,C0G/NP0</t>
  </si>
  <si>
    <t>IND-SMD;8.2nH, ±2%, 0402,550mA,160mOhm</t>
  </si>
  <si>
    <t>RES-SMD;7.32kOHM,1%,0603,1/10W</t>
  </si>
  <si>
    <t>CAP-CER,SMD;1uF,5%,0805,25V,X7R</t>
  </si>
  <si>
    <t>CAP-CER,SMD;33pF,1%,0805,50V,C0G/NP0</t>
  </si>
  <si>
    <t>RES-SMD;365KOHM,1%,0603,1/10W</t>
  </si>
  <si>
    <t>RES-SMD;162KOHM,1%,0603,1/10W</t>
  </si>
  <si>
    <t>RES-SMD;220OHM,1%,0805,1/8W</t>
  </si>
  <si>
    <t>RES-SMD; 22kOHM,1%,0805,1/8W</t>
  </si>
  <si>
    <t>RES-SMD;4.7KOHM,1%,0603,1/10W</t>
  </si>
  <si>
    <t>CAP-CER,SMD;4.7uF,±20%,0402,6.3V,X5R</t>
  </si>
  <si>
    <t>IC, IC REG LINEAR,FIXED, SOT-23-5, -40 TO 125°C,  3.3V/1A,TLV75733PDYDR,</t>
  </si>
  <si>
    <t>CONN-MICRO SD;PUSH-PUSH, R/A, 10P(8+2), DM3AT-SF-PEJM5</t>
  </si>
  <si>
    <t>CAP-CER,SMD;0.1uF,5%,0805,50V,X7R</t>
  </si>
  <si>
    <t>SENSOR-MAGNETIC,23mV/mT, Bsat 35mT, Analog Output, 2.5-38V,  SOT-23-3</t>
  </si>
  <si>
    <t>RES-SMD;0.5OHM,±1%,0805,1/8W</t>
  </si>
  <si>
    <t>RES-SMD;22OHM,±1%,0805,1/8W</t>
  </si>
  <si>
    <t>CAP-CER,SMD;2.2UF,10%,0603,10V,X5R</t>
  </si>
  <si>
    <t>RES-SMD;1.5KOHM,1%,0805,1/8W</t>
  </si>
  <si>
    <t>CAP-CER,SMD;33nF,10%,0805,100V,X7R</t>
  </si>
  <si>
    <t>RES-SMD;63.4KOHM,1%,0603,1/10W</t>
  </si>
  <si>
    <t>CAP-CER,SMD;1uF,10%,0603,16V,X5R</t>
  </si>
  <si>
    <t>RES-SMD;13KOHM,1%,0603,1/10W</t>
  </si>
  <si>
    <t>CAP-CER,SMD;5600pF,5%,0603,50V,X7R</t>
  </si>
  <si>
    <t>RES-SMD;6.2MOHM,1%,0805,1/8W</t>
  </si>
  <si>
    <t>CAP CER 1500pF 50V X7R 0603</t>
  </si>
  <si>
    <t>IPB039N10N3G</t>
  </si>
  <si>
    <t>865080440002</t>
  </si>
  <si>
    <t>IXTP140P05T</t>
  </si>
  <si>
    <t>IP4252CZ16-8-TTL,1</t>
  </si>
  <si>
    <t>ESDA041-1JY</t>
  </si>
  <si>
    <t>0ZCJ0200FF2C</t>
  </si>
  <si>
    <t>RC0402FR-071K2L</t>
  </si>
  <si>
    <t xml:space="preserve"> RD3P130SPTL1</t>
  </si>
  <si>
    <t>RT0603FRE0722RL</t>
  </si>
  <si>
    <t>KRM21FR61E226MFA1L</t>
  </si>
  <si>
    <t>MBR230LSTR</t>
  </si>
  <si>
    <t>RC0805FR-071ML</t>
  </si>
  <si>
    <t>AC0603FR-07120RL</t>
  </si>
  <si>
    <t>RMCF0402FT20K0</t>
  </si>
  <si>
    <t>RMCF0402JT47K0</t>
  </si>
  <si>
    <t>CBR04C159B5GAC</t>
  </si>
  <si>
    <t>GRM216R61C105KA88D</t>
  </si>
  <si>
    <t>MHQ1005P3N9BT000</t>
  </si>
  <si>
    <t>C0805C102F3HACAUTO</t>
  </si>
  <si>
    <t>C0805C475J4RACAUTO</t>
  </si>
  <si>
    <t>MAX40200AUK</t>
  </si>
  <si>
    <t>1239AS-H-100M=P2</t>
  </si>
  <si>
    <t>ERJ-2RKF1801X</t>
  </si>
  <si>
    <t>PKGS-00GXP1-R</t>
  </si>
  <si>
    <t>HCPL2630SD</t>
  </si>
  <si>
    <t>SDT30B100D1-13</t>
  </si>
  <si>
    <t>TMCS1101A4BQDR</t>
  </si>
  <si>
    <t>0ZCG0050AF2C</t>
  </si>
  <si>
    <t>LMR14010ADDCR</t>
  </si>
  <si>
    <t>VLS5045EX-220M</t>
  </si>
  <si>
    <t>RC0805FR-0715KL</t>
  </si>
  <si>
    <t>140100146000</t>
  </si>
  <si>
    <t>ABLS-25.000MHZ-B4-F-T</t>
  </si>
  <si>
    <t>CL21A225KBFNNNE</t>
  </si>
  <si>
    <t>AC1206FR-072K7L</t>
  </si>
  <si>
    <t>AC1206FR-073KL</t>
  </si>
  <si>
    <t>C0603C225K4PACTU</t>
  </si>
  <si>
    <t>TPS54340BDDAR</t>
  </si>
  <si>
    <t>TXU0102DCUR</t>
  </si>
  <si>
    <t>ESDS314DBVR</t>
  </si>
  <si>
    <t>T491A226M010AT</t>
  </si>
  <si>
    <t>FZ2812-5050</t>
  </si>
  <si>
    <t>2508051217Y6</t>
  </si>
  <si>
    <t>LM358DT</t>
  </si>
  <si>
    <t>ACM2012-121-2P-T002</t>
  </si>
  <si>
    <t>0ZCK0050AF2E</t>
  </si>
  <si>
    <t>CRCW060311K5FKEA</t>
  </si>
  <si>
    <t>CRCW060360K4FKEA</t>
  </si>
  <si>
    <t>C0805C220F3HACAUTO</t>
  </si>
  <si>
    <t>RL0805FR-070R68L</t>
  </si>
  <si>
    <t>CC0603KRX7R9BB222</t>
  </si>
  <si>
    <t>PE-0805PFB600ST</t>
  </si>
  <si>
    <t>CL32A476KOJNNNE</t>
  </si>
  <si>
    <t>C0805C103J5GACTU</t>
  </si>
  <si>
    <t>MHQ1005P8N2GT000</t>
  </si>
  <si>
    <t>RC0603FR-077K32L</t>
  </si>
  <si>
    <t>C0805C105J3RACTU</t>
  </si>
  <si>
    <t>C0805C330F5GAC7800</t>
  </si>
  <si>
    <t>RC0603FR-07365KL</t>
  </si>
  <si>
    <t>RC0603FR-07162KL</t>
  </si>
  <si>
    <t>CC0402MRX5R5BB475</t>
  </si>
  <si>
    <t>TLV75733PDYDR</t>
  </si>
  <si>
    <t>DM3AT-SF-PEJM5</t>
  </si>
  <si>
    <t>C0805C104J5RACTU</t>
  </si>
  <si>
    <t>DRV5053CAEDBZRQ1</t>
  </si>
  <si>
    <t>RL0805FR-070R5L</t>
  </si>
  <si>
    <t>C0805KKX7R0BB333</t>
  </si>
  <si>
    <t>RC0603FR-0763K4L</t>
  </si>
  <si>
    <t>C0603C105K4PACTU</t>
  </si>
  <si>
    <t>CC0603JRX7R9BB562</t>
  </si>
  <si>
    <t>RC0805FR-076M2L</t>
  </si>
  <si>
    <t>CC0603KRX7R9BB152</t>
  </si>
  <si>
    <t>CONN;CONN RCPT MICRO USB AB 5P SMD RA,0475890001</t>
  </si>
  <si>
    <t>CAP CER 3.3UF 250V X7T SMD</t>
  </si>
  <si>
    <t>IC-AMP,1 CHANNEL,AB,14-TDFN,2.7-5.5V,MAX9814ETD+T</t>
  </si>
  <si>
    <t>TRANSFORMER 1:1 TXLINE (BAISED O</t>
  </si>
  <si>
    <t>CAP-CER,SMD;220pF,5%,0603,50V,X7R</t>
  </si>
  <si>
    <t>CONN FFC FPC 20POS 0.5MM R/A</t>
  </si>
  <si>
    <t>IC GATE AND 1CH 2-INP 6-XSON</t>
  </si>
  <si>
    <t>500V 0.01UF X7R 0805</t>
  </si>
  <si>
    <t>FUSE;PTC RESETABLE,0.25A,24V,1206</t>
  </si>
  <si>
    <t>IC, IC-VREF,SHUNT ADJ 1.5%,,TO236AB,-40 to 85 °C,TLVH431NAIDBZRR</t>
  </si>
  <si>
    <t>1.25MM PCB HDR VERT 0.10UM GOLD</t>
  </si>
  <si>
    <t>MuCAP CER 20pF 0402 50V C0G</t>
  </si>
  <si>
    <t>RES 0.02 OHM 0.5% 2/5W 0603</t>
  </si>
  <si>
    <t>Cap Ceramic 120pF 50V X7R 10% SMD 0402 125C Paper T/R</t>
  </si>
  <si>
    <t>MOSFET P-CH 40V 120A D2PAK</t>
  </si>
  <si>
    <t>.01UF 25V 10% 0201</t>
  </si>
  <si>
    <t>DIODE;100V,0.3A,SOD-123,1N4148WQ-7-F</t>
  </si>
  <si>
    <t>RESISTOR, 0603, 88K7, 1%, FULL REEL</t>
  </si>
  <si>
    <t>RES 22.1K OHM 1% 1/16W 0402</t>
  </si>
  <si>
    <t>CAP-CER,SMD;0.47uF,10%,0603,10V,X5R</t>
  </si>
  <si>
    <t>RES-SMD;100OHM,1%,0603,1/10W</t>
  </si>
  <si>
    <t>CAP-CER,SMD;0.022uF,10%,0603,16V,X7R</t>
  </si>
  <si>
    <t>CAP-CER,SMD;0.022uF,10%,0603,50V,X7R</t>
  </si>
  <si>
    <t>RES-SMD;150KOHM,1%,0603,1/10W</t>
  </si>
  <si>
    <t>RES-SMD;47KOHM,1%,0603,1/10W</t>
  </si>
  <si>
    <t>50TRV47M8X10.5</t>
  </si>
  <si>
    <t>CGA2B1X7R1E333K050BC</t>
  </si>
  <si>
    <t>CKG57NX7T2E335M500JH</t>
  </si>
  <si>
    <t>MAX9814ETD+T</t>
  </si>
  <si>
    <t>MABACT0039</t>
  </si>
  <si>
    <t>C0603C221K5RACTU</t>
  </si>
  <si>
    <t>FH34SRJ-20S-0.5SH(99)</t>
  </si>
  <si>
    <t>74LVC1G08GM,115</t>
  </si>
  <si>
    <t>C0805V103KCRACTU</t>
  </si>
  <si>
    <t>0ZCJ0025AF2E</t>
  </si>
  <si>
    <t>TLVH431NAIDBZRR</t>
  </si>
  <si>
    <t>CO2520-25.000-3.3-50-X-T-TR</t>
  </si>
  <si>
    <t>5054330891</t>
  </si>
  <si>
    <t>CL05C200JB5NNNC</t>
  </si>
  <si>
    <t>WSL0603R0200FEA18</t>
  </si>
  <si>
    <t>BLM15BC121SN1D</t>
  </si>
  <si>
    <t>CL10B225KP8NFNC</t>
  </si>
  <si>
    <t>SQM40031EL_GE3</t>
  </si>
  <si>
    <t>GRM033C81E103KE14D</t>
  </si>
  <si>
    <t>1N4148WQ-7-F</t>
  </si>
  <si>
    <t>ERJ-3EKF8872V</t>
  </si>
  <si>
    <t>RMCF0402FT22K1</t>
  </si>
  <si>
    <t>CL10B473KO8NNNC</t>
  </si>
  <si>
    <t>CL10B223KB8NFNC</t>
  </si>
  <si>
    <t>RC0603FR-07150KL</t>
  </si>
  <si>
    <t>IC;IC PWR SW USB 2CH,8MSOP,-40°-125°C,TPS2066CDGNR-2</t>
  </si>
  <si>
    <t>RES 5M OHM 1% 4W 2010</t>
  </si>
  <si>
    <t>MOSFET N-CH 100V 120A TO220AB</t>
  </si>
  <si>
    <t>IC EEPROM 512KBIT I2C 8TSSOP</t>
  </si>
  <si>
    <t>DC DC CONVERTER 1.2V</t>
  </si>
  <si>
    <t>CONN RCPT 10POS 0.049 TIN SMD</t>
  </si>
  <si>
    <t>CONN HEADER SMD R/A 6POS 1.25MM</t>
  </si>
  <si>
    <t>IC GATE NAND OD 1CH 2-INP SC70-5</t>
  </si>
  <si>
    <t>MOSFET P-CH 55V 18A DPAK</t>
  </si>
  <si>
    <t>CAP ALUM POLY 100UF 20% 50V SMD</t>
  </si>
  <si>
    <t>LED GREEN/YELLOW CLEAR CHIP SMD</t>
  </si>
  <si>
    <t>CRYSTAL 25.0000MHZ 18PF SMD</t>
  </si>
  <si>
    <t>RES-SMD;470KOHM,1%,0402,1/10W</t>
  </si>
  <si>
    <t>IC MCU 8BIT 3.5KB FLASH 16UQFN</t>
  </si>
  <si>
    <t>FERRITE BEAD 470 OHM 0805 1LN</t>
  </si>
  <si>
    <t>IC;IC REG LINEAR 1.8V 600MA SOT25,SOT25,-40-85°C,AP7366-18W5-7</t>
  </si>
  <si>
    <t>RES-SMD;2.7MOHM,1%,0402,1/10W</t>
  </si>
  <si>
    <t>DIODE-SCHOTTKY;NSR0620P2T5G</t>
  </si>
  <si>
    <t>CAP CER 0402 10NF 50V X7R 10%</t>
  </si>
  <si>
    <t>Lithium Battery Coin 3V 5.5mAh Rechargeable</t>
  </si>
  <si>
    <t>Diode 100 V 200mA Surface Mount SOD-523</t>
  </si>
  <si>
    <t>RES SMD 3.09K OHM 1% 1/10W 0402</t>
  </si>
  <si>
    <t>CAP CER 3300PF 50V X7R 0402</t>
  </si>
  <si>
    <t>MOSFET N-CHANNEL  POWER MOSFET 1A 100V</t>
  </si>
  <si>
    <t>TVS-VAR; VARISTOR 8VV 3A 0603</t>
  </si>
  <si>
    <t>CAP-CER,SMD;15000PF,20%,0402,50V,X7R</t>
  </si>
  <si>
    <t>IND-SMD;1nH,±0.1nH,,0.4A,100MOHM,LQP15MN1N0B02D</t>
  </si>
  <si>
    <t>RES 3.24K OHM 1% 1/16W 0402</t>
  </si>
  <si>
    <t>RES SMD 220 OHM 1% 1/10W 0402</t>
  </si>
  <si>
    <t>RES SMD 412K OHM 1% 1/10W 0402</t>
  </si>
  <si>
    <t>RES 383 OHM 1% 1/16W 0402</t>
  </si>
  <si>
    <t>RES 84.5K OHM 1% 1/16W 0402</t>
  </si>
  <si>
    <t>RES 52.3K OHM 1% 1/16W 0402</t>
  </si>
  <si>
    <t>RES SMD 30.9K OHM 1% 1/10W 0402</t>
  </si>
  <si>
    <t>RES-ARRAY;10KOHM,5%,2 RES,0404</t>
  </si>
  <si>
    <t>RES-SMD;2.67KOHM,1%,0402,1/10W</t>
  </si>
  <si>
    <t>RES-SMD;140KOHM,1%,0402,1/10W</t>
  </si>
  <si>
    <t>RES-SMD;3.57KOHM,1%,0402,1/10W</t>
  </si>
  <si>
    <t>RES-SMD;75OHM,1%,0402,1/10W</t>
  </si>
  <si>
    <t>TPS2066CDGNR-2</t>
  </si>
  <si>
    <t>GMR50HJAAFD5L00</t>
  </si>
  <si>
    <t>PSMN4R8-100PSEQ</t>
  </si>
  <si>
    <t>CAV24C512YE-GT3</t>
  </si>
  <si>
    <t>FS1406-1200-AS</t>
  </si>
  <si>
    <t>SN74LVC1G38DCKR</t>
  </si>
  <si>
    <t>IRFR5505TRPBF</t>
  </si>
  <si>
    <t>A767MU107M1HLAE027</t>
  </si>
  <si>
    <t>XZVGMYK54W-4</t>
  </si>
  <si>
    <t>FL2500133</t>
  </si>
  <si>
    <t>ERJ-2RKF4703X</t>
  </si>
  <si>
    <t>PIC16LF18323-I/JQ</t>
  </si>
  <si>
    <t>MH2029-471Y</t>
  </si>
  <si>
    <t>AP7366-18W5-7</t>
  </si>
  <si>
    <t>RC0402FR-072ML</t>
  </si>
  <si>
    <t>NSR0620P2T5G</t>
  </si>
  <si>
    <t>C0402C103K5RECAUTO</t>
  </si>
  <si>
    <t>BAS16XV2T1G</t>
  </si>
  <si>
    <t>ERJ-2RKF3091X</t>
  </si>
  <si>
    <t>CC0402KRX7R9BB332</t>
  </si>
  <si>
    <t>FDN8601</t>
  </si>
  <si>
    <t>ERJ-3EKF4022V</t>
  </si>
  <si>
    <t>AVR-M1608C080MTAAB</t>
  </si>
  <si>
    <t>GCM1555C1H101FA16D</t>
  </si>
  <si>
    <t>CGA2B3X7R1H153M050BB</t>
  </si>
  <si>
    <t>LQP15MN1N0B02D</t>
  </si>
  <si>
    <t>MMSZ5233B-TP</t>
  </si>
  <si>
    <t>RMCF0402FT3K24</t>
  </si>
  <si>
    <t>ERJ-2RKF2200X</t>
  </si>
  <si>
    <t>RMCF0402FT6K04</t>
  </si>
  <si>
    <t>ERJ-2RKF4123X</t>
  </si>
  <si>
    <t>RMCF0402FT383R</t>
  </si>
  <si>
    <t>ERJ-3EKF3243V</t>
  </si>
  <si>
    <t>RMCF0402FT84K5</t>
  </si>
  <si>
    <t>ERJ-3EKF1540V</t>
  </si>
  <si>
    <t>RMCF0402FT52K3</t>
  </si>
  <si>
    <t>RC0402FR-0730K9L</t>
  </si>
  <si>
    <t>EXB-24V103JX</t>
  </si>
  <si>
    <t>RC0402FR-072K67L</t>
  </si>
  <si>
    <t>RC0402FR-07140KL</t>
  </si>
  <si>
    <t>RC0402FR-073K57L</t>
  </si>
  <si>
    <t>ERJ-2RKF75R0X</t>
  </si>
  <si>
    <t>CONN FFC FPC 12POS 1MM R/A</t>
  </si>
  <si>
    <t>IC VIDEO RECLOCKER 32WQFN</t>
  </si>
  <si>
    <t>IC MCU 8BIT 14KB FLASH 16UQFN</t>
  </si>
  <si>
    <t>IC OSC PCI EXPRESS 2OUT 10TDFN</t>
  </si>
  <si>
    <t>RES 8.66K OHM 1% 1/16W 0402</t>
  </si>
  <si>
    <t>PCH -60V -11A POWER MOSFET - RS3</t>
  </si>
  <si>
    <t>TRIPLE HIGH-SIDE CURRENT SENSOR</t>
  </si>
  <si>
    <t>TRANS NPN 80V 0.5A SC70-3</t>
  </si>
  <si>
    <t>CRYSTAL-SMD;8.0000MHZ,10ppm,10PF,4-SMD</t>
  </si>
  <si>
    <t>IC INTERFACE SPECIALIZED 24WQFN</t>
  </si>
  <si>
    <t>DC DC CONVERTER 1.8V</t>
  </si>
  <si>
    <t>BATT LITH 1.5V 5.5MAH COIN 9.5MM</t>
  </si>
  <si>
    <t>CAP CER 47UF 6.3V X7R 1210</t>
  </si>
  <si>
    <t>RES SMD 33 OHM 0.1% 1/16W 0402</t>
  </si>
  <si>
    <t>1UF 35V 10% X5R 0603</t>
  </si>
  <si>
    <t>IC RF SWITCH SPDT 6GHZ 6MLPD</t>
  </si>
  <si>
    <t>CONN HEADER VERT 6POS 1.25MM</t>
  </si>
  <si>
    <t>MEMS OSC XO 33.3300MHZ CMOS SMD</t>
  </si>
  <si>
    <t>5.600PF 50V 0603</t>
  </si>
  <si>
    <t>10UF 10V 0603</t>
  </si>
  <si>
    <t>WE-MPSB 100 MHz 1 Ferrite Bead 0805</t>
  </si>
  <si>
    <t xml:space="preserve">47UF 10V X5R 1206 </t>
  </si>
  <si>
    <t>TVS DIODE 5.5VWM 8.5VC SOT143-4</t>
  </si>
  <si>
    <t>TRANS-BJT;NPN,45V,0.1A,SOT23-3,BC847C,235</t>
  </si>
  <si>
    <t>RES SMD 60.4K OHM 1% 1/16W 0402</t>
  </si>
  <si>
    <t>TRANS-BJT;NPN,40V,600MA,SOT23,PMBT4401,215</t>
  </si>
  <si>
    <t>DIODE ARRAY GP 400V 15A TO3P</t>
  </si>
  <si>
    <t>FERRITE BEAD 120 OHM 1206 1LN</t>
  </si>
  <si>
    <t>RES SMD 49.9 OHM 0.1% 1/16W 0402</t>
  </si>
  <si>
    <t xml:space="preserve">47.5 kOhms ±1% 0.1W, 1/10W Chip Resistor 0603 </t>
  </si>
  <si>
    <t>RES-SMD;127kOHM,1%,0603,1/10W</t>
  </si>
  <si>
    <t>RES-SMD;1OHM,1%,1/10W,0603</t>
  </si>
  <si>
    <t>MOSFET P-CH 60V 2A SOT-23F</t>
  </si>
  <si>
    <t>CAP-CER,SMD;0.047uF,10%,0603,50V,X7R</t>
  </si>
  <si>
    <t>VOLTAGE REF SERIES-FIXED 2.5V SOT23-6</t>
  </si>
  <si>
    <t>RES SMD 21.5KOHM 0.1% 1/16W 0402</t>
  </si>
  <si>
    <t>LED GREEN DIFFUSED 0603 SMD</t>
  </si>
  <si>
    <t>LED-SMD;2.1V,20mA,2-SMD,GREEN,APA1606CGCK</t>
  </si>
  <si>
    <t>RES 2.7 OHM 1% 1/16W 0402</t>
  </si>
  <si>
    <t>CAP CER 0.47UF 10V X5R 0603</t>
  </si>
  <si>
    <t>40.2 kOhms ±1% 0.1W, 1/10W Chip Resistor 0603</t>
  </si>
  <si>
    <t>RES-ARRAY;1.8KOHM,5%,2 RES,0404</t>
  </si>
  <si>
    <t>RES,470R,1%,62.5MW,0402,SMD</t>
  </si>
  <si>
    <t>RES 60.4K OHM 1% 1/10W 0402</t>
  </si>
  <si>
    <t>RES SMD 499K OHM 1% 1/10W 0402</t>
  </si>
  <si>
    <t>CAP CER 8PF 50V C0G/NP0 0402</t>
  </si>
  <si>
    <t>CAP CER 0.022UF 50V 0402 EPOXY</t>
  </si>
  <si>
    <t>XF3M(1)-1215-1B</t>
  </si>
  <si>
    <t>LMH0397RTVR</t>
  </si>
  <si>
    <t>PIC16F1825-I/JQ</t>
  </si>
  <si>
    <t>5054331071</t>
  </si>
  <si>
    <t>SI52112-A1-GM2R</t>
  </si>
  <si>
    <t>RMCF0402FT8K66</t>
  </si>
  <si>
    <t>RS3L110ATTB1</t>
  </si>
  <si>
    <t>PAC1934T-I/JQ</t>
  </si>
  <si>
    <t>SN65C3232EDWR</t>
  </si>
  <si>
    <t>MMSTA06-7-F</t>
  </si>
  <si>
    <t>LMH0324RTWT</t>
  </si>
  <si>
    <t>FS1406-1800-AL</t>
  </si>
  <si>
    <t>TS920E-FL27E</t>
  </si>
  <si>
    <t>GCM32ER70J476KE19L</t>
  </si>
  <si>
    <t>CPF0402B33RE</t>
  </si>
  <si>
    <t>CL10A105KL8NNNC</t>
  </si>
  <si>
    <t>SSM3J332R,LF</t>
  </si>
  <si>
    <t>SKY13585-679LF</t>
  </si>
  <si>
    <t>53047-0610</t>
  </si>
  <si>
    <t>DSC1001DI2-033.3300</t>
  </si>
  <si>
    <t>GRM1885C1H562JA01D</t>
  </si>
  <si>
    <t>1206ZD476MAT2A</t>
  </si>
  <si>
    <t>BC847C,235</t>
  </si>
  <si>
    <t>CRCW040260K4FKED</t>
  </si>
  <si>
    <t>PMBT4401,235</t>
  </si>
  <si>
    <t>FEP30GP-E3/45</t>
  </si>
  <si>
    <t>FBMJ3216HS480NT</t>
  </si>
  <si>
    <t>ERA-2AEB49R9X</t>
  </si>
  <si>
    <t>ERJ-3EKF4752V</t>
  </si>
  <si>
    <t>RC0603FR-07127KL</t>
  </si>
  <si>
    <t>SSM3J356RLF</t>
  </si>
  <si>
    <t>UMK107B7473KAHT</t>
  </si>
  <si>
    <t>MCP1501T-25E/CHY</t>
  </si>
  <si>
    <t>ERA-2AEB2152X</t>
  </si>
  <si>
    <t>CL31A226KPHNNNE</t>
  </si>
  <si>
    <t>BSC123N08NS3GATMA1CT</t>
  </si>
  <si>
    <t>APA1606CGCK</t>
  </si>
  <si>
    <t>RC0402FR-072R7L</t>
  </si>
  <si>
    <t>C0603C474K8PACTU</t>
  </si>
  <si>
    <t>EXB-24V182JX</t>
  </si>
  <si>
    <t>RC0402FR-07470RL</t>
  </si>
  <si>
    <t>RK73H1ETTP6042F</t>
  </si>
  <si>
    <t>RMCF0402FT330K</t>
  </si>
  <si>
    <t>C2012X7S2A224M085AE</t>
  </si>
  <si>
    <t>RK73H1ETTP4993F</t>
  </si>
  <si>
    <t>GCM1555C1H8R0FA16D</t>
  </si>
  <si>
    <t>0402N270J500CT</t>
  </si>
  <si>
    <t>CGA2B3X7R1H223K050BD</t>
  </si>
  <si>
    <t>DIODE SCHOTTKY 120V 15A TO277-3</t>
  </si>
  <si>
    <t>Integrated Circuit 1CHAN 3.6V 500MW</t>
  </si>
  <si>
    <t>CONN SELF-MATE 40POS SMD GOLD</t>
  </si>
  <si>
    <t>IND-SMD; 10uH, 20%, SMD,3.6A,50mOHM</t>
  </si>
  <si>
    <t>FIXED IND 15UH 3.6A 50 MOHM SMD</t>
  </si>
  <si>
    <t>IC TRNSLTR BIDIRECTIONAL 10UQFN</t>
  </si>
  <si>
    <t xml:space="preserve"> 
IC TRANSLATION TXRX 3.6V 16SOIC</t>
  </si>
  <si>
    <t>IND-SMD;33uH,Isat2.8A-Ir3A,60mOhm</t>
  </si>
  <si>
    <t>IC; GENERAL PURPOSE COMPATATOR CIRCUIT,SC-70-5,-40 to 125 °C,TS881ICT</t>
  </si>
  <si>
    <t>CON-SMD;M,3X3.1X1.26MM,RECE.20279.001E.01, IPEX MHF1, 50OHM 6GHz</t>
  </si>
  <si>
    <t>IC XL6003E1</t>
  </si>
  <si>
    <t>IC DUAL EIA-232 DRVR/RCVR 16SOIC</t>
  </si>
  <si>
    <t>22UF 25V 1210</t>
  </si>
  <si>
    <t>IC GATE OR 1CH 2-INP 5TSSOP</t>
  </si>
  <si>
    <t>IC PRIORITY ENCOD 1X10:4 16SOIC</t>
  </si>
  <si>
    <t>CAP-CER,SMD;10nF,10%,0603,50V,X7R</t>
  </si>
  <si>
    <t>TVS-DIODE;BI-DIR,8A(8/20us), 24VWM/40VC,SOT23,CDSOT23-T24CAN-Q</t>
  </si>
  <si>
    <t>CAP CER ,10uF,10%, 50V, X5R, 1210</t>
  </si>
  <si>
    <t>FERRITE BEADS 0603 1500OHMS 400M</t>
  </si>
  <si>
    <t>CRGCQ 0402 33R 1%</t>
  </si>
  <si>
    <t>RES 240 OHM 0.5% 1/16W 0402</t>
  </si>
  <si>
    <t>RES SMD 20k OHM 1% 1/10W 0603</t>
  </si>
  <si>
    <t>TRIAC 800V 8A DPAK</t>
  </si>
  <si>
    <t>SMD/SMT 10 uF 16 VDC 10% 0603 X5R</t>
  </si>
  <si>
    <t>IC REG LINEAR 5V 1.5A SOT223-4</t>
  </si>
  <si>
    <t>CONN HEADER SMD R/A 6POS 1MM</t>
  </si>
  <si>
    <t>CAP-TA,SMD; 10uF,20%,3216,20V,5OHM</t>
  </si>
  <si>
    <t>RES-SMD;33OHM,1%,0603,1/10W</t>
  </si>
  <si>
    <t>GDT 90V 5KA 2 POLE SURFACE</t>
  </si>
  <si>
    <t>FIXED IND 4.7UH 1.4A 180MOHM SMD</t>
  </si>
  <si>
    <t>110K OHM 1% 110W 0603</t>
  </si>
  <si>
    <t>40.2K OHM 1/10W 0603</t>
  </si>
  <si>
    <t>8.66K OHM 1/10W 0603</t>
  </si>
  <si>
    <t>2.49 OHM 1% 1/10W 0603</t>
  </si>
  <si>
    <t>FB-SMD;100ohm100MHz,3A,30mOhm,0603,MPZ1608S101ATAH0</t>
  </si>
  <si>
    <t>RES-SMD;1.5KOHM,1%,0603,1/10W</t>
  </si>
  <si>
    <t>CAP CER 39pF,5%, 50V C0G/NP0 0603</t>
  </si>
  <si>
    <t>RES 4.99K OHM 1% 1/16W 0402</t>
  </si>
  <si>
    <t>CAP-CER,SMD;1pF,±0.1pF,0402,50V,C0G/NP0</t>
  </si>
  <si>
    <t>IND-SMD;2.7nH, ±0.1nH, 0402,900mA,70mOhm</t>
  </si>
  <si>
    <t>RES SMD 14.3K OHM 1% 1/10W 0402</t>
  </si>
  <si>
    <t>3300PF 16V X7R 0402</t>
  </si>
  <si>
    <t>RES SMD 57.6K OHM 1% 1/10W 0402</t>
  </si>
  <si>
    <t>CAP-CER,SMD;220pF,5%,0805,50V,C0G/NP0</t>
  </si>
  <si>
    <t>Zener Diode 10 V 590 mW ±2% Surface Mount SOD-123</t>
  </si>
  <si>
    <t>RES 3.16K OHM 1% 1/16W 0402</t>
  </si>
  <si>
    <t>RES,7.5KR,1%,62.5MW,0402,SMD</t>
  </si>
  <si>
    <t>RES 66.5K OHM 1% 1/16W 0402</t>
  </si>
  <si>
    <t>RES 15.8K OHM 1% 1/16W 0402</t>
  </si>
  <si>
    <t>RES 37.4 OHM 1% 1/16W 0402</t>
  </si>
  <si>
    <t>CAP-TA,SMD; 10uF,10%,3216,10V,3.8OHM</t>
  </si>
  <si>
    <t>RES-SMD;0OHM,5%,0805,1/8W</t>
  </si>
  <si>
    <t>CAP CER 22UF 16V X5R 0603</t>
  </si>
  <si>
    <t>CAP-CER,SMD;0.22UF,10%,0603,10V,X5R</t>
  </si>
  <si>
    <t>RES-SMD;2.21KOHM,1%,0603,1/10W</t>
  </si>
  <si>
    <t>RES 3K OHM 1% 1/8W 0805</t>
  </si>
  <si>
    <t>FSV15120V</t>
  </si>
  <si>
    <t>74AVCH16T245DGG,18</t>
  </si>
  <si>
    <t>LSHM1202_5LDVASK</t>
  </si>
  <si>
    <t>SRN8040TA-100M</t>
  </si>
  <si>
    <t>SRN8040TA-150M</t>
  </si>
  <si>
    <t>SN74AVC2T245RSWR</t>
  </si>
  <si>
    <t>SN74AVC4T245DT</t>
  </si>
  <si>
    <t>SRR1260-330M</t>
  </si>
  <si>
    <t>TS881ICT</t>
  </si>
  <si>
    <t>RECE.20279.001E.01</t>
  </si>
  <si>
    <t>XL6003E1</t>
  </si>
  <si>
    <t>GRM32ER71E226KE5L</t>
  </si>
  <si>
    <t>74HC1G32GW-Q100H</t>
  </si>
  <si>
    <t>CD74HC147M96</t>
  </si>
  <si>
    <t>GRM188R71H103KA01D</t>
  </si>
  <si>
    <t>CDSOT23-T24CAN-Q</t>
  </si>
  <si>
    <t>C3225X5R1H106K250AB</t>
  </si>
  <si>
    <t>MMZ1608Y152BTA00</t>
  </si>
  <si>
    <t>CRGCQ0402F33R</t>
  </si>
  <si>
    <t>CRCW0402240RFKED</t>
  </si>
  <si>
    <t>BT137S-800G118</t>
  </si>
  <si>
    <t>GRT188R61C106KE3D</t>
  </si>
  <si>
    <t>LM340MPX50N0PB</t>
  </si>
  <si>
    <t>202396-0607</t>
  </si>
  <si>
    <t>T491A106M020AT</t>
  </si>
  <si>
    <t>SH90</t>
  </si>
  <si>
    <t>1277AS-H-4R7M=P2</t>
  </si>
  <si>
    <t>CRCW0603-110K-E3</t>
  </si>
  <si>
    <t>CRCW0603-40.2K-E3</t>
  </si>
  <si>
    <t>CRCW0603-8.66K-E3</t>
  </si>
  <si>
    <t>CRCW0603-2.49-E3</t>
  </si>
  <si>
    <t>C0603C390J5GAC7867</t>
  </si>
  <si>
    <t>RMCF0402FT4K99</t>
  </si>
  <si>
    <t>CBR04C109B5GAC</t>
  </si>
  <si>
    <t>MHQ1005P2N7BT000</t>
  </si>
  <si>
    <t>ERJ-2RKF1432X</t>
  </si>
  <si>
    <t>AC0402KRX77BB332</t>
  </si>
  <si>
    <t>ERJ-2RKF5762X</t>
  </si>
  <si>
    <t>C0805C221J5GAC7800</t>
  </si>
  <si>
    <t>BZT52-B10J</t>
  </si>
  <si>
    <t>CRCW04023K16FKEDC</t>
  </si>
  <si>
    <t>RNCP0603FTD7K50</t>
  </si>
  <si>
    <t>RMCF0402FT66K5</t>
  </si>
  <si>
    <t>RMCF0402FT15K8</t>
  </si>
  <si>
    <t>ERJ-2RKF37R4X</t>
  </si>
  <si>
    <t>T491A106K010AT</t>
  </si>
  <si>
    <t>GRM188R61A224KA01D</t>
  </si>
  <si>
    <t>RC0603FR-07102K21L</t>
  </si>
  <si>
    <t>RC0805FR-073KL</t>
  </si>
  <si>
    <t>DIODE SCHOTTKY 80V 500MA SOD123</t>
  </si>
  <si>
    <t>IC MOTOR DRVR 4.5V-26V 32HTSSOP</t>
  </si>
  <si>
    <t>CAP CER 22UF 25V X5R 1210</t>
  </si>
  <si>
    <t>NOR Flash Serial-SPI 3.3V 128Mb 128/64/32M 1/2/4Bit 6ns 8-Pin SOP2 T/R</t>
  </si>
  <si>
    <t>LED-SMD;2V,20mA,0402,GREEN</t>
  </si>
  <si>
    <t>RES SMD 430K OHM 1% 1/10W 0603</t>
  </si>
  <si>
    <t>WE-MPSB 100 MHz 1 Ferrite Bead 1206</t>
  </si>
  <si>
    <t>RF Transformer</t>
  </si>
  <si>
    <t>IC MCU 32-Bit STM32F ARM Cortex M4 RISC 512KB Flash 3.3V 100-Pin LQFP Tray</t>
  </si>
  <si>
    <t>LC (Pi) EMI Filter 3rd Order Low Pass 1 Channel C = 6800pF 10 A 2220 (5750 Metric), 3 PC Pad</t>
  </si>
  <si>
    <t>RES SMD 27.4k OHM 1% 1/10W 0603</t>
  </si>
  <si>
    <t>CAP-CER,SMD;0.1uF,5%,0603,50V,X7R</t>
  </si>
  <si>
    <t>0.635 MM ACCELERATE® HD HIGH-DENSITY 4-ROW</t>
  </si>
  <si>
    <t>CAP CER 5.6nF 25V X7R 0603</t>
  </si>
  <si>
    <t>CAP CER 0.02UF 100V X7R 0805</t>
  </si>
  <si>
    <t>CAP CER 15nF 25V X7R 0603</t>
  </si>
  <si>
    <t>CAP CER 0.082UF 50V X7R 0603</t>
  </si>
  <si>
    <t>RES 150 OHM 1% 1/20W 0201 SMD</t>
  </si>
  <si>
    <t>CONN SOCKET 20POS SMD GOLD</t>
  </si>
  <si>
    <t>120 OHM 500MA 0603</t>
  </si>
  <si>
    <t>IC-GATE NOR 4CH 2-INP;14 SO,74HC02D,653</t>
  </si>
  <si>
    <t>CAP-ALUM,SMD; 22uF,20%,16V,AEC-Q200,EEE-HAC220WAR</t>
  </si>
  <si>
    <t>RES 37.4K OHM 1% 1/16W 0402</t>
  </si>
  <si>
    <t>DIODE ZENER 30V 500MW SOD123</t>
  </si>
  <si>
    <t>RES 12.4K OHM 1% 1/20W 0201</t>
  </si>
  <si>
    <t>10UF 6.3V 0402</t>
  </si>
  <si>
    <t>100NF ±10% 25V Ceramic Capacitor X5R 0201</t>
  </si>
  <si>
    <t>MOS-FET;N-CH,60V,50A,D2PAK,SPSMN015-60BS,118</t>
  </si>
  <si>
    <t>300PF 25VDC 0201 5%</t>
  </si>
  <si>
    <t>CAP CER 0.047UF 25V X5R 0201</t>
  </si>
  <si>
    <t>0.3 pF 50V Ceramic Capacitor C0G, NP0 0201</t>
  </si>
  <si>
    <t>RES SMD 330 OHM 1% 1/20W 0201</t>
  </si>
  <si>
    <t>RES SMD 6.04k OHM 1% 1/10W 0603</t>
  </si>
  <si>
    <t>560PF 10% 16V X7R 0201</t>
  </si>
  <si>
    <t>LED-SMD;2.9V,5mA,0402,WHITE</t>
  </si>
  <si>
    <t>CAP CER 15PF 16V C0G/NP0 0402</t>
  </si>
  <si>
    <t>RES-SMD;60.4OHM,1%,0603,1/10W</t>
  </si>
  <si>
    <t>BAS100AS_R1_00001</t>
  </si>
  <si>
    <t>DRV2511QDAPRQ1</t>
  </si>
  <si>
    <t>GRM32ER61E226KE15K</t>
  </si>
  <si>
    <t>MT25QL128ABA1ESE-MSIT TR</t>
  </si>
  <si>
    <t>885012107006</t>
  </si>
  <si>
    <t>APG1005CGC-T</t>
  </si>
  <si>
    <t>RC0603FR-07430KL</t>
  </si>
  <si>
    <t>TC2-1T+</t>
  </si>
  <si>
    <t>STM32F411VET6</t>
  </si>
  <si>
    <t>SBSMP5000682MXT</t>
  </si>
  <si>
    <t>RC0603FR-0727K4L</t>
  </si>
  <si>
    <t>UMK107B7104MA-T</t>
  </si>
  <si>
    <t>ADF6-60-03.5-L-4-2-A-TR</t>
  </si>
  <si>
    <t>GRM32ER71E226ME15K</t>
  </si>
  <si>
    <t>C0603C562K3RAC7867</t>
  </si>
  <si>
    <t>08051C203JAT4A</t>
  </si>
  <si>
    <t>06033C153JAT2A</t>
  </si>
  <si>
    <t>06035C823JAT2A</t>
  </si>
  <si>
    <t>ERJ-U01F1500C</t>
  </si>
  <si>
    <t>SS4-10-3.50--D-K-TR</t>
  </si>
  <si>
    <t>MMZ1608Y121CTAH0</t>
  </si>
  <si>
    <t>74HC02D,653</t>
  </si>
  <si>
    <t>RMCF0402FT37K4</t>
  </si>
  <si>
    <t>BZT52C27-7-F</t>
  </si>
  <si>
    <t>SMMBTA06WT1G</t>
  </si>
  <si>
    <t>ERJ-U02F4993X</t>
  </si>
  <si>
    <t>RMCF0201FT12K4</t>
  </si>
  <si>
    <t>ZRB15XR60J106ME2D</t>
  </si>
  <si>
    <t>GRM219R60J226ME47D</t>
  </si>
  <si>
    <t>CL03A104KA3NNNC</t>
  </si>
  <si>
    <t>MCS0402MC1002FE000</t>
  </si>
  <si>
    <t>PSMN015-60BS,118</t>
  </si>
  <si>
    <t>TMK063CG301JT-F</t>
  </si>
  <si>
    <t>C0603X5R1E473K030BB</t>
  </si>
  <si>
    <t>UMK063CG0R3CTHF</t>
  </si>
  <si>
    <t>AC0201FR-07330RL</t>
  </si>
  <si>
    <t>RT0603FRE076K04L</t>
  </si>
  <si>
    <t>CL03B561KO3NNNC</t>
  </si>
  <si>
    <t>EAST10052WA0</t>
  </si>
  <si>
    <t>C0402C150J4GACTU</t>
  </si>
  <si>
    <t>RC0603FR-0760R4L</t>
  </si>
  <si>
    <t>IC VREF, SOT-23-3, -40TO 70 °C, 1%,Vref 2.495V,TL431LIACDBZR</t>
  </si>
  <si>
    <t>IC; COMPARATOR GENERAL PURPOSE,8-SO,0 to 70°C,LM393DT</t>
  </si>
  <si>
    <t>HALL-SENSOR,SPI,SOIC-8,-40-85C, MLX90363EDC-ABB-000-TU</t>
  </si>
  <si>
    <t>IND-SMD;100uH,Isat2.2A-Ir2.5A,135mOhm</t>
  </si>
  <si>
    <t>IC-INVERTER SCHMITT 6CH;14 SO, 74HCT14D,653</t>
  </si>
  <si>
    <t>RES-SMD;470OHM,1%,0603,1/10W</t>
  </si>
  <si>
    <t>RES-SMD;2.2KOHM,1%,0603,1/10W</t>
  </si>
  <si>
    <t>TL431LIACDBZR</t>
  </si>
  <si>
    <t>LM393DT</t>
  </si>
  <si>
    <t>MLX90363EDC-ABB-000-TU</t>
  </si>
  <si>
    <t>RMCF0402FT30K0</t>
  </si>
  <si>
    <t>SRR1210-101M</t>
  </si>
  <si>
    <t>74HCT14D,653</t>
  </si>
  <si>
    <t>C1206C102KGRACAUTO</t>
  </si>
  <si>
    <t>MOSFET P-CH 30V 29A 8SO</t>
  </si>
  <si>
    <t>DIODE GEN PUR 75V 250MA SOD323</t>
  </si>
  <si>
    <t>CONN RCPT 6POS IDC 30AWG GOLD</t>
  </si>
  <si>
    <t>IC;IC TRNSLTR BIDIRECTIONAL,16-VQFN,-40°-85°C,TXB0106RGYR</t>
  </si>
  <si>
    <t>CONN FFC FPC 14POS 0.50MM R/A</t>
  </si>
  <si>
    <t>IC VIDEO RECLOCKER 24WQFN</t>
  </si>
  <si>
    <t>IC REG LINEAR 2.5V 1A SOT223-3</t>
  </si>
  <si>
    <t>CONN;0484050004</t>
  </si>
  <si>
    <t>CONN-SMD;SFW15R-1STE1LF</t>
  </si>
  <si>
    <t>CONN-SMD;CONN FFC/FPC BOTTOM 22P .5MM R/A,5051102291</t>
  </si>
  <si>
    <t>MOS-FET; MOSFET N-CH 120V,11.6A,8-PQFN,FDMS86201</t>
  </si>
  <si>
    <t>IC;M74VHC1G126DFT1G</t>
  </si>
  <si>
    <t>IC;MIC2008YM6-TR</t>
  </si>
  <si>
    <t>IC;IC INTERFACE SPECIALIZED 38-TSSOP,38-TSSOP,-40°-85°C,TPD12S520DBTR</t>
  </si>
  <si>
    <t>CONN HEADER SMD R/A 10POS 1.25MM</t>
  </si>
  <si>
    <t>FIXED IND 3.3NH 2A 0.03OHM SMD</t>
  </si>
  <si>
    <t>FERRITE BEAD 600 OHM 0806 1LN</t>
  </si>
  <si>
    <t>IC INVERTER DUAL SHMT</t>
  </si>
  <si>
    <t>IC BUF NON-INVERT 5.5V SC70-6</t>
  </si>
  <si>
    <t>MOS-FET,ARRAY;OSFET 2N-CH 30V,0.25A,SOT-363,DMN601DWKQ-7</t>
  </si>
  <si>
    <t>OSC; XTAL OSC XO 27.0000MHZ CMOS SMD</t>
  </si>
  <si>
    <t>CAP CER 0.15UF 35V X7R 0603</t>
  </si>
  <si>
    <t>RES 301K OHM 1% 1/16W 0402</t>
  </si>
  <si>
    <t>CONN FFC FPC 10POS 0.50MM R/A</t>
  </si>
  <si>
    <t>DIODE ARRAY SCHOTTKY 70V SOT323</t>
  </si>
  <si>
    <t>TVS-DIODE;UN-DIR,3.3V/11.4V,10-UDFN,ESD8104MUTAG</t>
  </si>
  <si>
    <t>RES SMD 200 KOHM 1% 1/8W 0402</t>
  </si>
  <si>
    <t>TRANS NPN 40V 200MA SOT23-3</t>
  </si>
  <si>
    <t>RES 0.01 OHM 1% 1/2W 0805</t>
  </si>
  <si>
    <t>RES 14.3K OHM 1% 1/16W 0402</t>
  </si>
  <si>
    <t>SMAJ36CA</t>
  </si>
  <si>
    <t>RES SMD 47.5K OHM 1% 1/10W</t>
  </si>
  <si>
    <t>RES SMD 40.2K OHM  1/10W 0402</t>
  </si>
  <si>
    <t>RES 243K OHM 1% 1/16W 0402</t>
  </si>
  <si>
    <t>RES-SMD;25KOHM,1%,0402,1/10W</t>
  </si>
  <si>
    <t>RES SMD 162K OHM 1% 1/10W 0402</t>
  </si>
  <si>
    <t>SI4459ADY-T1-GE3</t>
  </si>
  <si>
    <t>1N4448WSQ-7-F</t>
  </si>
  <si>
    <t>FFSD-03-01</t>
  </si>
  <si>
    <t>UMK325C7106MM-T</t>
  </si>
  <si>
    <t>FX135A-327</t>
  </si>
  <si>
    <t>XF3M-1415-1B</t>
  </si>
  <si>
    <t>LMH0318RTWR</t>
  </si>
  <si>
    <t>MCP1826S-2502E/DB</t>
  </si>
  <si>
    <t>SFW15R-1STE1LF</t>
  </si>
  <si>
    <t>FDMS86201</t>
  </si>
  <si>
    <t>NLVVHC1G126DFT1G</t>
  </si>
  <si>
    <t>MIC2008YM6-TR</t>
  </si>
  <si>
    <t>TPD12S520DBTR</t>
  </si>
  <si>
    <t>0532611071</t>
  </si>
  <si>
    <t>C0805C334J3RAC7800</t>
  </si>
  <si>
    <t>502584-0860</t>
  </si>
  <si>
    <t>LQW15AN3N3G80D</t>
  </si>
  <si>
    <t>NFZ2MSM601SN10L</t>
  </si>
  <si>
    <t>ECS-250-18-30B-JTN-TR</t>
  </si>
  <si>
    <t>RCS0402499KFKED</t>
  </si>
  <si>
    <t>SN74LVC2G07DCKR</t>
  </si>
  <si>
    <t>DMN601DWKQ-7</t>
  </si>
  <si>
    <t>ASE-27.000MHZ-LR-T</t>
  </si>
  <si>
    <t>CGA3E3X7R1V154K080AB</t>
  </si>
  <si>
    <t>RC0402FR-07301KL</t>
  </si>
  <si>
    <t>XF3M-1015-1B</t>
  </si>
  <si>
    <t>BAS70W-05-7-F</t>
  </si>
  <si>
    <t>ESD8104MUTAG</t>
  </si>
  <si>
    <t>BLM18PG121SN1D</t>
  </si>
  <si>
    <t>RCC0402200KFKED</t>
  </si>
  <si>
    <t>BCW71</t>
  </si>
  <si>
    <t>PMR10EZPFU10L0</t>
  </si>
  <si>
    <t>EMK325BJ476MM-T</t>
  </si>
  <si>
    <t>RC0603FR-07143KL</t>
  </si>
  <si>
    <t>RMCF0402FT14K3</t>
  </si>
  <si>
    <t>SMAJ36CA-F13-F</t>
  </si>
  <si>
    <t>ERJ-2RKF4752X</t>
  </si>
  <si>
    <t>CRCW060312K4FKEA</t>
  </si>
  <si>
    <t>RK73H1ETTP4022F</t>
  </si>
  <si>
    <t>RMCF0402FT243K</t>
  </si>
  <si>
    <t>RC0402FR-0724K9L</t>
  </si>
  <si>
    <t>ERJ-2RKF1623X</t>
  </si>
  <si>
    <t>DC DC CONVERTER 0.8-6V</t>
  </si>
  <si>
    <t>IC REG BOOST ADJ 0.37A 16QFN</t>
  </si>
  <si>
    <t>IC OPAMP ZER-DRIFT 1CIRC SOT23-5</t>
  </si>
  <si>
    <t>PLCC SIDE VIEW SMD LED WHITE</t>
  </si>
  <si>
    <t>RES SMD 8.87k OHM 1% 1/10W 0603</t>
  </si>
  <si>
    <t>IC BUF NON-INVER 3.6V 20TSSOP</t>
  </si>
  <si>
    <t>RX TXRX MOD WIFI PCB TRACE SMD</t>
  </si>
  <si>
    <t xml:space="preserve"> FFC &amp; FPC Connectors 20W, 0.5mm FFC Con,R/A,Dual Cont,B/Flp,H2.0mm,Gld,SMT,T&amp;R</t>
  </si>
  <si>
    <t>CAP-CER,SMD;0.47uF,10%,0603,50V,X7R</t>
  </si>
  <si>
    <t>DIODE SCHOTTKY 20V 500MA SOD882D</t>
  </si>
  <si>
    <t>CONN 0.635MM SKT 10POS SMD</t>
  </si>
  <si>
    <t>RES SMD 71.5 OHM 1% 1/10W 0603</t>
  </si>
  <si>
    <t>FERRITE BEAD 60 OHM 1806 1LN</t>
  </si>
  <si>
    <t>RES SMD 84.5k OHM 1% 1/10W 0603</t>
  </si>
  <si>
    <t>RES SMD 3.32M OHM 1% 1/10W 0603</t>
  </si>
  <si>
    <t>MCU ARM CORTEX M3 MCU, LQFP100, Tr</t>
  </si>
  <si>
    <t>CAP ALUM 100UF 20% 20V SMD</t>
  </si>
  <si>
    <t>RES 0.0015 OHM 1% 1W 2512</t>
  </si>
  <si>
    <t>Chip Ferrite Beads supporting 26OHM@10A lines</t>
  </si>
  <si>
    <t>RF ANT 1.575GHZ CHIP SOLDER SMD</t>
  </si>
  <si>
    <t>RES-SMD;180 OHM,1%,0603,1/10W</t>
  </si>
  <si>
    <t>88.7K OHM 1/10W 0603</t>
  </si>
  <si>
    <t>LED WHITE CHIP SMD</t>
  </si>
  <si>
    <t>RES-SMD;47KOHM,5%,0402,1/16W</t>
  </si>
  <si>
    <t>49.9 OHM 1% 1/10W</t>
  </si>
  <si>
    <t>CAP CER 10000PF 50V X5R 0201</t>
  </si>
  <si>
    <t>RESISTOR THICK FILM 220 OHM 63MW 5%</t>
  </si>
  <si>
    <t>RES SMD 453K OHM 1% 1/20W 0201</t>
  </si>
  <si>
    <t>Cap Cer 18PF 50V C0G/NP0 0402</t>
  </si>
  <si>
    <t>CAP CER 6800PF 50V X5R 0201</t>
  </si>
  <si>
    <t>RES SMD 1M OHM 1% 1/4W 0603</t>
  </si>
  <si>
    <t>NPN 50V 100MA</t>
  </si>
  <si>
    <t xml:space="preserve">Dây nguồn Adapter </t>
  </si>
  <si>
    <t>MOS-FET;N-CH,75V,80A,TO-220AB,IRFB3607PBF</t>
  </si>
  <si>
    <t>CONN-DIP; M, PWR JACK 2X5.5MM ,PJ-002AH</t>
  </si>
  <si>
    <t>Crimp VH3.96</t>
  </si>
  <si>
    <t>CONN HEADER VERT 10POS 1.25MM</t>
  </si>
  <si>
    <t>Conn Housing PL 2 POS 1.5mm Crimp ST Bag</t>
  </si>
  <si>
    <t>FUSE CLIP TH 3AG/3AB 40A</t>
  </si>
  <si>
    <t>CONN HEADER VERT 8POS 1.5MM</t>
  </si>
  <si>
    <t>CAP ALUM 1200UF 20% 50V T/H</t>
  </si>
  <si>
    <t xml:space="preserve"> 
CONN HEADER VERT 8POS 1.25MM</t>
  </si>
  <si>
    <t>CAP ALUM 1200UF 20% 50V RADIAL</t>
  </si>
  <si>
    <t>CLIK-MATE 1.5 M-S 450MM 24 AWG L</t>
  </si>
  <si>
    <t>TERM BLK 2P SIDE ENT 6.35MM PCB</t>
  </si>
  <si>
    <t>CONN SOCKET 4POS 7.92MM BLACK</t>
  </si>
  <si>
    <t xml:space="preserve">Power to the Board Housing SKT 3 </t>
  </si>
  <si>
    <t>CAP ALUM 22UF 10% 50V RADIAL</t>
  </si>
  <si>
    <t>CABLE RF CA,UMCC GEN1-GEN1,1.13,L60,BK</t>
  </si>
  <si>
    <t>CONN SOCKET 2POS 7.92MM BLACK</t>
  </si>
  <si>
    <t>CONN HEADER VERT 3POS 7.92MM</t>
  </si>
  <si>
    <t>TPS82084SILR</t>
  </si>
  <si>
    <t>LT3571IUD#TRPBF</t>
  </si>
  <si>
    <t>C1210C107M4PACTU</t>
  </si>
  <si>
    <t>OPA188AIDBVR</t>
  </si>
  <si>
    <t>EAPL3811WA0</t>
  </si>
  <si>
    <t>AC0603FR-078K87L</t>
  </si>
  <si>
    <t>STM32L433VCT6TR</t>
  </si>
  <si>
    <t>GRM31CR60J107ME39K</t>
  </si>
  <si>
    <t>74LCX244FT</t>
  </si>
  <si>
    <t>AMW037-1.4.0R</t>
  </si>
  <si>
    <t>FFC2B27-20-G</t>
  </si>
  <si>
    <t>UMK107B7474KA-TR</t>
  </si>
  <si>
    <t>PMEG2005AELD,315</t>
  </si>
  <si>
    <t>ADF610035L42ATR</t>
  </si>
  <si>
    <t>RC0603FR-0771R5L</t>
  </si>
  <si>
    <t>BLM41P600S</t>
  </si>
  <si>
    <t>GMK107BJ105KAHT</t>
  </si>
  <si>
    <t>RK73H1JTTD8452F</t>
  </si>
  <si>
    <t>RC0603FR-073M32L</t>
  </si>
  <si>
    <t>GD32F103VET6</t>
  </si>
  <si>
    <t>16SEV100M6.3X5.5</t>
  </si>
  <si>
    <t>ERJ-M1WTF1M5U</t>
  </si>
  <si>
    <t>BLE32PN260SZ1#</t>
  </si>
  <si>
    <t>PTS810SJM250SMTRLFS</t>
  </si>
  <si>
    <t>RC0603FR-07180RL</t>
  </si>
  <si>
    <t>CRCW0603-88.7K-E3</t>
  </si>
  <si>
    <t>MCS0402MC1000FE000</t>
  </si>
  <si>
    <t>LTW-170ZDC</t>
  </si>
  <si>
    <t>RC0402JR-0747KL</t>
  </si>
  <si>
    <t>CRCW0603-49.9-E3</t>
  </si>
  <si>
    <t>UMK063BJ103KP-F</t>
  </si>
  <si>
    <t>ERJ-1GEF4533C</t>
  </si>
  <si>
    <t>KGM05ACG1H180FH</t>
  </si>
  <si>
    <t>UMK063BJ682MP-F</t>
  </si>
  <si>
    <t>RCS06031M00FKEA</t>
  </si>
  <si>
    <t xml:space="preserve">YP12_YC12  </t>
  </si>
  <si>
    <t>IRFB3607PBF</t>
  </si>
  <si>
    <t>PJ-002AH</t>
  </si>
  <si>
    <t>10114829-10110LF</t>
  </si>
  <si>
    <t>LM35DZ/LFT4</t>
  </si>
  <si>
    <t>ML-614S/ZTN</t>
  </si>
  <si>
    <t>01240061H</t>
  </si>
  <si>
    <t>B8B-ZR(LF)(SN)</t>
  </si>
  <si>
    <t>EEU-FS1H122</t>
  </si>
  <si>
    <t>10114829-10108LF</t>
  </si>
  <si>
    <t>D4S10A-400L5-A</t>
  </si>
  <si>
    <t>860160680035</t>
  </si>
  <si>
    <t>796740-2</t>
  </si>
  <si>
    <t>DF22R-4S-7.92C(28)</t>
  </si>
  <si>
    <t>DF22-3S-7.92C(28)</t>
  </si>
  <si>
    <t>UKL1H220KEDANA</t>
  </si>
  <si>
    <t>1-2118651-0</t>
  </si>
  <si>
    <t>DF22R-2S-7.92C(28)</t>
  </si>
  <si>
    <t>DF22R-3P-7.92DS(53)</t>
  </si>
  <si>
    <t>AC/DC WALL MOUNT ADAPTER 5V 10W</t>
  </si>
  <si>
    <t>- Vật liệu: Polyolefin, Semi-rigid
- Đường kính trong: ≥20.6mm
- Đường kính trong sau khi khò nhiệt: ≤9.4mm</t>
  </si>
  <si>
    <t>CONN MCX PLUG R/A 75 OHM SOLDER</t>
  </si>
  <si>
    <t>CONN HOUSING 3POS 2.5MM SHROUD</t>
  </si>
  <si>
    <t>CONTACT SPRING LOADED SMD GOLD</t>
  </si>
  <si>
    <t>ASXHSXH22K152</t>
  </si>
  <si>
    <t>HARWIN - P70-2200045 - Contact, Connector, Peg, SMT, Spring Loaded Pin, Point, 2 A, 8.2 mm</t>
  </si>
  <si>
    <t>LED Bi-Color Green/Red 565nm/635nm 3-Pin T-1</t>
  </si>
  <si>
    <t>CONN HEADER 2POS 2.5MM R/A TIN</t>
  </si>
  <si>
    <t>Conn Shrouded Header HDR 3 POS 2.5mm Solder RA Thru-Hole SPOX™ Bag</t>
  </si>
  <si>
    <t xml:space="preserve">M3 - Đệm vênh </t>
  </si>
  <si>
    <t>CONN HEADER VERT 3POS 3.96MM</t>
  </si>
  <si>
    <t xml:space="preserve">M2 - Đệm vênh </t>
  </si>
  <si>
    <t>M3x6 - Vít hoa thị đầu bằng</t>
  </si>
  <si>
    <t>M2.5x4 - Vít hoa thị đầu bằng</t>
  </si>
  <si>
    <t>4 Positions Header, Shrouded Connector 0.098" (2.50mm) Through Hole, Right Angle Tin</t>
  </si>
  <si>
    <t>CONN RCPT HSG 5POS 1.25MM</t>
  </si>
  <si>
    <t>CONN PLUG HSG 6CKT BEIGE</t>
  </si>
  <si>
    <t>CONN RECEPT 3POS MALE SOLDER</t>
  </si>
  <si>
    <t>CONN COVER 6 BLACK</t>
  </si>
  <si>
    <t>MOSFET N-CH 100V TO247AC</t>
  </si>
  <si>
    <t>CONN RCPT 3POS 0.1 GOLD PCB</t>
  </si>
  <si>
    <t>CONN HEADER R/A 4POS 3.5MM</t>
  </si>
  <si>
    <t> FEMALE CRIMP/SCREW 2 POWER+4 SIGNAL</t>
  </si>
  <si>
    <t>LIGHT PIPE PNL REA 3MM RND .313</t>
  </si>
  <si>
    <t>LED-DIP;2.2V/2.0V,20mA,3mm Dia len,WP130WDT/EGW</t>
  </si>
  <si>
    <t>SWITCH SNAP ACTION SPDT 1A 125V</t>
  </si>
  <si>
    <t>SWITCHES-PUSHBIUTTON, SPST-NO, 0.4A, 20V, 1825095-3</t>
  </si>
  <si>
    <t>Conn Housing F 3 POS 2.5mm Crimp ST Cable Mount SPOX™ Bag</t>
  </si>
  <si>
    <t>Headers &amp; Wire Housings 2.5 SPOX HSG 2P friction lock</t>
  </si>
  <si>
    <t xml:space="preserve"> CONN HEADER R/A 3POS 3.5MM</t>
  </si>
  <si>
    <t>CONN HEADER VERT 3POS 2MM</t>
  </si>
  <si>
    <t>CONN HEADER VERT 6POS 2MM</t>
  </si>
  <si>
    <t>CONN RCPT 10POS CRIMP 22AWG GOLD</t>
  </si>
  <si>
    <t>CIRCULAR MIL SPEC TOOLS</t>
  </si>
  <si>
    <t>CONN HEADER 2POS .100</t>
  </si>
  <si>
    <t>CONN BANANA JACK SLDR TABS BLACK</t>
  </si>
  <si>
    <t>CONN BANANA JACK SOLDER TABS RED</t>
  </si>
  <si>
    <t>CONN BANANA PLUG SLDRLESS BLACK</t>
  </si>
  <si>
    <t>CBL ASSY U.FL PLUG-PLUG 3.937"</t>
  </si>
  <si>
    <t>CONN BANANA PLUG SOLDERLESS RED</t>
  </si>
  <si>
    <t>BATT RETAIN COIN 1 CELL PC PIN</t>
  </si>
  <si>
    <t>SWITCH SNAP ACT SPST-NO 100MA 6V</t>
  </si>
  <si>
    <t>8.00mm Pitch Beau Eurostyle Two-</t>
  </si>
  <si>
    <t>Đinh vít</t>
  </si>
  <si>
    <t>CONN FEMALE 22-28AWG 2.5MM TIN</t>
  </si>
  <si>
    <t>SWI10-5-E-P5</t>
  </si>
  <si>
    <t xml:space="preserve">QSEC120-25/8.5-01-QB150 </t>
  </si>
  <si>
    <t>133-8433-101</t>
  </si>
  <si>
    <t>50-37-5033</t>
  </si>
  <si>
    <t>90224-AS</t>
  </si>
  <si>
    <t>P70-2200045</t>
  </si>
  <si>
    <t>SSL-LX3059IGW-CA</t>
  </si>
  <si>
    <t>22-05-7025</t>
  </si>
  <si>
    <t>0022057035</t>
  </si>
  <si>
    <t>XHB-4</t>
  </si>
  <si>
    <t>DIN 7980</t>
  </si>
  <si>
    <t>176976-1</t>
  </si>
  <si>
    <t>GB/T 93-1987</t>
  </si>
  <si>
    <t>SSTS-M3-6</t>
  </si>
  <si>
    <t>SSTS-M2.5x4</t>
  </si>
  <si>
    <t>S4B-XH-A(LF)(SN)</t>
  </si>
  <si>
    <t>502578-0600</t>
  </si>
  <si>
    <t>HR30-6R-3P(71)</t>
  </si>
  <si>
    <t>HR30-6R-C(31)</t>
  </si>
  <si>
    <t>IRF100P219XKMA1</t>
  </si>
  <si>
    <t>801-47-003-10-012000</t>
  </si>
  <si>
    <t>M804C10405F12325</t>
  </si>
  <si>
    <t>PLP1-313</t>
  </si>
  <si>
    <t>WP130WDT/EGW</t>
  </si>
  <si>
    <t>D2F-FL</t>
  </si>
  <si>
    <t>1825095-3</t>
  </si>
  <si>
    <t>0050375033</t>
  </si>
  <si>
    <t>50-37-5023</t>
  </si>
  <si>
    <t>B03B-PASK-1(LF)(SN)</t>
  </si>
  <si>
    <t>B06B-PASK(LF)(SN)</t>
  </si>
  <si>
    <t>M80-4801042</t>
  </si>
  <si>
    <t>2M667-218-NF-H716-5</t>
  </si>
  <si>
    <t>TSW-102-07-G-S</t>
  </si>
  <si>
    <t>108-0903-001</t>
  </si>
  <si>
    <t>108-0902-001</t>
  </si>
  <si>
    <t>108-0303-001</t>
  </si>
  <si>
    <t>EXP40.07.0100A</t>
  </si>
  <si>
    <t>ULF-2LPHF6-066N2-A-100</t>
  </si>
  <si>
    <t>108-0302-001</t>
  </si>
  <si>
    <t>BK-869</t>
  </si>
  <si>
    <t>D2FS-FL-N</t>
  </si>
  <si>
    <t xml:space="preserve">39100-1802 </t>
  </si>
  <si>
    <t>94669A100</t>
  </si>
  <si>
    <t>CSPTRT-SUSTBS-M2-12</t>
  </si>
  <si>
    <t>08-70-1039</t>
  </si>
  <si>
    <t>Barrier Terminal Blocks 8MM EURO STRIP 02P 2SCREW</t>
  </si>
  <si>
    <t>CONN PLUG HSG 10CKT BEIGE</t>
  </si>
  <si>
    <t>CONN HEADER R/A 10POS 1.5MM</t>
  </si>
  <si>
    <t>CONN RCPT 12POS 0.1 GOLD PCB</t>
  </si>
  <si>
    <t>CONN 24-28AWG CRIMP TIN</t>
  </si>
  <si>
    <t>CLASSIC PCB HEADER S</t>
  </si>
  <si>
    <t>CONN HOUSING ZH 2POS 1.5MM WHT</t>
  </si>
  <si>
    <t>CAP FILM 10000PF 5% 2KVDC RADIAL</t>
  </si>
  <si>
    <t>CONN RCPT 1MM VERT 3POS</t>
  </si>
  <si>
    <t>CONN HEADER R/A 4POS 7.92MM</t>
  </si>
  <si>
    <t>CONN HEADER R/A 3POS 7.92MM</t>
  </si>
  <si>
    <t>CAP ALUM POLY 330UF 63V T/H</t>
  </si>
  <si>
    <t>DC DC CONVERTER 5-28V 300W</t>
  </si>
  <si>
    <t>GDT 350V 20KA 3 POLE TH</t>
  </si>
  <si>
    <t>RES 2 OHM 5% 3W AXIAL</t>
  </si>
  <si>
    <t>COMMON MODE CHOKE 4MH 11A 2LN TH</t>
  </si>
  <si>
    <t>CONN SOCKET 5POS 0.1 GOLD PCB</t>
  </si>
  <si>
    <t>VARISTOR 510V 22KA RADIAL</t>
  </si>
  <si>
    <t>SENSOR ANALOG -30C-100C TO92-3</t>
  </si>
  <si>
    <t>VARISTOR 470V 22KA RADIAL</t>
  </si>
  <si>
    <t>CONN RCPT HSG 2POS 2.00MM</t>
  </si>
  <si>
    <t>CONN HEADER VERT 7POS 2MM</t>
  </si>
  <si>
    <t>CAP ALUM POLY 330UF 16V T/H</t>
  </si>
  <si>
    <t>CONN PLUG 3POS .156 IN-LINE NATL</t>
  </si>
  <si>
    <t>CAP ALUM 3300UF 20% 35V RADIAL</t>
  </si>
  <si>
    <t>PIN CR1632</t>
  </si>
  <si>
    <t>Connector Header Through Hole 14 position 0.050" (1.27mm)</t>
  </si>
  <si>
    <t>CAP ALUM 4700UF 20% 50V SNAP</t>
  </si>
  <si>
    <t>RES 10 OHM 1% 5W AXIAL</t>
  </si>
  <si>
    <t>CONN HEADER R/A 4POS 2MM</t>
  </si>
  <si>
    <t>CONN HEADER VERT 2POS 2.0MM</t>
  </si>
  <si>
    <t xml:space="preserve">TERMBLOCK 4 POS 45DEG 5.08MM </t>
  </si>
  <si>
    <t>Housing  VH3.96 Đầu VH-2Y Cái 3.96mm 3 Chân</t>
  </si>
  <si>
    <t>SWITCHES-SNAP, SPDT, 0.1A, 125V,Right Angle, D2HW-BR211DR</t>
  </si>
  <si>
    <t>CAP-ALUM,SMD; 470uF,20%,50V</t>
  </si>
  <si>
    <t>SWITCH-TOGGLE, SPDT ON-ON, 5A, 120V,Panel Mount, 100SP1T1B1M2QEH</t>
  </si>
  <si>
    <t>SWITCH-PUSHBUTTON, SPST-NO, 3A, 28Vdc,Panel Mount, PC pin,800SP9B5M2QEH</t>
  </si>
  <si>
    <t>RES; 75ohm,2 5W, 5%</t>
  </si>
  <si>
    <t>CONN HDR 3POS 2.00MM SMD SLDR</t>
  </si>
  <si>
    <t>CONN MCX JACK STR 50 OHM PCB</t>
  </si>
  <si>
    <t>CONN HEADER VERT 4POS 2.5MM</t>
  </si>
  <si>
    <t>CAP ALUM,220UF,20%,50V,,RADIAL,THD</t>
  </si>
  <si>
    <t>CONN MCX PLUG R/A 50 OHM CRIMP</t>
  </si>
  <si>
    <t>RES-VR; 10KOHM,LINEAR,300˚, 1/20W, P0915N-EC15BR10K</t>
  </si>
  <si>
    <t>LED-SEGMNT ;10-DIP,Vf 1.7V,5mA,RED,Common Cathode,0.3''</t>
  </si>
  <si>
    <t>CAP ALUM 1200UF 20% 100V SNAP</t>
  </si>
  <si>
    <t>THERM NTC 10KOHM 3984K RING LUG</t>
  </si>
  <si>
    <t>CONN HEADER VERT 4POS 3MM</t>
  </si>
  <si>
    <t>Housing  VH3.96 Đầu VH-2Y Cái 3.96mm 2 Chân</t>
  </si>
  <si>
    <t>TERM BLK 4P SIDE ENT 5.08MM PCB</t>
  </si>
  <si>
    <t>CAP ALUM 2700UF 20% 80V SNAP</t>
  </si>
  <si>
    <t>IGBT Trench Field Stop 600 V 60 A 258 W Through Hole TO-247-3</t>
  </si>
  <si>
    <t>CONN RCPT 18P 0.059 TIN SMD R/A</t>
  </si>
  <si>
    <t>CONN RCPT 16P 0.059 TIN SMD R/A</t>
  </si>
  <si>
    <t>CAP ALUM,22UF,20%,50V,,RADIAL,SMD</t>
  </si>
  <si>
    <t>CABLE-ASSY PICOLOCK 2 CIRCUIT 30</t>
  </si>
  <si>
    <t>NANO-FIT 2 CIRCUIT 300M</t>
  </si>
  <si>
    <t>CONN RCPT HSG 6POS 1.25MM</t>
  </si>
  <si>
    <t>CONN RCPT HSG 10POS 1.25MM</t>
  </si>
  <si>
    <t>Sockets for TO Can Photodiodes</t>
  </si>
  <si>
    <t>CONN RCPT 20POS 0.05 GOLD PCB</t>
  </si>
  <si>
    <t>CONN HOUSING ZH 10POS 1.5MM WHT</t>
  </si>
  <si>
    <t>CONN HOUSING ZH 4POS 1.5MM WHT</t>
  </si>
  <si>
    <t>Conn Unshrouded Header HDR 10 POS 2.54mm Solder ST Top Entry Thru-Hole Bulk</t>
  </si>
  <si>
    <t>CONN HEADER VERT 16POS 2.54MM</t>
  </si>
  <si>
    <t>CONN HEADER SMD 2POS 1MM</t>
  </si>
  <si>
    <t>Headers &amp; Wire Housings VERTICAL HDR 8P</t>
  </si>
  <si>
    <t>CONN RECEPT HOUSING 12 POS 2MM</t>
  </si>
  <si>
    <t>CONN HEADER VERT 6POS 1.5MM</t>
  </si>
  <si>
    <t>MOS-FET;P-CH,55V,31A,TO-220AB,IRF4905PBF</t>
  </si>
  <si>
    <t>CONN HOUSING 6POS 2MM W/LATCH</t>
  </si>
  <si>
    <t>CONN  RECEPT  HOUSING 10 POS 2MM</t>
  </si>
  <si>
    <t>MAX CLIP TO-220/MAX220 LOW-FORCE</t>
  </si>
  <si>
    <t>CONN RECEPT HOUSING 8 POS 2MM</t>
  </si>
  <si>
    <t>CONN RCPT HSG 4POS 2.00MM</t>
  </si>
  <si>
    <t>CONN SOCKET 30-26 AWG 2.00MM</t>
  </si>
  <si>
    <t>CONN HOUSING XA 2POS 2.5MM</t>
  </si>
  <si>
    <t>CONN SOCKET 24-30AWG CRIMP TIN</t>
  </si>
  <si>
    <t>CONN-DIP;HEADER,M,14POS,2.0MM,S14B-PUDSS-1(LF)(SN), R/A</t>
  </si>
  <si>
    <t>CONN HEADER VERT 10POS 2.0mm</t>
  </si>
  <si>
    <t>MAGNET 0.236"D X 0.118"THICK CYL</t>
  </si>
  <si>
    <t>CONN HEADER VERT 5POS 2.5MM</t>
  </si>
  <si>
    <t>JUMPER 05SR-3S - 05SR-3S 8"</t>
  </si>
  <si>
    <t>Motor  stepper</t>
  </si>
  <si>
    <t>MOSFET N-CH 300V 72A TO220AB</t>
  </si>
  <si>
    <t>CONN MOD JACK 8P8C R/A SHIELDED</t>
  </si>
  <si>
    <t>CONN RING CIRC 0.5-1MM M3.5</t>
  </si>
  <si>
    <t>Header, 4-Pin</t>
  </si>
  <si>
    <t>CABLE FFC 4POS 0.50MM 3"</t>
  </si>
  <si>
    <t>MICROLOCK PLUS TIN PLATED 300MM</t>
  </si>
  <si>
    <t>CONN RCPT HSG 3POS 2.50MM</t>
  </si>
  <si>
    <t>CONN-DIP;HEADER,M,10POS,2.0MM,S10B-PUDSS-1(LF)(SN), R/A</t>
  </si>
  <si>
    <t>CONN PLUG DUAL 16CKT BEIGE</t>
  </si>
  <si>
    <t>75 0HM MMCX JACK OR</t>
  </si>
  <si>
    <t>6" PRE-CRIMP 1852 BLACK</t>
  </si>
  <si>
    <t>CAP FILM 10000PF 20% 760VDC RAD</t>
  </si>
  <si>
    <t>Cable FFC BOTTOM 20POS 0.50MM R/A</t>
  </si>
  <si>
    <t>3 Rectangular Connectors - Housings Receptacle Black 0.312" (7.92mm)</t>
  </si>
  <si>
    <t>CONN PWR PLUG 2.1X5.5MM SOLDER</t>
  </si>
  <si>
    <t>JUMPER SZH-002T-P0.5 X2 12</t>
  </si>
  <si>
    <t>CONN 20-22AWG CRIMP TIN</t>
  </si>
  <si>
    <t>FUSE;PTC RESETABLE; 6A;30V;Though Hole, 0ZRB0600FF1A</t>
  </si>
  <si>
    <t>CONN PLUG HOUSING 2POS .156</t>
  </si>
  <si>
    <t>0391001802</t>
  </si>
  <si>
    <t>S10B-ZR(LF) (SN)</t>
  </si>
  <si>
    <t>SSQ-106-01-S-D</t>
  </si>
  <si>
    <t>TSW-110-14-G-D</t>
  </si>
  <si>
    <t>5025791000</t>
  </si>
  <si>
    <t>TSW-106-14-G-D</t>
  </si>
  <si>
    <t>U2-032-LE-0.5M</t>
  </si>
  <si>
    <t>ZHR- 2</t>
  </si>
  <si>
    <t>BFC238560103</t>
  </si>
  <si>
    <t>501330-0300</t>
  </si>
  <si>
    <t>DF22R-4P-7.92DS(05)</t>
  </si>
  <si>
    <t>DF22-3P-7.92DS(05)</t>
  </si>
  <si>
    <t>A759PY337M1JAAE042</t>
  </si>
  <si>
    <t>I7C4W012A050V-0F1-R</t>
  </si>
  <si>
    <t>2026-35-C2LF</t>
  </si>
  <si>
    <t>RR03J2R0TB</t>
  </si>
  <si>
    <t>801-47-005-10-012000</t>
  </si>
  <si>
    <t>V25S320P</t>
  </si>
  <si>
    <t>LM61CIZ/LFT2</t>
  </si>
  <si>
    <t>TSW-110-15-G-D</t>
  </si>
  <si>
    <t>V25S300P</t>
  </si>
  <si>
    <t>PAP-02V-S</t>
  </si>
  <si>
    <t>B2B-XH-AM(LF)(SN</t>
  </si>
  <si>
    <t>S07B-PASK-2(LF)(SN)</t>
  </si>
  <si>
    <t>A750KK337M1CAAE014</t>
  </si>
  <si>
    <t>176272-1</t>
  </si>
  <si>
    <t>UBY1V332MHL</t>
  </si>
  <si>
    <t>CR1632</t>
  </si>
  <si>
    <t>S04B-PASK-2(LF)(SN)</t>
  </si>
  <si>
    <t>TFM-107-01-S-D-A-P</t>
  </si>
  <si>
    <t>FSM4JAH</t>
  </si>
  <si>
    <t>380LX472M050J022</t>
  </si>
  <si>
    <t>UB5C-10RF1</t>
  </si>
  <si>
    <t>DF22R-3P-7.92DS(05)</t>
  </si>
  <si>
    <t>SMAW200-04</t>
  </si>
  <si>
    <t>B02B-PASK-(LF)(SN)</t>
  </si>
  <si>
    <t>0510900200</t>
  </si>
  <si>
    <t>D2HW-BR211DR</t>
  </si>
  <si>
    <t>EKYA500ELL471MK20S</t>
  </si>
  <si>
    <t>100SP1T1B1M2QEH</t>
  </si>
  <si>
    <t>800SP9B5M2QEH</t>
  </si>
  <si>
    <t>HSA2575RJ</t>
  </si>
  <si>
    <t>S2B-ZR-SM4A-TF</t>
  </si>
  <si>
    <t>1612898-1</t>
  </si>
  <si>
    <t>ECA-1HHG470I</t>
  </si>
  <si>
    <t>0353120460</t>
  </si>
  <si>
    <t>860010675018</t>
  </si>
  <si>
    <t>MS621FE</t>
  </si>
  <si>
    <t>919-387P-51A</t>
  </si>
  <si>
    <t>P0915N-EC15BR10K</t>
  </si>
  <si>
    <t>HDSP-A103</t>
  </si>
  <si>
    <t>LGY2A122MELB25</t>
  </si>
  <si>
    <t>NTCALUG03A103GC</t>
  </si>
  <si>
    <t>0430450412</t>
  </si>
  <si>
    <t>1017505</t>
  </si>
  <si>
    <t>B41231C0278M000</t>
  </si>
  <si>
    <t>STGW30V60DF</t>
  </si>
  <si>
    <t>503148-1890</t>
  </si>
  <si>
    <t>UPV1H220MGD1TD</t>
  </si>
  <si>
    <t>15131-0203</t>
  </si>
  <si>
    <t>451300203</t>
  </si>
  <si>
    <t>5055650601</t>
  </si>
  <si>
    <t>5054321001</t>
  </si>
  <si>
    <t>MS2B-G</t>
  </si>
  <si>
    <t>502584-0870</t>
  </si>
  <si>
    <t>20021311-00020T4LF</t>
  </si>
  <si>
    <t>ZHR-10</t>
  </si>
  <si>
    <t>ZHR-4</t>
  </si>
  <si>
    <t>TSW-105-15-G-D</t>
  </si>
  <si>
    <t>TSW-108-08-G-D</t>
  </si>
  <si>
    <t>TSW-105-14-G-D</t>
  </si>
  <si>
    <t>BM02B-SRSS-TB(LF)(SN)</t>
  </si>
  <si>
    <t>53047-0810</t>
  </si>
  <si>
    <t>PUDP-12V-S</t>
  </si>
  <si>
    <t>B6B-ZR(LF)(SN)</t>
  </si>
  <si>
    <t>IRF5305PBF</t>
  </si>
  <si>
    <t>1735447-6</t>
  </si>
  <si>
    <t>PUDP-10V-S</t>
  </si>
  <si>
    <t>DRV5023BIQLPGM</t>
  </si>
  <si>
    <t>MAX01NG</t>
  </si>
  <si>
    <t>PUDP-08V-S</t>
  </si>
  <si>
    <t>2CH-H-04</t>
  </si>
  <si>
    <t>2CTDC-R</t>
  </si>
  <si>
    <t>SPUD-002T-P0.5</t>
  </si>
  <si>
    <t>XAP-02V-1</t>
  </si>
  <si>
    <t>B7B-PH-K-S(LF)(SN)</t>
  </si>
  <si>
    <t>1735801-1</t>
  </si>
  <si>
    <t>S14B-PUDSS-1(LF)(SN)</t>
  </si>
  <si>
    <t>B10B-PASK-1(LF)(SN)</t>
  </si>
  <si>
    <t>SXA-01T-P0.6</t>
  </si>
  <si>
    <t>A05SR05SR30K203A</t>
  </si>
  <si>
    <t> 35byj46</t>
  </si>
  <si>
    <t>IXFP72N30X3</t>
  </si>
  <si>
    <t>SS-60000-009</t>
  </si>
  <si>
    <t>CABLE FOR CAMERA</t>
  </si>
  <si>
    <t>1744418-4</t>
  </si>
  <si>
    <t>178497-1</t>
  </si>
  <si>
    <t>AFFC-050-04-076-11</t>
  </si>
  <si>
    <t>1744426-4</t>
  </si>
  <si>
    <t>105307-2203</t>
  </si>
  <si>
    <t>S10B-PUDSS-1(LF)(SN)</t>
  </si>
  <si>
    <t>MMCX7-J-P-GF-ST-TH1</t>
  </si>
  <si>
    <t>RENATA CR1220</t>
  </si>
  <si>
    <t>0500798000-06-B8-D</t>
  </si>
  <si>
    <t>B32911A3103M</t>
  </si>
  <si>
    <t>DF22R-3S-7.92C(28)</t>
  </si>
  <si>
    <t>PP3-002A</t>
  </si>
  <si>
    <t>ASZHSZH28K305</t>
  </si>
  <si>
    <t>105300-2100</t>
  </si>
  <si>
    <t>0ZRB0600FF1A</t>
  </si>
  <si>
    <t>176271-1</t>
  </si>
  <si>
    <t>CONN MOD JACK 8P8C VERT SHIELDED</t>
  </si>
  <si>
    <t>CONN HEADER VERT 6POS 3MM</t>
  </si>
  <si>
    <t>CABLE USB AM TO USB C, USB 2.0 - 2MET (2m)</t>
  </si>
  <si>
    <t>CONN-DIP;HEADER,M,12POS,2.0MM,S12B-PUDSS-1(LF)(SN), R/A</t>
  </si>
  <si>
    <t>FUSE CERM 40A 250VAC 150VDC 3AB</t>
  </si>
  <si>
    <t xml:space="preserve">Trở 10 ohm hàn tay </t>
  </si>
  <si>
    <t>Cầu đấu 2P KF128-2P 5.08mm</t>
  </si>
  <si>
    <t>- Loại đầu kết nối: Male crimp terminals
- Hệ số dẫn điện: 24-28AWG
- Vật liệu: Đồng
- Phủ mạ: Thiếc (tin)
- Tương thích với seri đầu kết nối 502578: Có</t>
  </si>
  <si>
    <t>LED-DIP;1.85V,20mA, 2 LED, RED, WP934EB/2SRD</t>
  </si>
  <si>
    <t>CONN-DIP;HEADER,M,6POS,2MM,1735446-6</t>
  </si>
  <si>
    <t>CAP-ALUM,THROUGH HOLE; 470uF,ESR 490mOHM,20%,35V, Iac,R=460mA</t>
  </si>
  <si>
    <t>CONN-DIP;HEADER,M,2POS,2.5MM,3A,B02B-XASK-1-A(LF)(SN), Though Hole</t>
  </si>
  <si>
    <t>System-On-Modules - SOM K26I SOM</t>
  </si>
  <si>
    <t>Circular MIL Spec Connector TRI-START ALUMINUM</t>
  </si>
  <si>
    <t>CONN-DIP;MAGJACK,1PORT,10/100BASE-TX,ARJM11A1-009-AB-EW2</t>
  </si>
  <si>
    <t>HEAK SINKS, TO-220 TO-126 TO-247, 41.91x30mm,M45165B021000G</t>
  </si>
  <si>
    <t>Module L80-M39</t>
  </si>
  <si>
    <t>RES-SMD;22OHM,1%,0603,1/10W</t>
  </si>
  <si>
    <t>TRANS_BJT;PNP,60V,0.6A,SOT23-3;PMBT2907A,215</t>
  </si>
  <si>
    <t>CAP ALUM 220UF 20% 100V SMD</t>
  </si>
  <si>
    <t>CMC-SMD;120ohm_100MHz,300mA</t>
  </si>
  <si>
    <t>CAP CER 10PF 50V C0G/NPO 0603</t>
  </si>
  <si>
    <t>CAP-CER,SMD;1UF,10%,0603,25V,X5R</t>
  </si>
  <si>
    <t>CAP CER 4.7UF 16V X5R 0805</t>
  </si>
  <si>
    <t>DIODE-SCHOTTKY;40V,5A,Vf 550mV,SMB,SK54B-LTP</t>
  </si>
  <si>
    <t>CAP CER 1000pF 25V C0G/NP0 0603</t>
  </si>
  <si>
    <t>CAP-CER,SMD;22uF,20%,1206,16V,X5R</t>
  </si>
  <si>
    <t>RES SMD 49.9 OHM 1% 1/10W 0603</t>
  </si>
  <si>
    <t>TVS-DIODE;BI-DIR,400W,26V/42.1VC,SMAJ26CA-13-F</t>
  </si>
  <si>
    <t>DIODE-SCHOTTKY;40V,3A,SMA,SS34-HF</t>
  </si>
  <si>
    <t>RES-SMD;330OHM,1%,0603,1/10W</t>
  </si>
  <si>
    <t>IC BATT MONITOR 1CELL 14TDFN</t>
  </si>
  <si>
    <t>RES-SMD;120OHM,1%,0603,1/10W</t>
  </si>
  <si>
    <t>RES-SMD;54.9KOHM,1%,0603,1/10W</t>
  </si>
  <si>
    <t>CAP CER 2.2NF 50V X5R 0603</t>
  </si>
  <si>
    <t>CAP CER 0603 22NF 50V X7R</t>
  </si>
  <si>
    <t>43045-0412</t>
  </si>
  <si>
    <t>SS-7188VS-A-FLS</t>
  </si>
  <si>
    <t>43045-0627</t>
  </si>
  <si>
    <t>DH-20M50053</t>
  </si>
  <si>
    <t>S12B-PUDSS-1(LF)(SN)</t>
  </si>
  <si>
    <t>0314040.MXP</t>
  </si>
  <si>
    <t>Trở 10 ohm</t>
  </si>
  <si>
    <t>RHT-614-0233</t>
  </si>
  <si>
    <t>2P KF128-2P</t>
  </si>
  <si>
    <t>WP934EB/2SRD</t>
  </si>
  <si>
    <t>1735446-6</t>
  </si>
  <si>
    <t>B41851A7477M8</t>
  </si>
  <si>
    <t>B02B-XASK-1-A(LF)(SN)</t>
  </si>
  <si>
    <t>SM-K26-XCL2GI</t>
  </si>
  <si>
    <t>D38999/26WC4SN</t>
  </si>
  <si>
    <t>ARJM11A1-009-AB-EW2</t>
  </si>
  <si>
    <t>M45165B021000G</t>
  </si>
  <si>
    <t>PMBT2907A,215</t>
  </si>
  <si>
    <t>EEV-FK2A221M</t>
  </si>
  <si>
    <t>CL21B104KBCNNNC</t>
  </si>
  <si>
    <t>SRF2012A-121YA</t>
  </si>
  <si>
    <t>CL21A106KAYNNNE</t>
  </si>
  <si>
    <t>CC0603JRNPO9BN100</t>
  </si>
  <si>
    <t>CL21A475KOFNNNE</t>
  </si>
  <si>
    <t>SK54B-LTP</t>
  </si>
  <si>
    <t>SMAJ26CA-13-F</t>
  </si>
  <si>
    <t>MAX17201G+T</t>
  </si>
  <si>
    <t>0603B222M500CT</t>
  </si>
  <si>
    <t>0603B223M500CT</t>
  </si>
  <si>
    <t>MEMS OSC XO 200.0000MHZ LVDS SMD</t>
  </si>
  <si>
    <t>DC DC CONVERTER 0.6-1.8V</t>
  </si>
  <si>
    <t>TVS DIODE 26.5V 50V SOT23</t>
  </si>
  <si>
    <t>DIODE ARRAY SCHOTTKY 30V SOT-23-3</t>
  </si>
  <si>
    <t>TVS DIODE 60VWM 96.8VC SOD123FL</t>
  </si>
  <si>
    <t>IC TRANSLTR BIDIRECTIONAL 6USON</t>
  </si>
  <si>
    <t>T-3MM BI-COLOR LED 635NM RED/</t>
  </si>
  <si>
    <t>CMC 370mA 2LN 90 OHM SMD</t>
  </si>
  <si>
    <t>CAP CER 100pF 25V X7R 0402</t>
  </si>
  <si>
    <t>RES 49.9R 0.063W 1% 0402</t>
  </si>
  <si>
    <t>CAP CER 1uF 10% 16V x7R 0603</t>
  </si>
  <si>
    <t>RES 6.2k 0.063W 1% 0402</t>
  </si>
  <si>
    <t>RES 15k 0.063W 1% 0402</t>
  </si>
  <si>
    <t>2.2uF ±10%, 25V X5R ceramic_x000D_
capacitors (0402)</t>
  </si>
  <si>
    <t>RES 0.005 OHM 1% 1W 1206</t>
  </si>
  <si>
    <t>Ferrite bead 33 Ohm 04021LN</t>
  </si>
  <si>
    <t>Res smd 33Ohm 1% 1/10W 0402</t>
  </si>
  <si>
    <t>TRIMMER 50K OHM 0.125W J LEAD</t>
  </si>
  <si>
    <t>Cap cer 330pF 50V X7R 0402</t>
  </si>
  <si>
    <t>CAP CER 10000pF 16V X7R 0402</t>
  </si>
  <si>
    <t>RES SMD 4.3K OHM 1% 1/10W 0603</t>
  </si>
  <si>
    <t>Res smd 787kOhm 1% 1/10W 0402</t>
  </si>
  <si>
    <t>CAP CER 100nF 50V X7R 0603</t>
  </si>
  <si>
    <t>LED YLW/GREEN DIFFUSED 0603 SMD</t>
  </si>
  <si>
    <t>Res smd 300kOhm 1% 1/10W 0402</t>
  </si>
  <si>
    <t>Res smd 261kOhm 1% 1/10W 0402</t>
  </si>
  <si>
    <t>Res smd 160kOhm 1% 1/10W 0402</t>
  </si>
  <si>
    <t>CAP CER,47UF,20%,6.3V,X5R,0603,SMD</t>
  </si>
  <si>
    <t>SIT9121AI-2C2-33E200.000000Y</t>
  </si>
  <si>
    <t>LTM4647IY#PBF</t>
  </si>
  <si>
    <t>A6H-2102</t>
  </si>
  <si>
    <t>VCAN26A2-03S-E3-08</t>
  </si>
  <si>
    <t>BAT54SHE3-TP</t>
  </si>
  <si>
    <t>SMF60CA</t>
  </si>
  <si>
    <t>SN74LVC1T45DPKR</t>
  </si>
  <si>
    <t>GRM31CR61A476KE15L</t>
  </si>
  <si>
    <t>EAST1616RGYA0</t>
  </si>
  <si>
    <t>744232090</t>
  </si>
  <si>
    <t>CC0402KR8BB101</t>
  </si>
  <si>
    <t>RMCF0402FT49R9</t>
  </si>
  <si>
    <t>CGA3E1X7R1C105K080AC</t>
  </si>
  <si>
    <t>RMCF0402FT6K20</t>
  </si>
  <si>
    <t>RMCF0402FT15K0</t>
  </si>
  <si>
    <t>GRT155R61E225KE13D</t>
  </si>
  <si>
    <t>CSNL1206FT5L00</t>
  </si>
  <si>
    <t>BLM15PX330SZ1D</t>
  </si>
  <si>
    <t>ERJ-2RKF33R0X</t>
  </si>
  <si>
    <t>3223J-1-503E</t>
  </si>
  <si>
    <t>GCM155R71H331KA37D</t>
  </si>
  <si>
    <t>GRT155R71C103KE01J</t>
  </si>
  <si>
    <t>RC0603FR-074K3L</t>
  </si>
  <si>
    <t>ERJ-2RKF7873X</t>
  </si>
  <si>
    <t>C0603C104K5RACAUTO</t>
  </si>
  <si>
    <t>SML-D12M1WT86</t>
  </si>
  <si>
    <t>ERJ-2RKF3003X</t>
  </si>
  <si>
    <t>ERJ-2RKF2613X</t>
  </si>
  <si>
    <t>ERJ-2RKF1603X</t>
  </si>
  <si>
    <t>GRM188R60J476ME15D</t>
  </si>
  <si>
    <t>IC REG CTRLR PUSH-PULL 16SOIC</t>
  </si>
  <si>
    <t>ADDRESS LED 14 SEGMENT I2C</t>
  </si>
  <si>
    <t>RES,36KR,1%,62.5MW,0402,SMD</t>
  </si>
  <si>
    <t>CAP CER,0.1UF,10%,50V,X7R,0805,SMD</t>
  </si>
  <si>
    <t>CAP CER 4.7UF 16V X5R 0402</t>
  </si>
  <si>
    <t>CAP CER 22UF 100V X7S SMD</t>
  </si>
  <si>
    <t>CAP CER 1nF 50V X5R 0603</t>
  </si>
  <si>
    <t>RES 10R OHM 1% 1/10W 1206</t>
  </si>
  <si>
    <t>RES,2KR,1%,62.5MW,0402,SMD</t>
  </si>
  <si>
    <t>CAP CER,0.1UF,10%,25V,X5R,0201,SMD</t>
  </si>
  <si>
    <t>RES,383KR,1%,62.5MW,0402,SMD</t>
  </si>
  <si>
    <t>RES 60.4K OHM 1% 1/16W 0402</t>
  </si>
  <si>
    <t>RES,17.4KR,1%,62.5MW,0402,SMD</t>
  </si>
  <si>
    <t>RES,78.7KR,1%,62.5MW,0402,SMD</t>
  </si>
  <si>
    <t>RES,28KR,1%,62.5MW,0402,SMD</t>
  </si>
  <si>
    <t>RES,100R,5%,125MW,0805,SMD</t>
  </si>
  <si>
    <t>RES 0.5 OHM 1% 1/2W 1206</t>
  </si>
  <si>
    <t>RES 147K OHM 1% 1/16W 0402</t>
  </si>
  <si>
    <t>BJT PNP 30V 3A SOT89-3 SMD</t>
  </si>
  <si>
    <t>CAP CER,0.1UF,10%,6.3V,X5R,0201,SMD</t>
  </si>
  <si>
    <t>RES,8.25KR,1%,62.5MW,0402,SMD</t>
  </si>
  <si>
    <t>RES 41.2K OHM 1% 1/16W 0402</t>
  </si>
  <si>
    <t>RES 360 OHM 1% 1/16W 0402</t>
  </si>
  <si>
    <t>THERMISTOR NTC 10KOHM 3984K BEAD</t>
  </si>
  <si>
    <t>CONN HDR 14POS 0.1 STACK SMD</t>
  </si>
  <si>
    <t>CAP CER,680PF,10%,50V,X7R,0402,SMD</t>
  </si>
  <si>
    <t>BJT NPN 30V 3A SOT89-3 SMD</t>
  </si>
  <si>
    <t>RES 47 OHM 5% 1W 2512</t>
  </si>
  <si>
    <t>RES,33R,1%,50MW,0201,SMD</t>
  </si>
  <si>
    <t>DIODE ZENER 10V 500MW SOD80C</t>
  </si>
  <si>
    <t>RES,41.2KR,1%,62.5MW,0402,SMD</t>
  </si>
  <si>
    <t>RES 0 OHM JUMPER 1/8W 0402</t>
  </si>
  <si>
    <t>RES SMD 1M OHM 1/10W 0402</t>
  </si>
  <si>
    <t>5031540890</t>
  </si>
  <si>
    <t>SG3525</t>
  </si>
  <si>
    <t>HT16K33</t>
  </si>
  <si>
    <t>RMCF0402FT36K0</t>
  </si>
  <si>
    <t>CC0805KPX7R9BB104</t>
  </si>
  <si>
    <t>CC0402MRX5R7BB475</t>
  </si>
  <si>
    <t>ECS-80-10-33-CHN-TR3</t>
  </si>
  <si>
    <t>CKG57NX7S2A226M500JH</t>
  </si>
  <si>
    <t>0603B102M500CT</t>
  </si>
  <si>
    <t>RT1206FRE0710RL</t>
  </si>
  <si>
    <t>RMCF0402FT2K00</t>
  </si>
  <si>
    <t>RNCP0805FTD750R</t>
  </si>
  <si>
    <t>GRM033R61E104KE14J</t>
  </si>
  <si>
    <t>RMCF0402FT383K</t>
  </si>
  <si>
    <t>RC0402FR-0760K4L</t>
  </si>
  <si>
    <t>RMCF0402FT17K4</t>
  </si>
  <si>
    <t>RMCF0402FT78K7</t>
  </si>
  <si>
    <t>RMCF0402FT28K0</t>
  </si>
  <si>
    <t>RMCF0805JT100R</t>
  </si>
  <si>
    <t>RNCP1206FTD1K00</t>
  </si>
  <si>
    <t>RC0402FR-07147KL</t>
  </si>
  <si>
    <t>B772</t>
  </si>
  <si>
    <t>AC0402FR-07200KL</t>
  </si>
  <si>
    <t>0201X104K6R3CT</t>
  </si>
  <si>
    <t>RMCF0402FT8K25</t>
  </si>
  <si>
    <t>RC0402FR-1341K2L</t>
  </si>
  <si>
    <t>RC0402FR-13360RL</t>
  </si>
  <si>
    <t>NTCLE413E2103H400</t>
  </si>
  <si>
    <t>HW-07-10-F-D-510-SM-A</t>
  </si>
  <si>
    <t>GCM155R71H681KA37D</t>
  </si>
  <si>
    <t>D882</t>
  </si>
  <si>
    <t>RMCF2512JT47R0</t>
  </si>
  <si>
    <t>RMCF0201FT33R0</t>
  </si>
  <si>
    <t>ZMM10B</t>
  </si>
  <si>
    <t>RC0402FR-0741K2L</t>
  </si>
  <si>
    <t>ERJ-1GEJ330C</t>
  </si>
  <si>
    <t>HCJ0402ZT0R00</t>
  </si>
  <si>
    <t>ERJ-2RKF1004X</t>
  </si>
  <si>
    <t>CONN HDR 40POS SMD GOLD</t>
  </si>
  <si>
    <t>IC ADC 12BIT SAR SOT23-5</t>
  </si>
  <si>
    <t>CAP CER 2.2UF 16V X5R 0402</t>
  </si>
  <si>
    <t>CAP TANT 330UF 20% 16V 2917</t>
  </si>
  <si>
    <t>CONN RCPT 7POS 0.049 TIN SMD</t>
  </si>
  <si>
    <t>IC COMP GP 1OP SOT23-5</t>
  </si>
  <si>
    <t>RES,261KR,1%,62.5MW,0402,SMD</t>
  </si>
  <si>
    <t>SWITCH TOGGLE 6A 30V</t>
  </si>
  <si>
    <t>SENSOR ANALOG -50C-150C SC70</t>
  </si>
  <si>
    <t>IC REG LIN POS PROG 500MA 10DFN</t>
  </si>
  <si>
    <t>RES 40.2K OHM 1% 1/16W 0402</t>
  </si>
  <si>
    <t>CONN FPC 12POS 0.5MM R/A</t>
  </si>
  <si>
    <t>RES CHP 75R 1% 1/10W 0603 SMD</t>
  </si>
  <si>
    <t>CONN RCPT 4POS 0.049 TIN SMD R/A</t>
  </si>
  <si>
    <t>RES SMD 19.6K OHM 1% 1/16W 0402</t>
  </si>
  <si>
    <t>RES 910K OHM 1% 1/4W 1206</t>
  </si>
  <si>
    <t>RES,715R,1%,62.5MW,0402,SMD</t>
  </si>
  <si>
    <t>RES,100R,5%,50MW,0201,SMD</t>
  </si>
  <si>
    <t>RES,1.21MR,1%,62.5MW,0402,SMD</t>
  </si>
  <si>
    <t>RES 5K OHM 1% 1/16W 0402</t>
  </si>
  <si>
    <t>RES CHP 2.2K 1% 1/10W 0603 SMD</t>
  </si>
  <si>
    <t>RES,470KR,1%,62.5MW,0402,SMD</t>
  </si>
  <si>
    <t>RES 23.2K OHM 1% 1/16W 0402</t>
  </si>
  <si>
    <t>LED ORANGE CLEAR CHIP SMD</t>
  </si>
  <si>
    <t>CAP CER 2.2UF 10% 50V X5R 1206 SMD</t>
  </si>
  <si>
    <t>RES 150 OHM 1% 1/4W 0402</t>
  </si>
  <si>
    <t xml:space="preserve"> 
RES SMD 200K OHM 1% 1/10W 0402</t>
  </si>
  <si>
    <t>DF12NB(5.0)-40DP-0.5V(51)</t>
  </si>
  <si>
    <t>MCP3221A5T-I/OT</t>
  </si>
  <si>
    <t>DF11-2428SC</t>
  </si>
  <si>
    <t>CC0402KRX5R7BB225</t>
  </si>
  <si>
    <t>TAJE337M016RNJ</t>
  </si>
  <si>
    <t>502382-0770</t>
  </si>
  <si>
    <t>TLV1701AIDBVT</t>
  </si>
  <si>
    <t>RMCF0402FT261K</t>
  </si>
  <si>
    <t>MN11B2B3W01</t>
  </si>
  <si>
    <t>LMT84QDCKTQ1</t>
  </si>
  <si>
    <t>LT3045EDD#PBF</t>
  </si>
  <si>
    <t>XF2M-1215-1A</t>
  </si>
  <si>
    <t>ERJ-3EKF75R0V</t>
  </si>
  <si>
    <t>502386-0470</t>
  </si>
  <si>
    <t>CRCW040219K6FKED</t>
  </si>
  <si>
    <t>RC1206FR-07910KL</t>
  </si>
  <si>
    <t>DF12(5.0)-40DP-0.5V(86)</t>
  </si>
  <si>
    <t>GRM155R6YA105KE11D</t>
  </si>
  <si>
    <t>RMCF0402FT715R</t>
  </si>
  <si>
    <t>RMCF0201JT100R</t>
  </si>
  <si>
    <t>RMCF0402FT1M21</t>
  </si>
  <si>
    <t>RC0402FR-075KL</t>
  </si>
  <si>
    <t>AC0603FR-072K2L</t>
  </si>
  <si>
    <t>RMCF0402FT470K</t>
  </si>
  <si>
    <t>RC0402FR-072K7L</t>
  </si>
  <si>
    <t>RC0402FR-0723K2L</t>
  </si>
  <si>
    <t>MCSLPT4644B1PHTR</t>
  </si>
  <si>
    <t>APG1608SEKC/T</t>
  </si>
  <si>
    <t>CGA5L3X5R1H225K160AB</t>
  </si>
  <si>
    <t>ERJ-PA2F1500X</t>
  </si>
  <si>
    <t>ERJ-2RKF2003X</t>
  </si>
  <si>
    <t>EMITTER IR 950NM 100MA RADIAL</t>
  </si>
  <si>
    <t>CRYSTAL 12.0000MHZ 10PF SMD</t>
  </si>
  <si>
    <t>RTC6715 CMOS 5.8GHz Band FM Receiver</t>
  </si>
  <si>
    <t>DIODE ZENER 12V 500MW SOD323F</t>
  </si>
  <si>
    <t>RES ARRAY 4 RES 1K OHM 0804</t>
  </si>
  <si>
    <t>DIODE ZENER 3.12V 500MW SOD323F</t>
  </si>
  <si>
    <t>TVS DIODE 5.5VWM 14VC 2X1SON</t>
  </si>
  <si>
    <t>LED GREEN/RED/YL CLR 4SMD R/A</t>
  </si>
  <si>
    <t>CAP CER 4700PF 50V X7R 0402</t>
  </si>
  <si>
    <t>Capacitor SMD Cer 100nF 10% 16V X5R 0402</t>
  </si>
  <si>
    <t>RES SMD 24.3K OHM 1% 1/16W 0402</t>
  </si>
  <si>
    <t>RES 2.15K OHM 1% 1/16W 0402</t>
  </si>
  <si>
    <t>RES 51K OHM 1% 1/16W 0402</t>
  </si>
  <si>
    <t>RES SMD 27.4K OHM 1% 1/10W 0402</t>
  </si>
  <si>
    <t>RES 18 OHM 5% 1/4W 0402</t>
  </si>
  <si>
    <t>Resistor SMD chip 2.2k Ohm 0.063W 5% 0402</t>
  </si>
  <si>
    <t>RES 1.2M OHM 1% 1/16W 0402</t>
  </si>
  <si>
    <t>RF FILTER BAND PASS 5.55GHZ 0603</t>
  </si>
  <si>
    <t>CAP CER 12PF 50V NP0 0402</t>
  </si>
  <si>
    <t>RES 33 OHM 1% 1/10W 0402 SMD</t>
  </si>
  <si>
    <t>RES 27 OHM 1% 1/16W 0402</t>
  </si>
  <si>
    <t>CAP CER 100PF 25V NP0 0402</t>
  </si>
  <si>
    <t>DIODE ZENER 3.3V 200MW SOD323F</t>
  </si>
  <si>
    <t>Resistor SMD chip 100 Ohm 0.063W 5% 0402</t>
  </si>
  <si>
    <t>RES 31.6K OHM 1% 1/16W 0402</t>
  </si>
  <si>
    <t>RES 90.9K OHM 1% 1/16W 0402</t>
  </si>
  <si>
    <t>SFH4546</t>
  </si>
  <si>
    <t>ABM8G-12.000MHZ-B4Y-T</t>
  </si>
  <si>
    <t>RTC6715A</t>
  </si>
  <si>
    <t>TDZ12J,115</t>
  </si>
  <si>
    <t>YC124-JR-071KL</t>
  </si>
  <si>
    <t>ECS-.327-12.5-34B-TR</t>
  </si>
  <si>
    <t>DDZ3V0BSF-7</t>
  </si>
  <si>
    <t>TPD1E05U06QDPYRQ1</t>
  </si>
  <si>
    <t>APFA3010SURKCGKSYKC</t>
  </si>
  <si>
    <t>GCM155R71H472KA37J</t>
  </si>
  <si>
    <t>CRCW040224K3FKED</t>
  </si>
  <si>
    <t>RC0402FR-072K15L</t>
  </si>
  <si>
    <t>RC0402FR-0751KL</t>
  </si>
  <si>
    <t>ERJ-2RKF2742X</t>
  </si>
  <si>
    <t>ERJ-PA2J180X</t>
  </si>
  <si>
    <t>AC0402FR-073KL</t>
  </si>
  <si>
    <t>RC0402FR-071M2L</t>
  </si>
  <si>
    <t>DEA165550BT-2230C2-H</t>
  </si>
  <si>
    <t>ERJ-U02F33R0X</t>
  </si>
  <si>
    <t>RC0402FR-0727RL</t>
  </si>
  <si>
    <t>04023A101KAT2A</t>
  </si>
  <si>
    <t>MM3Z3V3B</t>
  </si>
  <si>
    <t>RC0402FR-0731K6L</t>
  </si>
  <si>
    <t>RC0402FR-0790K9L</t>
  </si>
  <si>
    <t>FIXED IND 4.7UH 3A 38 MOHM SMD</t>
  </si>
  <si>
    <t>IC BATT PROT LI-ION 1CELL 6WSON</t>
  </si>
  <si>
    <t>CONN HEADER VERT 3POS 1.5MM</t>
  </si>
  <si>
    <t>CAP CER 680PF 50V C0G/NP0 0402</t>
  </si>
  <si>
    <t>CMOS 5.8GHz Band FM Transmitter</t>
  </si>
  <si>
    <t>RES 0.025 OHM 1% 1W 1206</t>
  </si>
  <si>
    <t>FIXED IND 3.3UH 1.05A 250 MOHM</t>
  </si>
  <si>
    <t>Capacitor SMD Cer 33pF 5% 50V NP0 0402</t>
  </si>
  <si>
    <t>NCH 60V 310MA, SOT-323, SMALL SI</t>
  </si>
  <si>
    <t>DIODE SCHOTTKY 40V 3A SOD123W</t>
  </si>
  <si>
    <t>FIXED IND 33NH 120MA 3.8 OHM SMD</t>
  </si>
  <si>
    <t>FIXED IND 1.2NH 250MA 500MOHM SM</t>
  </si>
  <si>
    <t>FIXED IND 820NH 100MA 1.4OHM SMD</t>
  </si>
  <si>
    <t>CAP CER 3.9PF 50V C0G/NP0 0402</t>
  </si>
  <si>
    <t>RES 10 OHM 1% 1/10W 0402 SMD</t>
  </si>
  <si>
    <t>Resistor SMD chip 10k Ohm 0.063W 1% 0402</t>
  </si>
  <si>
    <t>RES 560 OHM 5% 1/16W 0402</t>
  </si>
  <si>
    <t>RES 1.8M OHM 1% 1/16W 0402</t>
  </si>
  <si>
    <t>Resistor SMD chip 1M Ohm 0.063W 5% 0402</t>
  </si>
  <si>
    <t>RES 100K OHM 1% 1/10W 0402</t>
  </si>
  <si>
    <t>RES 220K OHM 1% 1/10W 0402</t>
  </si>
  <si>
    <t>RES 91K OHM 1% 1/16W 0402</t>
  </si>
  <si>
    <t>CAP CER 6PF 50V C0G/NP0 0402</t>
  </si>
  <si>
    <t>0402 10 pF 50 V ±2% Tolerance C0G/NP0 Surface Mount Multilayer Ceramic Capacitor</t>
  </si>
  <si>
    <t>CAP CER 4.7UF 10V X5R 0402</t>
  </si>
  <si>
    <t>CAP CER 6.8PF 50V C0G/NP0 0402</t>
  </si>
  <si>
    <t>RES SMD 200 OHM 1% 1/16W 0402</t>
  </si>
  <si>
    <t>RES SMD 33K OHM 1% 1/10W 0402</t>
  </si>
  <si>
    <t>RES SMD 470 OHM 1% 1/10W 0402</t>
  </si>
  <si>
    <t>RES SMD 12K OHM 5% 1/10W 0402</t>
  </si>
  <si>
    <t>Capacitor SMD Cer 1uF 10% 16V X5R 0402</t>
  </si>
  <si>
    <t>CAP CER 5.6PF 50V C0G/NP0 0402</t>
  </si>
  <si>
    <t>RES 51 OHM 5% 1/16W 0402</t>
  </si>
  <si>
    <t>RES SMD 47K OHM 1% 1/16W 0402</t>
  </si>
  <si>
    <t>RES SMD 22 OHM 1% 1/16W 0402</t>
  </si>
  <si>
    <t>CAP CER 56PF 50V 5% NP0 0402</t>
  </si>
  <si>
    <t>CAP CER 22PF 50V NP0 0402</t>
  </si>
  <si>
    <t>CAP CER 1UF 50V X5R 0402</t>
  </si>
  <si>
    <t>RES 560K OHM 1% 1/16W 0402</t>
  </si>
  <si>
    <t>RES,75R,1%,62.5MW,0402,SMD</t>
  </si>
  <si>
    <t>Capacitor SMD Cer 470nF -20% +80% 16V Y5V 0402</t>
  </si>
  <si>
    <t>RES 0 OHM JUMPER 1A 0402</t>
  </si>
  <si>
    <t>FIXED IND 12NH 130MA 1.9 OHM SMD</t>
  </si>
  <si>
    <t>FIXED IND 10NH 130MA 1.6 OHM SMD</t>
  </si>
  <si>
    <t>FIXED IND 22NH 110MA 2.5 OHM SMD</t>
  </si>
  <si>
    <t>FIXED IND 18NH 110MA 2.2 OHM SMD</t>
  </si>
  <si>
    <t>FIXED IND 6.8NH 200MA 1 OHM SMD</t>
  </si>
  <si>
    <t>FIXED IND 27NH 120MA 3.5 OHM SMD</t>
  </si>
  <si>
    <t>LED 0603 SMD Green 525nm 350mcd 20mA</t>
  </si>
  <si>
    <t>LED 0603 SMD Hyper Red 630nm 220mcd 20mA</t>
  </si>
  <si>
    <t>FIXED IND 1NH 600MA 150MOHM SMD</t>
  </si>
  <si>
    <t>CAP CER 20PF 50V 5% NP0 0402</t>
  </si>
  <si>
    <t>CAP CER 1UF 25V X6S 0402</t>
  </si>
  <si>
    <t>RES 111K OHM 1% 1/16W 0402</t>
  </si>
  <si>
    <t>Res Thick Film 0402 1.2K Ohm 1% 0.1W(1/10W) ±200ppm/C Sulfur Resistant Pad SMD Automotive T/R</t>
  </si>
  <si>
    <t>RES 82 OHM 1% 1/16W 0402</t>
  </si>
  <si>
    <t>CAP CER 22UF 6.3V X6S 0603</t>
  </si>
  <si>
    <t>CAP CER 820PF 50V C0G/NP0 0402</t>
  </si>
  <si>
    <t>SRN6028C-4R7M</t>
  </si>
  <si>
    <t>BQ29704DSER</t>
  </si>
  <si>
    <t>B3B-ZR</t>
  </si>
  <si>
    <t>PCB Cục pin_TX + RX_Video + TX_Video + UVC_Empia</t>
  </si>
  <si>
    <t>RTC6705</t>
  </si>
  <si>
    <t>ERJ-8CWFR025V</t>
  </si>
  <si>
    <t>LQM18PN3R3MGHD</t>
  </si>
  <si>
    <t>EVP-BB4A9B000</t>
  </si>
  <si>
    <t>BSS138WT106</t>
  </si>
  <si>
    <t>PMEG4030ER,115</t>
  </si>
  <si>
    <t>MLG0402Q33NJT000</t>
  </si>
  <si>
    <t>MHQ0402PSA1N2BT000</t>
  </si>
  <si>
    <t>CS160808-R82K</t>
  </si>
  <si>
    <t>RT0402FRE071KL</t>
  </si>
  <si>
    <t>QSCF500Q3R9B1GV001T</t>
  </si>
  <si>
    <t>ERJ-U02F10R0X</t>
  </si>
  <si>
    <t>RC0402JR-07560RL</t>
  </si>
  <si>
    <t>04025C103JAT2A</t>
  </si>
  <si>
    <t>C1608X5R1E106M080AC</t>
  </si>
  <si>
    <t>RC0402FR-071M8L</t>
  </si>
  <si>
    <t>CRCW04021M00JNED</t>
  </si>
  <si>
    <t>ERJ-H2RF1003X</t>
  </si>
  <si>
    <t>RK73H1ETTP2203F</t>
  </si>
  <si>
    <t>RC0402FR-0791KL</t>
  </si>
  <si>
    <t>GRM188R61E475ME11D</t>
  </si>
  <si>
    <t>GRM1555C1H6R0BA01D</t>
  </si>
  <si>
    <t>04025A100GAT2A</t>
  </si>
  <si>
    <t>0402N470J500CT</t>
  </si>
  <si>
    <t>0402ZD475KAT2A</t>
  </si>
  <si>
    <t>GCM1555C1H6R8BA16J</t>
  </si>
  <si>
    <t>RC0402FR-0726K1L</t>
  </si>
  <si>
    <t>CRCW0402200RFKED</t>
  </si>
  <si>
    <t>ERJ-2RKF3302X</t>
  </si>
  <si>
    <t>ERJ-2RKF4700X</t>
  </si>
  <si>
    <t>RK73H1ETTP6812F</t>
  </si>
  <si>
    <t>CL05A105KQ5NNNC</t>
  </si>
  <si>
    <t>GRM1555C1H5R6CA01D</t>
  </si>
  <si>
    <t>RC0402JR-0751RL</t>
  </si>
  <si>
    <t>CRCW040247K0FKED</t>
  </si>
  <si>
    <t>RC0402FR-0722RP</t>
  </si>
  <si>
    <t>GRM1555C1H560JA01D</t>
  </si>
  <si>
    <t>GRM1555C1H220JA01D</t>
  </si>
  <si>
    <t>GRM155R61H105KE05D</t>
  </si>
  <si>
    <t>RC0402FR-07560KL</t>
  </si>
  <si>
    <t>AP2210K-3.3TRG1</t>
  </si>
  <si>
    <t>RC0402FR-0775RL</t>
  </si>
  <si>
    <t>GRM155R61H474KE11D</t>
  </si>
  <si>
    <t>ERJ-H2G0R00X</t>
  </si>
  <si>
    <t>PCB Data_KGM_CONTROL_BOARD_V2.0</t>
  </si>
  <si>
    <t>GRM155R60J106ME05D</t>
  </si>
  <si>
    <t>MHQ0402PSA12NHT000</t>
  </si>
  <si>
    <t>MHQ0402PSA10NHT000</t>
  </si>
  <si>
    <t>MHQ0402PSA22NHT000</t>
  </si>
  <si>
    <t>MHQ0402PSA18NHT000</t>
  </si>
  <si>
    <t>MHQ0402PSA6N8HT000</t>
  </si>
  <si>
    <t>MLG0402Q27NJT000</t>
  </si>
  <si>
    <t>APT1608ZGCK</t>
  </si>
  <si>
    <t>APT1608SURCK</t>
  </si>
  <si>
    <t>MHQ0402PSA1N0BT000</t>
  </si>
  <si>
    <t>GRM1555C1H200JA01D</t>
  </si>
  <si>
    <t>QSCF500Q100G1GV001T</t>
  </si>
  <si>
    <t>GRM155C81E105KE11D</t>
  </si>
  <si>
    <t>BLM15PX121SN1D</t>
  </si>
  <si>
    <t>RN73H1ETTP1113F25</t>
  </si>
  <si>
    <t>ERJ-U02F1201X</t>
  </si>
  <si>
    <t>RC0402FR-0782RL</t>
  </si>
  <si>
    <t>JMK107BC6226MA-T</t>
  </si>
  <si>
    <t>CC0402KRX7R7BB102</t>
  </si>
  <si>
    <t>Ethernet Switch 3 Port 10/100/1000Mbps 64-Pin VQFN Tray</t>
  </si>
  <si>
    <t>IC VREF SERIES 0.75% TSOT23-5</t>
  </si>
  <si>
    <t>CONN FFC FPC 12POS 0.5MM R/A</t>
  </si>
  <si>
    <t>IC OSC PROG TIMER TSOT23-6</t>
  </si>
  <si>
    <t>IC BUF NON-INVERT 5.5V SOT23-5</t>
  </si>
  <si>
    <t>CAP CER 22uF 16V X5R 0805</t>
  </si>
  <si>
    <t>10uF/6.3V</t>
  </si>
  <si>
    <t>RES,3.57KR,1%,62.5MW,0402,SMD</t>
  </si>
  <si>
    <t>RES,60.4R,1%,62.5MW,0402,SMD</t>
  </si>
  <si>
    <t>CAP CER,3.3NF,10%,50V,X7R,0402,SMD</t>
  </si>
  <si>
    <t>100pF ±10%, 16V X7R ceramic_x000D_
capacitors (0402)</t>
  </si>
  <si>
    <t>CAP CER 1uF 35V X5R 0402</t>
  </si>
  <si>
    <t>DIODE SCHOTTKY 70V 70MA 2DFN</t>
  </si>
  <si>
    <t>RES,2.7MR,1%,62.5MW,0402,SMD</t>
  </si>
  <si>
    <t>RES 162K OHM 1% 1/16W 0402</t>
  </si>
  <si>
    <t>5600F ±10%, 25V X7R ceramic_x000D_
capacitors (0402)</t>
  </si>
  <si>
    <t>RES,18.7KR,1%,62.5MW,0402,SMD</t>
  </si>
  <si>
    <t>CAP CER 47PF 50V NP0 0402</t>
  </si>
  <si>
    <t>Res smd 1kOhm 1% 1/10W 0402</t>
  </si>
  <si>
    <t>RES,360R,1%,62.5MW,0402,SMD</t>
  </si>
  <si>
    <t>S25FL256SAGMFNG00</t>
  </si>
  <si>
    <t>KSZ9893RNXI</t>
  </si>
  <si>
    <t>LT6650CS5#TRMPBF</t>
  </si>
  <si>
    <t>XF3M-1215-1B</t>
  </si>
  <si>
    <t>TPL5010DDCR</t>
  </si>
  <si>
    <t>SN74AHC1G126DBVR</t>
  </si>
  <si>
    <t>GRT188R61A106KE13J</t>
  </si>
  <si>
    <t>RMCF0402FT3K57</t>
  </si>
  <si>
    <t>RMCF0402FT60R4</t>
  </si>
  <si>
    <t>C0402C332K5RECAUTO</t>
  </si>
  <si>
    <t>KGM05AR71C101KH</t>
  </si>
  <si>
    <t>GRT155R6YA105KE13D</t>
  </si>
  <si>
    <t>BAS70LP-7B</t>
  </si>
  <si>
    <t>TPD4E05U06DQAR</t>
  </si>
  <si>
    <t>RMCF0402FT2M70</t>
  </si>
  <si>
    <t>RMCF0402FT162K</t>
  </si>
  <si>
    <t>C0402C562K5RACAUTO</t>
  </si>
  <si>
    <t>RMCF0402FT16K5</t>
  </si>
  <si>
    <t>RC0402FR-0718K7L</t>
  </si>
  <si>
    <t>04025A470FAT2A</t>
  </si>
  <si>
    <t>ERJ-2RKF1001X</t>
  </si>
  <si>
    <t>RC0402FR-07360RL</t>
  </si>
  <si>
    <t>IC HOT SWAP CTRLR GP 28HTSSOP</t>
  </si>
  <si>
    <t>CONN FFC FPC 22POS 0.5MM R/A</t>
  </si>
  <si>
    <t>IC TRANSCEIVER 1/1 SOT23-8</t>
  </si>
  <si>
    <t>IC TRANSLTR BIDIRECTIONAL 20VQFN</t>
  </si>
  <si>
    <t>CMC 400MA 2LN 90 OHM SMD</t>
  </si>
  <si>
    <t>CONN RCPT 14POS 0.059 TIN SMD</t>
  </si>
  <si>
    <t>EIA1210, 59VDC, HIGH SURGE 1500A</t>
  </si>
  <si>
    <t>BQFN-72(15x16) DC-DC Power Modules ROHS</t>
  </si>
  <si>
    <t>DIODE TVS,5.07V,9.23V,1-CH,ID,UNI,SOD-323,SMD</t>
  </si>
  <si>
    <t>RES,2.67KR,1%,62.5MW,0402,SMD</t>
  </si>
  <si>
    <t>RES,120R,1%,62.5MW,0402,SMD</t>
  </si>
  <si>
    <t>CONN RCPT 4POS 0.059 TIN SMD</t>
  </si>
  <si>
    <t>CAP CER,1.3NF,5%,50V,C0G/NP0,0402,SMD</t>
  </si>
  <si>
    <t>RES SMD 510 OHM 1% 1/10W 0402</t>
  </si>
  <si>
    <t>CAP CER,4.7PF,0.05PF,50V,C0G/NP0,0402,SMD</t>
  </si>
  <si>
    <t>RES,2.2R,1%,200MW,0603,SMD</t>
  </si>
  <si>
    <t>RES,220R,1%,62.5MW,0402,SMD</t>
  </si>
  <si>
    <t>RES 4.99 OHM 1% 1/16W 0402</t>
  </si>
  <si>
    <t xml:space="preserve"> 
RES 4.7 OHM 5% 1.5W 2512</t>
  </si>
  <si>
    <t>RES 16K OHM 1% 1/16W 0402</t>
  </si>
  <si>
    <t>RES SMD 0 OHM JUMPER 1/10W 1206</t>
  </si>
  <si>
    <t>RES,43.2KR,1%,62.5MW,0402,SMD</t>
  </si>
  <si>
    <t>RES,20KR,1%,62.5MW,0402,SMD</t>
  </si>
  <si>
    <t>CAP CER,12PF,5%,50V,C0G/NP0,0402,SMD</t>
  </si>
  <si>
    <t>RES,249R,1%,62.5MW,0402,SMD</t>
  </si>
  <si>
    <t>RES,240R,1%,62.5MW,0402,SMD</t>
  </si>
  <si>
    <t>RES SMD 13.7K OHM 1% 1/10W 0402</t>
  </si>
  <si>
    <t>RES 30.1K OHM 1% 1/10W 0402</t>
  </si>
  <si>
    <t>LM5066PMHE/NOPB</t>
  </si>
  <si>
    <t>XF3M-2215-1B</t>
  </si>
  <si>
    <t>TCAN332GDCNT</t>
  </si>
  <si>
    <t>TXS0108ERGYR</t>
  </si>
  <si>
    <t>ACM2012-900-2P-T002</t>
  </si>
  <si>
    <t>503154-1490</t>
  </si>
  <si>
    <t>B72530U1450K062</t>
  </si>
  <si>
    <t>LMZ31520RLGT</t>
  </si>
  <si>
    <t>CDSOD323-T05L</t>
  </si>
  <si>
    <t>RMCF0402FT2K67</t>
  </si>
  <si>
    <t>RMCF0402FT120R</t>
  </si>
  <si>
    <t>502584-0460</t>
  </si>
  <si>
    <t>C0402C132J5GAC7867</t>
  </si>
  <si>
    <t>ERJ-2RKF5100X</t>
  </si>
  <si>
    <t>CBR04C479A5GAC</t>
  </si>
  <si>
    <t>RC0603FR-7W2R2L</t>
  </si>
  <si>
    <t>RMCF0402FT220R</t>
  </si>
  <si>
    <t>CRCW04024R99FKED</t>
  </si>
  <si>
    <t>RPC2512JT4R70</t>
  </si>
  <si>
    <t>RC0402FR-0716KL</t>
  </si>
  <si>
    <t>CRCW040243K2FKED</t>
  </si>
  <si>
    <t>RC0402FR-0720KL</t>
  </si>
  <si>
    <t>CC0402JRNPO9BN120</t>
  </si>
  <si>
    <t>RC0402FR-07249RL</t>
  </si>
  <si>
    <t>RC0402FR-07240RL</t>
  </si>
  <si>
    <t>ERJ-2RKF1372X</t>
  </si>
  <si>
    <t>RK73H1ETTP3012F</t>
  </si>
  <si>
    <t>IC EEPROM 2MBIT SPI 10MHZ 8SOIC</t>
  </si>
  <si>
    <t>IC PWR SUPPLY SEQUENCER SOT23-6</t>
  </si>
  <si>
    <t>CONN FFC FPC 15POS 0.5MM R/A</t>
  </si>
  <si>
    <t>CONN FPC 36POS 0.5MM R/A</t>
  </si>
  <si>
    <t>IC GATE NAND 1CH 2-INP SOT23-5</t>
  </si>
  <si>
    <t>PTC RESET FUSE 6V 3A 1812</t>
  </si>
  <si>
    <t xml:space="preserve"> 
RES 5.6K OHM 1% 1/16W 0402</t>
  </si>
  <si>
    <t>RES,80.6R,1%,62.5MW,0402,SMD</t>
  </si>
  <si>
    <t>CAP CER,10NF,10%,16V,X7R,0402,SMD</t>
  </si>
  <si>
    <t>RES,118KR,1%,62.5MW,0402,SMD</t>
  </si>
  <si>
    <t>CAP CER,5.6NF,20%,50V,X7R,0402,SMD</t>
  </si>
  <si>
    <t>CAP CER,22NF,10%,50V,X5R,0402,SMD</t>
  </si>
  <si>
    <t>RES 0 OHM JUMPER 0805</t>
  </si>
  <si>
    <t>Multilayer Ceramic Capacitors MLCC - SMD/SMT KGM05AR51E103KH NEW GLOBAL PN 25V 0.01uF A 581-KGM05AR51E103KH</t>
  </si>
  <si>
    <t>CAP CER,10UF,20%,25V,X5R,0603,SMD</t>
  </si>
  <si>
    <t>RES,34.8KR,1%,62.5MW,0402,SMD</t>
  </si>
  <si>
    <t>RES,4.02KR,1%,62.5MW,0402,SMD</t>
  </si>
  <si>
    <t>RES SMD 47K OHM 1% 1/5W 0402</t>
  </si>
  <si>
    <t>RES 48.1K OHM 0.5% 1/16W 0402</t>
  </si>
  <si>
    <t>RES,32.4KR,1%,62.5MW,0402,SMD</t>
  </si>
  <si>
    <t>CAP CER,1NF,10%,2KV,X7R,1206,SMD</t>
  </si>
  <si>
    <t>RES 43.2K OHM 1% 1/16W 0402</t>
  </si>
  <si>
    <t>CAT25M02VI-GT3</t>
  </si>
  <si>
    <t>SI52112-B5-GM2R</t>
  </si>
  <si>
    <t>LM3880QMF-1AA/NOPB</t>
  </si>
  <si>
    <t>XF3M-1515-1B</t>
  </si>
  <si>
    <t>XF2M-3615-1A</t>
  </si>
  <si>
    <t>SN74LVC1G38DBVR</t>
  </si>
  <si>
    <t>1812L300MR</t>
  </si>
  <si>
    <t>RMCF0402FT5K60</t>
  </si>
  <si>
    <t>RMCF0402FT80R6</t>
  </si>
  <si>
    <t>C0402C103K4RECAUTO</t>
  </si>
  <si>
    <t>RMCF0402FT118K</t>
  </si>
  <si>
    <t>GCM155R71H562MA55D</t>
  </si>
  <si>
    <t>885012005061</t>
  </si>
  <si>
    <t>CGA3E2X7R1H223K080AA</t>
  </si>
  <si>
    <t>CC0603KRX7R0BB104</t>
  </si>
  <si>
    <t>CRGCQ0402F330K</t>
  </si>
  <si>
    <t>WSL080500000ZEA9</t>
  </si>
  <si>
    <t>04023D103KAT2A</t>
  </si>
  <si>
    <t>JMK107ABJ106KA-T</t>
  </si>
  <si>
    <t>C1608X7R1H224K080AB</t>
  </si>
  <si>
    <t>RC0402FR-0734K8L</t>
  </si>
  <si>
    <t>GCM1555C1H150FA16J</t>
  </si>
  <si>
    <t>RC0402FR-074K02L</t>
  </si>
  <si>
    <t>ERJ-PA2F4702X</t>
  </si>
  <si>
    <t>RN73H1ETTP4812D25</t>
  </si>
  <si>
    <t>RC0402FR-0732K4L</t>
  </si>
  <si>
    <t>RC0402FR-0743K2L</t>
  </si>
  <si>
    <t>CONN HEADER SMD R/A 12POS 1MM</t>
  </si>
  <si>
    <t>IC EEPROM 2KBIT I2C 8UFDFPN</t>
  </si>
  <si>
    <t>TVS DIODE 60V 96.8V DO214AB</t>
  </si>
  <si>
    <t>IC TRANSCEIVER FULL 2/2 16TSSOP</t>
  </si>
  <si>
    <t>RES,866KR,1%,62.5MW,0402,SMD</t>
  </si>
  <si>
    <t>DIODE SCHOTTKY,30V,200MA,2-CH,CC,SOT23-3,SMD</t>
  </si>
  <si>
    <t>E-MOSFET N-CH,30V,270MA,1.5R,333MW,SOT323,SMD</t>
  </si>
  <si>
    <t>FERRITE BEAD,120 µOHMS @ 100MHZ,0.075R,1.8A,0402,SMD</t>
  </si>
  <si>
    <t>CONN RCPT 16POS 0.059 TIN SMD</t>
  </si>
  <si>
    <t>CAP CER,10UF,20%,6.3V,X6S,0402,SMD</t>
  </si>
  <si>
    <t>IND,1NH,0.3NH,1A,0.07R,0402,SMD</t>
  </si>
  <si>
    <t>RES SMD 86.6K OHM 1% 1/10W</t>
  </si>
  <si>
    <t>CAP CER,100PF,5%,50V,C0G/NP0,0402,SMD</t>
  </si>
  <si>
    <t>CAP CER 0.1UF 16V X5R 0201</t>
  </si>
  <si>
    <t>RES SMD 12.1K OHM 1% 1/8W 0603</t>
  </si>
  <si>
    <t>CAP CER 1000PF 50V C0G/NP0 0402</t>
  </si>
  <si>
    <t>RES,120R,5%,62.5MW,0402,SMD</t>
  </si>
  <si>
    <t>RES,5.1KR,5%,62.5MW,0402,SMD</t>
  </si>
  <si>
    <t>RES,2.2R,1%,62.5MW,0402,SMD</t>
  </si>
  <si>
    <t>CAP CER,1UF,20%,6.3V,X5R,0201,SMD</t>
  </si>
  <si>
    <t>E-MOSFET N-CH,50V,220MA,3.5R,365MW,SOT23-3,SMD</t>
  </si>
  <si>
    <t>SM12B-SRSS-TB</t>
  </si>
  <si>
    <t>SN74LVC1G07DBVT</t>
  </si>
  <si>
    <t>M34E02-FMC6TG</t>
  </si>
  <si>
    <t>TS3USB30ERSWR</t>
  </si>
  <si>
    <t>5.0SMDJ60A</t>
  </si>
  <si>
    <t>MAX3232ECUE+T</t>
  </si>
  <si>
    <t>RMCF0402FT866K</t>
  </si>
  <si>
    <t>BAT54SLT1G</t>
  </si>
  <si>
    <t>NTS4001NT1G</t>
  </si>
  <si>
    <t>BLM15EX121SN1D</t>
  </si>
  <si>
    <t>GRM155C80J106ME11J</t>
  </si>
  <si>
    <t>LQG15HN1N0S02D</t>
  </si>
  <si>
    <t>ERJ-2RKF8662X</t>
  </si>
  <si>
    <t>EMK063BJ104MP-F</t>
  </si>
  <si>
    <t>MCT06030C1212FP500</t>
  </si>
  <si>
    <t>LMK105BJ225MV-F</t>
  </si>
  <si>
    <t>GRM1555C1H102JA01D</t>
  </si>
  <si>
    <t>RC0402JR-07120RL</t>
  </si>
  <si>
    <t>RC0402JR-075K1L</t>
  </si>
  <si>
    <t>RC0402FR-072R2L</t>
  </si>
  <si>
    <t>JMK063ABJ105MP-F</t>
  </si>
  <si>
    <t>BSS138</t>
  </si>
  <si>
    <t>CAP ALUM 330UF 20% 35V SMD</t>
  </si>
  <si>
    <t>TVS DIODE 5.25V 17V SOT23-6</t>
  </si>
  <si>
    <t>IC REG LINEAR 3.3V 1A 8XDFN</t>
  </si>
  <si>
    <t>STMICROELECTRONICS         LIS331HH             MEMS Accelerometer, 3-Axis, Digital, X, Y, Z,  6g,  12g,  24g, 2.16 V, 3.6 V, LGA</t>
  </si>
  <si>
    <t>CONN FPC 10POS 0.50MM R/A</t>
  </si>
  <si>
    <t>CONN RCPT 2A 3POS 0.059 TIN SMD R/A</t>
  </si>
  <si>
    <t>SOM UltraScale 7EV</t>
  </si>
  <si>
    <t>IC CTLR ON/OFF PUSHBUTT TSOT23-8</t>
  </si>
  <si>
    <t xml:space="preserve"> 
MOSFET P-CH 30V 6.8A 6MICROFET</t>
  </si>
  <si>
    <t>RES ARRAY 8 RES 10K OHM 1506</t>
  </si>
  <si>
    <t>RES SMD 5M OHM 1% 1/10W 0603</t>
  </si>
  <si>
    <t>CONN FPC 6POS 0.5MM R/A</t>
  </si>
  <si>
    <t>100nF+/-10% 16V X7R 0402</t>
  </si>
  <si>
    <t>RES SMD 5.5M OHM 1% 1/10W 0603</t>
  </si>
  <si>
    <t>RES SMD 4.99k OHM 1% 1/10W 0603</t>
  </si>
  <si>
    <t>RES SMD 7.15K OHM 1% 1/10W 0402</t>
  </si>
  <si>
    <t>RES SMD 453 OHM 1% 1/10W 0402</t>
  </si>
  <si>
    <t>SURFACE MOUNT C AND PI FILTER</t>
  </si>
  <si>
    <t>CAP CER,47UF,20%,6.3V,X5R,0805,SMD</t>
  </si>
  <si>
    <t xml:space="preserve"> 
MOSFET P-CH 40V 10.3A PWRDI3333</t>
  </si>
  <si>
    <t>CAP CER 0.015UF 10V X5R 0402</t>
  </si>
  <si>
    <t xml:space="preserve"> 
MOSFET N-CH 30V 14A 8SO</t>
  </si>
  <si>
    <t xml:space="preserve"> 
TRANS NPN 40V 0.6A SOT23-3</t>
  </si>
  <si>
    <t>SWITCH SLIDE DIP SPST 0.1A 6V</t>
  </si>
  <si>
    <t>CAP ALUM POLY 100UF 20% 63V SMD</t>
  </si>
  <si>
    <t>N-Channel 30V 5.3A (Ta) 650mW (Ta) Surface Mount 6-UDFN (1.6x1.6)</t>
  </si>
  <si>
    <t>EEE-HA1V331P</t>
  </si>
  <si>
    <t>USBLC6-4SC6</t>
  </si>
  <si>
    <t>NCP186AMX330TAG</t>
  </si>
  <si>
    <t>LIS331HHTR</t>
  </si>
  <si>
    <t>XF2M-1015-1A</t>
  </si>
  <si>
    <t>502585-0370</t>
  </si>
  <si>
    <t>AM-XZU65-7EV-2I-D3E</t>
  </si>
  <si>
    <t>LTC2955CTS8-2#TRMPBF</t>
  </si>
  <si>
    <t>FDMA530PZ</t>
  </si>
  <si>
    <t>ABM3-12.000MHZ-B2-T</t>
  </si>
  <si>
    <t>EXB2HV103JV</t>
  </si>
  <si>
    <t>GRM21BR61A226ME51L</t>
  </si>
  <si>
    <t>HVC0603T5004FET</t>
  </si>
  <si>
    <t>XF2M-0615-1A</t>
  </si>
  <si>
    <t>CL05B104KO3LNNNC</t>
  </si>
  <si>
    <t>ERJ-2RKF7151X</t>
  </si>
  <si>
    <t>ERJ-2RKF4530X</t>
  </si>
  <si>
    <t>SBSGP5000102MXT</t>
  </si>
  <si>
    <t>CC0805MKX5R5BB476</t>
  </si>
  <si>
    <t>DMP4013LFG-7</t>
  </si>
  <si>
    <t>CL05A105KP5NNNC</t>
  </si>
  <si>
    <t>G125-MS11005M2P</t>
  </si>
  <si>
    <t>C0402C153K8PACTU</t>
  </si>
  <si>
    <t>IRF8714TRPBF</t>
  </si>
  <si>
    <t>MMBT4401-7-F</t>
  </si>
  <si>
    <t>CVS-04TB</t>
  </si>
  <si>
    <t>PCR1J101MCL1GS</t>
  </si>
  <si>
    <t>NTLUS020N03CTAG</t>
  </si>
  <si>
    <t>FUSE BOARD MOUNT 5A 32VDC 1206</t>
  </si>
  <si>
    <t>CONN RCPT 3POS 2.00MM R/A SLDR</t>
  </si>
  <si>
    <t>DC DC CONVERTER 1-16V</t>
  </si>
  <si>
    <t>CAP TANT POLY 10UF 35V 2917</t>
  </si>
  <si>
    <t>DIODE ZENER 3.3V 500MW SOD123</t>
  </si>
  <si>
    <t>CAP CER 10uF 50V X7R 1210</t>
  </si>
  <si>
    <t>CAP CER 22uF 16V X7R 1210</t>
  </si>
  <si>
    <t>FILTER LC 1uF 20A SMD</t>
  </si>
  <si>
    <t>DIODE ZENER 10V 300MW SOD323</t>
  </si>
  <si>
    <t>CONN FPC 40POS 0.50MM R/A</t>
  </si>
  <si>
    <t>TVS Diode 51V 82.4V SMA</t>
  </si>
  <si>
    <t>RES 33R 0.063W 1% 0402</t>
  </si>
  <si>
    <t>Varistor 18V 30A 0603</t>
  </si>
  <si>
    <t>RES SMD 200K OHM 1% 1/10W 0603</t>
  </si>
  <si>
    <t>TVS DIODE 12VWM 19.9VC SOD123FL</t>
  </si>
  <si>
    <t>RES 220R 0.25W 1% 0603</t>
  </si>
  <si>
    <t>CAP CER 100nF 10% 100V X7R 0805</t>
  </si>
  <si>
    <t>Crystal 8.000MHZ 8PF SMD</t>
  </si>
  <si>
    <t>CAP CER 6800pF 16V X7R 0402</t>
  </si>
  <si>
    <t>RES 1M 1/16W 1% 0402</t>
  </si>
  <si>
    <t>RES SMD 62 OHM 1% 1/4W 0603</t>
  </si>
  <si>
    <t>RES 100k 0.063W 1% 0402</t>
  </si>
  <si>
    <t>0469005.WR</t>
  </si>
  <si>
    <t>1612901-1</t>
  </si>
  <si>
    <t>TPSM63606RDLR</t>
  </si>
  <si>
    <t>TCJY106M035R0070E</t>
  </si>
  <si>
    <t>OPA180IDBVR</t>
  </si>
  <si>
    <t>MMSZ5226B-7-F</t>
  </si>
  <si>
    <t>12105C106K4T2A</t>
  </si>
  <si>
    <t>GCM32ER71C226ME19K</t>
  </si>
  <si>
    <t>BNX023-01L</t>
  </si>
  <si>
    <t>ERJ3EKF1000V</t>
  </si>
  <si>
    <t>MM3Z10VST1G</t>
  </si>
  <si>
    <t>XF2M-4015-1A</t>
  </si>
  <si>
    <t>SMAJ51CA</t>
  </si>
  <si>
    <t>RMEF0402FT33R0</t>
  </si>
  <si>
    <t>VC0603K300R011</t>
  </si>
  <si>
    <t>ERJ-3EKF2003V</t>
  </si>
  <si>
    <t>TPSMF4L12A</t>
  </si>
  <si>
    <t>CRGP0603F220R</t>
  </si>
  <si>
    <t>CGA4J2X7R2A104KT0Y0U</t>
  </si>
  <si>
    <t>CGJ2B2X7R1C682K050BA</t>
  </si>
  <si>
    <t>CRCW04021M00FKED</t>
  </si>
  <si>
    <t>ERJ-PA3F62R0V</t>
  </si>
  <si>
    <t>RMCF0402FT100K</t>
  </si>
  <si>
    <t>GRM153R60J105ME15D</t>
  </si>
  <si>
    <t>GCM155R71C104KA55J</t>
  </si>
  <si>
    <t>IC TRANSCEIVER RS485 3.3V 8-SOIC</t>
  </si>
  <si>
    <t>IC TRNSLTR BIDIRECTIONAL 24TSSOP</t>
  </si>
  <si>
    <t>CAP CER 10uF 16V X7R 1206</t>
  </si>
  <si>
    <t>MOSFET P-CH 80V 28A PPAK SO-8</t>
  </si>
  <si>
    <t>IC INVERTER SCHMITT 2CH SC70-6</t>
  </si>
  <si>
    <t>IC GATE AND 4CH 2-INP 14TSSOP</t>
  </si>
  <si>
    <t>MOSFET P-CH 100V 37.1A TO252</t>
  </si>
  <si>
    <t>CAP TANT POLY 1500uF 6.3V 2924</t>
  </si>
  <si>
    <t>DIODE SCHOTTKY BARRIER DIODE</t>
  </si>
  <si>
    <t>IC REG LINEAR 1.2V 1A SOT23-5</t>
  </si>
  <si>
    <t xml:space="preserve">STM32F103RCT6, IC MCU 32BIT 256KB FLASH 64LQFP </t>
  </si>
  <si>
    <t>Trans MOSFET N-CH 25V 19A 8-Pin SON EP T/R</t>
  </si>
  <si>
    <t>MOSFET N-CH 60V 310MA SOT323</t>
  </si>
  <si>
    <t>IC BATT PROT LI-ION 1-CELL SOT26</t>
  </si>
  <si>
    <t>DIODE ARRAY SCHOTTKY 30V SOT23</t>
  </si>
  <si>
    <t>TVS Diode 24V 70V SOT23</t>
  </si>
  <si>
    <t>TVS DIODE 5.5VWM 8VC SOT23-3</t>
  </si>
  <si>
    <t>Conn rcpt 3 pos 0.1 gold pcb</t>
  </si>
  <si>
    <t>CMC 300MA 2LN 90 OHM SMD</t>
  </si>
  <si>
    <t>RES 390R 0.25W 1% 0603</t>
  </si>
  <si>
    <t>Varistor 8.2V 30A 0603</t>
  </si>
  <si>
    <t>CAP TANT POLY 330UF 6.3V 1411</t>
  </si>
  <si>
    <t>CAP CER 22pF 50V X7R 0402</t>
  </si>
  <si>
    <t>CAP CER 22uF 6.3V X5R 0603</t>
  </si>
  <si>
    <t>TVS Diode 6V 10.3V SOD123FL</t>
  </si>
  <si>
    <t>RES 10k 0.063W 1% 0402</t>
  </si>
  <si>
    <t>RES 100R 0.063W 1% 0402</t>
  </si>
  <si>
    <t>CAP CER 100pF 50V X7R 0402</t>
  </si>
  <si>
    <t>CAP CER 2.2UF 10V X6S 0402</t>
  </si>
  <si>
    <t>CAP CER 8pF 50V NP0 C0402</t>
  </si>
  <si>
    <t>CAP CER,0.47UF,20%,10V,X5R,0201,SMD</t>
  </si>
  <si>
    <t>RES SMD 2K OHM 1% 1/16W 0402</t>
  </si>
  <si>
    <t>CAP CER 470PF 50V X7R 0402</t>
  </si>
  <si>
    <t>MOSFET N-CH 150V 195A D2PAK</t>
  </si>
  <si>
    <t>CAP-CER,SMD;2.2uF,±10%,0402,35V,X5R</t>
  </si>
  <si>
    <t>RES-SMD;300KOHM,1%,0402,1/10W</t>
  </si>
  <si>
    <t>RES 10.5 kohm,- 0.1%, 75 V 0603</t>
  </si>
  <si>
    <t>RES 1k 0.063W 1% 0402</t>
  </si>
  <si>
    <t>DIODE SCHOT 60V 30MA SOD80</t>
  </si>
  <si>
    <t>RES SMD 2.7K OHM 1% 1/10W 0402</t>
  </si>
  <si>
    <t>Res Thick Film 0402 330 Ohm 1% 0.1W(1/10W) +/-100ppm/C Molded SMD Automotive Punched T/R</t>
  </si>
  <si>
    <t>SN65HVD11QDR</t>
  </si>
  <si>
    <t>SN74LVC8T245QPWRQ1</t>
  </si>
  <si>
    <t>GCM31CR71C106KA64L</t>
  </si>
  <si>
    <t>SI7469DP-T1-E3</t>
  </si>
  <si>
    <t>NC7WZ14P6X</t>
  </si>
  <si>
    <t>74HC08PW,118</t>
  </si>
  <si>
    <t>IXTA120P065T</t>
  </si>
  <si>
    <t>T520H158M006ATE055</t>
  </si>
  <si>
    <t>RB706D-40FHT146</t>
  </si>
  <si>
    <t>TLV75712PDBVR</t>
  </si>
  <si>
    <t>STM32F103RCT6</t>
  </si>
  <si>
    <t>CSD16406Q3</t>
  </si>
  <si>
    <t>2N7002BKW,115</t>
  </si>
  <si>
    <t>AP9101CK6-AYTRG1</t>
  </si>
  <si>
    <t>BAT54A-HE3-08</t>
  </si>
  <si>
    <t>PESD1CAN,215</t>
  </si>
  <si>
    <t>TPD2E009DBZR</t>
  </si>
  <si>
    <t>SSW-103-01-F-S</t>
  </si>
  <si>
    <t>CL21B105KBFNNNG</t>
  </si>
  <si>
    <t>ACM2012D-900-2P-T00</t>
  </si>
  <si>
    <t>CRGP0603F390R</t>
  </si>
  <si>
    <t>V5.5MLA0603NHAUTO</t>
  </si>
  <si>
    <t>T520B337M006ATE040</t>
  </si>
  <si>
    <t>C0402C220K5RAC7867</t>
  </si>
  <si>
    <t>GRM188R60J226MEA0D</t>
  </si>
  <si>
    <t>TPSMF4L6.0A</t>
  </si>
  <si>
    <t>RMCF0402FT10K0</t>
  </si>
  <si>
    <t>RMCF0402FT100R</t>
  </si>
  <si>
    <t>C0402C101K5RACAUTO</t>
  </si>
  <si>
    <t>C1005X6S1A225K050BC</t>
  </si>
  <si>
    <t>CGA2B2C0G1H080D050BA</t>
  </si>
  <si>
    <t>C0603X5R1A474M030BC</t>
  </si>
  <si>
    <t>CRCW04022K00FKED</t>
  </si>
  <si>
    <t>GRM155R71H471KA01D</t>
  </si>
  <si>
    <t>IRFS4115TRLPBF</t>
  </si>
  <si>
    <t>GRM155R61H104KE14J</t>
  </si>
  <si>
    <t>C1005X5R1V225K050BC</t>
  </si>
  <si>
    <t>ERA3AEB1052V</t>
  </si>
  <si>
    <t>RMCF0402FT1K00</t>
  </si>
  <si>
    <t>LL101A-GS08</t>
  </si>
  <si>
    <t>AC0402FR-071ML</t>
  </si>
  <si>
    <t>ERJ-2RKF2701X</t>
  </si>
  <si>
    <t>IC PWR SWITCH N-CHAN 1:1 6LFCSP</t>
  </si>
  <si>
    <t>IC REG BUCK ADJUSTABLE 6A 28QFN</t>
  </si>
  <si>
    <t>IC OPAMP GP 4 CIRCUIT 14SOIC</t>
  </si>
  <si>
    <t>IC REG LINEAR 15V 1A DPAK</t>
  </si>
  <si>
    <t>Red 624nm LED Indication - Discrete 2V 0402 (1005 Metric)</t>
  </si>
  <si>
    <t>Non-Isolated PoL Module DC DC Converter 1 Output 0.97 ~ 18V 2.5A 3.4V - 40V Input</t>
  </si>
  <si>
    <t>MOSFET N-CH 100V 255A SOT1235 SMD</t>
  </si>
  <si>
    <t>CONN RCPT 14POS 0.1 GOLD SMD</t>
  </si>
  <si>
    <t>CAP CER 10UF 63V X7R 1210</t>
  </si>
  <si>
    <t>IC RCVR HDMI 165MHZ LP 64LQFP</t>
  </si>
  <si>
    <t>IC PWR SWITCH P-CHAN 1:1 8WDFN</t>
  </si>
  <si>
    <t>FERRITE BEAD 50 OHM 1206 1LN</t>
  </si>
  <si>
    <t>RES 3k 0.063W 1% 0402</t>
  </si>
  <si>
    <t>CAP CER 47UF 10V X7R 1210</t>
  </si>
  <si>
    <t>RES 300k 0.063W 1% 0402</t>
  </si>
  <si>
    <t>CAP FILM 1000PF 10% 250VDC 1206</t>
  </si>
  <si>
    <t>RES 75k 0.063W 1% 0402</t>
  </si>
  <si>
    <t>RES 10R 0.25W 1% 0603</t>
  </si>
  <si>
    <t>RES 12.4k 0.063W 1% 0402</t>
  </si>
  <si>
    <t>RES 13K OHM 1% 1/16W 0402</t>
  </si>
  <si>
    <t>CAP CER 1uF  6.3V X7R 0603</t>
  </si>
  <si>
    <t>RES 49.9R 0.25W 1% 0603</t>
  </si>
  <si>
    <t>RES 1.5M 0.063W 1% 0402</t>
  </si>
  <si>
    <t>RES 75R 0.1W 1% 0402</t>
  </si>
  <si>
    <t>DIO GEN 75V 150mA SOD323 SMD</t>
  </si>
  <si>
    <t>RES 4.64K OHM 1% 1/16W 0402</t>
  </si>
  <si>
    <t>ADP196ACPZN-01-R7</t>
  </si>
  <si>
    <t>LT8612EUDE#PBF</t>
  </si>
  <si>
    <t>LM224ADR</t>
  </si>
  <si>
    <t>MC7815BDTRKG</t>
  </si>
  <si>
    <t>APG1005SEC/E-T</t>
  </si>
  <si>
    <t>LTM8065EY#PBF</t>
  </si>
  <si>
    <t>A4988SETTR</t>
  </si>
  <si>
    <t>PSMN2R3-100SSEJ</t>
  </si>
  <si>
    <t>HLE-107-02-L-DV-BE-A-K-TR</t>
  </si>
  <si>
    <t>CL32B106KMVNNWE</t>
  </si>
  <si>
    <t>ADV7611BSWZ-P-RL</t>
  </si>
  <si>
    <t>AP22850SH8-7</t>
  </si>
  <si>
    <t>BLM31SN500SZ1L</t>
  </si>
  <si>
    <t>RMCF0402FT3K00</t>
  </si>
  <si>
    <t>GRM32ER71A476ME15L</t>
  </si>
  <si>
    <t>RMCF0402FT300K</t>
  </si>
  <si>
    <t>LDEIA1100KA0N00</t>
  </si>
  <si>
    <t>RMCF0402FT75K0</t>
  </si>
  <si>
    <t>RCA060310R0FKEAHP</t>
  </si>
  <si>
    <t>RMCF0402FT12K4</t>
  </si>
  <si>
    <t>RMCF0402FT13K0</t>
  </si>
  <si>
    <t>CL10B105KQ8NNNC</t>
  </si>
  <si>
    <t>CRCW060349R9FKEAHP</t>
  </si>
  <si>
    <t>MI0603L221R-10</t>
  </si>
  <si>
    <t>0603B223K500CT</t>
  </si>
  <si>
    <t>RMCF0402FT1M50</t>
  </si>
  <si>
    <t>ERA-2AEB1051X</t>
  </si>
  <si>
    <t>RK73H1ETTP75R0F</t>
  </si>
  <si>
    <t>RC0402FR-074K64L</t>
  </si>
  <si>
    <t>Conv DC-DC Single Step Up/Step Down 2.3V 5.5V 20-Pin DSBGA T/R</t>
  </si>
  <si>
    <t>555 Type, Timer/Oscillator (Single) IC 100kHz 8-SOIC</t>
  </si>
  <si>
    <t xml:space="preserve"> 
FIXED IND 6.8UH 9.5A 0.0116OHM</t>
  </si>
  <si>
    <t>CONN RECEPT 40POS 3MM SMD 0.5MM</t>
  </si>
  <si>
    <t>IC REG SWITCHD CAP NEG ADJ 8WSON</t>
  </si>
  <si>
    <t>BATTERY CONTACT SPRING MULTIPLE</t>
  </si>
  <si>
    <t>MOSFET P-CH 30V 11A 8SOIC</t>
  </si>
  <si>
    <t>BATTERY CONTACT SOLID MULTIPLE</t>
  </si>
  <si>
    <t>CAP CER 4.7UF 35V X5R 0603</t>
  </si>
  <si>
    <t>CAP CER 0.1uF 50V X7R 0402</t>
  </si>
  <si>
    <t>CAP CER 0.047UF 50V X7R 0603</t>
  </si>
  <si>
    <t>RES 32.4k 0603</t>
  </si>
  <si>
    <t>RES SMD 6.98K OHM 1% 1/10W 0402</t>
  </si>
  <si>
    <t>RES SMD 105K OHM 1% 1/10W 0402</t>
  </si>
  <si>
    <t>CAP CER 0.47UF 10V X5R 0402</t>
  </si>
  <si>
    <t>RES SMD 39K OHM 1% 1/10W 0603</t>
  </si>
  <si>
    <t>TPS630242YFFT</t>
  </si>
  <si>
    <t>NA555DR</t>
  </si>
  <si>
    <t>744373965068</t>
  </si>
  <si>
    <t>DF12NC(3.0)-40DS-0.5V(51)</t>
  </si>
  <si>
    <t>LM27761DSGR</t>
  </si>
  <si>
    <t>5203</t>
  </si>
  <si>
    <t>AOSP21321</t>
  </si>
  <si>
    <t>5225</t>
  </si>
  <si>
    <t>ERJ-6CWFR010V</t>
  </si>
  <si>
    <t>GRM21BR6YA106ME43L</t>
  </si>
  <si>
    <t>LMK107B7225KA-T</t>
  </si>
  <si>
    <t>GRM155R71H104KE14J</t>
  </si>
  <si>
    <t>ERJ-3EKF1003V</t>
  </si>
  <si>
    <t>CC0603KRX7R9BB473</t>
  </si>
  <si>
    <t>ERJ3EKF1502V</t>
  </si>
  <si>
    <t>ERJ-3EKF3242V</t>
  </si>
  <si>
    <t>ERJ-2RKF6981X</t>
  </si>
  <si>
    <t>ERJ-2RKF1053X</t>
  </si>
  <si>
    <t>CC0402KRX5R6BB474</t>
  </si>
  <si>
    <t>ERJ-3EKF3902V</t>
  </si>
  <si>
    <t>Res SMD 75 Ohm 1% 1/16W 0402</t>
  </si>
  <si>
    <t>RES SMD 383K OHM 1% 1/10W 0402</t>
  </si>
  <si>
    <t>RT0402DRE0775RL</t>
  </si>
  <si>
    <t>GCM188R71E105KA64D</t>
  </si>
  <si>
    <t>ERJ-2RKF3833X</t>
  </si>
  <si>
    <t>RES,330R,1%,62.5MW,0402,SMD</t>
  </si>
  <si>
    <t>SML-LX0603GW-TR</t>
  </si>
  <si>
    <t>CGA2B3X7R1H103K050BB</t>
  </si>
  <si>
    <t>CAP TANT POLY 47UF 35V 2917</t>
  </si>
  <si>
    <t>MOSFET N-CH 30V 3.9A SOT-363</t>
  </si>
  <si>
    <t>RES SMD 3 OHM 1% 1/4W 0603</t>
  </si>
  <si>
    <t>RES SMD 140 OHM 1% 1/10W 0402</t>
  </si>
  <si>
    <t>RES-SMD;1MOHM,1%,0603,1/10W</t>
  </si>
  <si>
    <t>RES 5.1K OHM 1% 1/16W 0402</t>
  </si>
  <si>
    <t>TCJY476M035R0100E</t>
  </si>
  <si>
    <t>SI1416EDH-T1-GE3</t>
  </si>
  <si>
    <t>ERJ-3BQF3R0V</t>
  </si>
  <si>
    <t>UMK107BJ105KA-T</t>
  </si>
  <si>
    <t>ERJ-2RKF1400X</t>
  </si>
  <si>
    <t>CAP TANT POLY 150UF 30V 2917</t>
  </si>
  <si>
    <t>FILTER LC(T) 2200PF SMD</t>
  </si>
  <si>
    <t>MEMS OSC TCXO 32.7680KHZ LVCMOS</t>
  </si>
  <si>
    <t>FIXED IND 5.6NH 1.77A 40MOHM SMD</t>
  </si>
  <si>
    <t>DIODE ZENNER,12V,410MW,1-CH,ID,SOD-123,SMD</t>
  </si>
  <si>
    <t>MOSFET P-CH 30V 18A PPAK 1212-8</t>
  </si>
  <si>
    <t>MOSFET N-CH 20V 800MA SSM</t>
  </si>
  <si>
    <t>RES,37.4R,1%,62.5MW,0402,SMD</t>
  </si>
  <si>
    <t>RES 15K OHM 1% 1/16W 0402</t>
  </si>
  <si>
    <t>RES,750R,1%,62.5MW,0402,SMD</t>
  </si>
  <si>
    <t>RES SMD 499 OHM 1% 1/10W 0402</t>
  </si>
  <si>
    <t>RES 5.6 OHM 1% 1/16W 0402</t>
  </si>
  <si>
    <t>RES SMD 8.25K OHM 1% 1/10W 0402</t>
  </si>
  <si>
    <t>RES 0.01 OHM 1% 1/3W 0402</t>
  </si>
  <si>
    <t>RES SMD 560 OHM 1% 1/10W 0402</t>
  </si>
  <si>
    <t>CAP CER 0.047UF 10V X5R 0201</t>
  </si>
  <si>
    <t>Cap Ceramic 0.1uF 10V X7R 10% Pad SMD 0402 125C T/R</t>
  </si>
  <si>
    <t>RES 68K OHM 1% 1/10W 0603</t>
  </si>
  <si>
    <t>SN65LVDM051PW</t>
  </si>
  <si>
    <t>T59EE157M030C0075</t>
  </si>
  <si>
    <t>NFE31PT222Z1E9L</t>
  </si>
  <si>
    <t>ABM7-8.000MHZ-D2Y-T</t>
  </si>
  <si>
    <t>SIT1552AI-JE-DCC-32.768E</t>
  </si>
  <si>
    <t>LQW15AN5N6G8ZD</t>
  </si>
  <si>
    <t>BZT52-B12_R1_00001</t>
  </si>
  <si>
    <t>SIS413DN-T1-GE3</t>
  </si>
  <si>
    <t>SSM3K56FS,LF</t>
  </si>
  <si>
    <t>RMCF0402FT37R4</t>
  </si>
  <si>
    <t>T520B107M010ATE070</t>
  </si>
  <si>
    <t>RC0402FR-07750RL</t>
  </si>
  <si>
    <t>ERJ-2RKF4990X</t>
  </si>
  <si>
    <t xml:space="preserve"> 
TCJ5477M016R0100E</t>
  </si>
  <si>
    <t>RC0402FR-075R6L</t>
  </si>
  <si>
    <t>ERJ-2RKF8251X</t>
  </si>
  <si>
    <t>LVT04R0100FER</t>
  </si>
  <si>
    <t>CC0402KRX7R9BB121</t>
  </si>
  <si>
    <t>CC0402JRNP09BN270</t>
  </si>
  <si>
    <t>ERJ-2RKF5600X</t>
  </si>
  <si>
    <t xml:space="preserve"> 
CL10A106MP8NNNC</t>
  </si>
  <si>
    <t>GRM033R61A473KE84D</t>
  </si>
  <si>
    <t>CL05B104KP5NNNC</t>
  </si>
  <si>
    <t>RC0603FR-0768KL</t>
  </si>
  <si>
    <t>IC FLASH 256MBIT SPI 133MHZ 16SO</t>
  </si>
  <si>
    <t>IC BATT MONITOR I2C 8-UMAX</t>
  </si>
  <si>
    <t>OSC MEMS 100.000MHZ CMOS SMD</t>
  </si>
  <si>
    <t>TEXAS INSTRUMENTS   LM385M3X-1.2/NOPB.   SHUNT V-REFERENCE, 1.235V, 2%, 3-SOT-23, FULL REEL</t>
  </si>
  <si>
    <t>PWR MGMT BATTERY MGMT</t>
  </si>
  <si>
    <t>CAP TANT POLY 220UF 25V 2924</t>
  </si>
  <si>
    <t>IC SDRAM 2GBIT 800MHZ 96FBGA</t>
  </si>
  <si>
    <t>CAP TANT POLY 330UF 2.5V 1411</t>
  </si>
  <si>
    <t>DUAL CHANNEL 6A LOAD SWITCH</t>
  </si>
  <si>
    <t xml:space="preserve"> 
TRANS PNP ECB -150MA -50V SOT2</t>
  </si>
  <si>
    <t xml:space="preserve"> 
CAP TANT POLY 10UF 6.3V 0805</t>
  </si>
  <si>
    <t>TRANS PNP 40V 0.2A SOT23</t>
  </si>
  <si>
    <t>TRANS NPN 40V 0.2A SOT323</t>
  </si>
  <si>
    <t>RES SMD 332K OHM 1% 1/10W 0402</t>
  </si>
  <si>
    <t>RES SMD 768K OHM 1% 1/10W 0402</t>
  </si>
  <si>
    <t>RES SMD 604 OHM 1% 1/10W 0402</t>
  </si>
  <si>
    <t>MT25QL256ABA8ESF-0SIT</t>
  </si>
  <si>
    <t>DS2745U+T&amp;R</t>
  </si>
  <si>
    <t>ASEM1-100.000MHZ-LC-T</t>
  </si>
  <si>
    <t>LM385M3X-1.2/NOPB</t>
  </si>
  <si>
    <t>TPS2121RUXR</t>
  </si>
  <si>
    <t>TCN4227M025R0100</t>
  </si>
  <si>
    <t>MT41K128M16JT-125 AIT:K</t>
  </si>
  <si>
    <t>T55B337M2R5C0025</t>
  </si>
  <si>
    <t>MAX485CSA+</t>
  </si>
  <si>
    <t xml:space="preserve"> 
2SA1015</t>
  </si>
  <si>
    <t>T55P106M6R3C0200</t>
  </si>
  <si>
    <t>MMBT3906,215</t>
  </si>
  <si>
    <t>MMBT3904WT1G</t>
  </si>
  <si>
    <t>CC0402JRNP09BN220</t>
  </si>
  <si>
    <t>ERJ-2RKF3323X</t>
  </si>
  <si>
    <t>ERJ-2RKF7683X</t>
  </si>
  <si>
    <t>ERJ-2RKF6040X</t>
  </si>
  <si>
    <t>5- to 85-MHz, 24-Bit Color FPD-Link III Deserializer</t>
  </si>
  <si>
    <t>E-MOSFET N-CH,60V,115MA,7.5R,200MW,SOT23-3,SMD</t>
  </si>
  <si>
    <t>CONN PLUG FMALE 7POS GOLD SOLDER</t>
  </si>
  <si>
    <t>FIXED IND 15UH 90MA 3 OHM SMD</t>
  </si>
  <si>
    <t>TRANS NPN 40V 0.2A SOT23-3</t>
  </si>
  <si>
    <t>FIXED IND 1UH 9.6A 14.6MOHM SM</t>
  </si>
  <si>
    <t>CONN RCPT HSG 8POS 2.50MM</t>
  </si>
  <si>
    <t>CAP TANT POLY 10UF 10V 1206</t>
  </si>
  <si>
    <t>CAP TANT POLY 33UF 6.3V 1411</t>
  </si>
  <si>
    <t>PANASONIC ELECTRONIC COMPONENTS - EXC-24CS900U - FILTER, COMMON MODE, 90R, 0.1A, SMD</t>
  </si>
  <si>
    <t>CAP CER,33UF,20%,6.3V,X5R,0805,SMD</t>
  </si>
  <si>
    <t>CAP CER,16PF,5%,50V,C0G/NP0,0402,SMD</t>
  </si>
  <si>
    <t>RES,105R,1%,62.5MW,0402,SMD</t>
  </si>
  <si>
    <t>CAP CER,1NF,10%,50V,X7R,0402,SMD</t>
  </si>
  <si>
    <t>CAP CER 2.2UF 10V X7S 0402</t>
  </si>
  <si>
    <t>FIXED IND 470NH 4.8A 33 MOHM SMD</t>
  </si>
  <si>
    <t>RES 26.1K OHM 1% 1/10W 0603</t>
  </si>
  <si>
    <t>RES,49.9R,0.1%,62.5MW,0402,SMD</t>
  </si>
  <si>
    <t>CAP CER 4.7uF 6.3V X7R 0603</t>
  </si>
  <si>
    <t>RES SMD 560K OHM 1% 1/10W 0402</t>
  </si>
  <si>
    <t>RES SMD 324K OHM 1% 1/10W 0402</t>
  </si>
  <si>
    <t>CAP CER 0.15UF 10V X5R 0402</t>
  </si>
  <si>
    <t>RES SMD 8.06K OHM 1% 1/10W 0402</t>
  </si>
  <si>
    <t>Resistor; Thick Film; Res 66.5 Kilohms; Pwr-Rtg 0.1 W; Tol 1%; SMT; 0402; Tape &amp; Reel</t>
  </si>
  <si>
    <t>DS90UB926QSQE/NOPB</t>
  </si>
  <si>
    <t>T55B337M2R5C0045</t>
  </si>
  <si>
    <t>SCE2-B-76A06-07SN-001</t>
  </si>
  <si>
    <t>LQH31MN150K03L</t>
  </si>
  <si>
    <t>XAL4020-102MEC</t>
  </si>
  <si>
    <t>XHP-8</t>
  </si>
  <si>
    <t>T520A106M010ATE080</t>
  </si>
  <si>
    <t>T520B336M006ATE040</t>
  </si>
  <si>
    <t>EXC-24CS900U</t>
  </si>
  <si>
    <t>C2012X5R0J336M125AC</t>
  </si>
  <si>
    <t>GCM1555C1H160JA16D</t>
  </si>
  <si>
    <t>RC0402FR-07105RL</t>
  </si>
  <si>
    <t>UMK105B7102KV-F</t>
  </si>
  <si>
    <t>GRM155C71A225KE11D</t>
  </si>
  <si>
    <t>DFE201612P-R47M=P2</t>
  </si>
  <si>
    <t>RC0603FR-0721KL</t>
  </si>
  <si>
    <t>RT0402BRD0749R9L</t>
  </si>
  <si>
    <t>CL10B475KQ8NQNC</t>
  </si>
  <si>
    <t>ERJ-2RKF5603X</t>
  </si>
  <si>
    <t>ERJ-2RKF3243X</t>
  </si>
  <si>
    <t>GRM155R61A154KE19D</t>
  </si>
  <si>
    <t>ERJ-2RKF8061X</t>
  </si>
  <si>
    <t>ERJ-2RKF6652X</t>
  </si>
  <si>
    <t>CAP ALUMHYB 100UF 20% 50V SMD</t>
  </si>
  <si>
    <t>MOSFET P-CH 20V 5A SOT23-3L</t>
  </si>
  <si>
    <t>Board to Board &amp; Mezzanine Connectors 0.635 mm AcceleRate HD High-Density 4-Row Terminal</t>
  </si>
  <si>
    <t>RES SMD 4.75K OHM 1% 1/10W 0402</t>
  </si>
  <si>
    <t>RES SMD 75 OHM 1% 1/16W 0402</t>
  </si>
  <si>
    <t xml:space="preserve"> 
RES SMD 23.7K OHM 1% 1/10W 0402</t>
  </si>
  <si>
    <t>EEHZC1H101P</t>
  </si>
  <si>
    <t>AO3415A</t>
  </si>
  <si>
    <t>ADM6-60-01.5-L-4-2-A-TR</t>
  </si>
  <si>
    <t>ERJ-2RKF4751X</t>
  </si>
  <si>
    <t>PFR05S-750-FNH</t>
  </si>
  <si>
    <t>ERJ-2RKF2372X</t>
  </si>
  <si>
    <t>GRM188R61A106KE9D</t>
  </si>
  <si>
    <t>CRCW040249R9FKED</t>
  </si>
  <si>
    <t>PICOBLADE 10 CIRCUIT 450MM</t>
  </si>
  <si>
    <t>CAP FILM 4700PF 250VAC RADIAL</t>
  </si>
  <si>
    <t>GDT 150V 20KA 3 POLE TH</t>
  </si>
  <si>
    <t>CONN HEADER 2POS 3MM RT ANG TIN</t>
  </si>
  <si>
    <t>CAP CER 1000PF 2KV X7R RADIAL</t>
  </si>
  <si>
    <t>RJ45 1X1 Ra Con, Gy, No Emi Thr, Tr</t>
  </si>
  <si>
    <t>Varistor 68V 1.5KA Disc 10MM</t>
  </si>
  <si>
    <t>FUSE BRD MNT 7.5A 350VAC 125VDC</t>
  </si>
  <si>
    <t>CONN HEADER R/A 4POS 3MM</t>
  </si>
  <si>
    <t>VARISTOR 68V 5KA DISC 20MM</t>
  </si>
  <si>
    <t>CONN HEADER VERT 2POS 7.92MM</t>
  </si>
  <si>
    <t>CONN 24-28AWG CRIMP GOLD</t>
  </si>
  <si>
    <t>01000</t>
  </si>
  <si>
    <t>2026-15-C2LF</t>
  </si>
  <si>
    <t>0430450200</t>
  </si>
  <si>
    <t>C330C102KGR5TA</t>
  </si>
  <si>
    <t>E5J88-41LHS4-LT</t>
  </si>
  <si>
    <t>044607.5ZRP</t>
  </si>
  <si>
    <t>43045-0400</t>
  </si>
  <si>
    <t>V82ZA20P</t>
  </si>
  <si>
    <t>MCX-J-P-H-ST-TH1</t>
  </si>
  <si>
    <t>B8B-XH-A(LF)(SN)</t>
  </si>
  <si>
    <t xml:space="preserve"> DF22-3P-7.92DS(53)</t>
  </si>
  <si>
    <t>DF22R-2P-7.92DSA(05)</t>
  </si>
  <si>
    <t>502579-1100</t>
  </si>
  <si>
    <t>CAP CER 0.068UF 10V X5R 0402</t>
  </si>
  <si>
    <t xml:space="preserve"> 
RES SMD 31.6KOHM 0.1% 1/16W 0402</t>
  </si>
  <si>
    <t>Res smd 51kOhm 1% 1/10W 0402</t>
  </si>
  <si>
    <t>RES SMD 240 OHM 1% 1/10W 0402</t>
  </si>
  <si>
    <t>C0402C683K8PACTU</t>
  </si>
  <si>
    <t>RG1005P-3162-B-T5</t>
  </si>
  <si>
    <t>GCM155R71H104KE02D</t>
  </si>
  <si>
    <t>ERJ-2RKF5102X</t>
  </si>
  <si>
    <t>ERJ-2RKF2400X</t>
  </si>
  <si>
    <t>RES 100K OHM 1% 1/4W 0805</t>
  </si>
  <si>
    <t>ROTARY SWITCHES, SP12T,Adj 2-12 Position, 0.2A, 115VAC, 56DP30-01-1-AJS</t>
  </si>
  <si>
    <t>RK73H2ATTD1003F</t>
  </si>
  <si>
    <t>56DP30-01-1-AJN</t>
  </si>
  <si>
    <t>IC SDIO PORT EXPANDER 24WQFN</t>
  </si>
  <si>
    <t>CLIK-MATE1.5 DRVT SMT AU0.1 ETP</t>
  </si>
  <si>
    <t>CONN RCPT 8POS 0.059 TIN SMD R/A</t>
  </si>
  <si>
    <t>IC TXRX FULL/HALF 4/4 48QFN</t>
  </si>
  <si>
    <t>3-AXIS DIGITAL COMPASS SOLUTION</t>
  </si>
  <si>
    <t>CRYSTAL 24.0000MHZ 8PF SMD</t>
  </si>
  <si>
    <t>IC PB ON/OFF CONTROLLER TSOT23-8</t>
  </si>
  <si>
    <t>CAP CER 22UF 25V X6S 1206</t>
  </si>
  <si>
    <t>FILTER 40VDC 20A PCB MOUNT</t>
  </si>
  <si>
    <t>RES CHP 3.6K 1% 1/10W 0603 SMD</t>
  </si>
  <si>
    <t>IC GATE DRVR HIGH-SIDE 16MSOP</t>
  </si>
  <si>
    <t>CAP CER,1UF,10%,10V,X5R,0402,SMD</t>
  </si>
  <si>
    <t>MOSFET P-CH 60V 27.5A D2PAK</t>
  </si>
  <si>
    <t>IC PWR SWITCH N-CHAN 1:1 10WSON</t>
  </si>
  <si>
    <t>RES,402KR,1%,62.5MW,0402,SMD</t>
  </si>
  <si>
    <t>CAP ALUM,100UF,20%,35V,,RADIAL,SMD</t>
  </si>
  <si>
    <t>RES,45.3KR,1%,62.5MW,0402,SMD</t>
  </si>
  <si>
    <t>RES,3.4KR,1%,62.5MW,0402,SMD</t>
  </si>
  <si>
    <t>RES,300R,5%,62.5MW,0402,SMD</t>
  </si>
  <si>
    <t>RES,33.2KR,1%,62.5MW,0402,SMD</t>
  </si>
  <si>
    <t>RES SMD 7.68K OHM 1% 1/16W 0402</t>
  </si>
  <si>
    <t>DDR4 SODIMM 260P 9.2H STD</t>
  </si>
  <si>
    <t>RES,200KR,1%,50MW,0201,SMD</t>
  </si>
  <si>
    <t>FERRITE BEAD,600 OHMS @ 100MHZ,0.45R,500MA,0603,SMD</t>
  </si>
  <si>
    <t>RES 30.9K OHM 1% 1/16W 0402</t>
  </si>
  <si>
    <t>CAP-CER,SMD;22UF,20%,0603,10V,X5R</t>
  </si>
  <si>
    <t>RES,499R,1%,62.5MW,0402,SMD</t>
  </si>
  <si>
    <t>CAP-CER,SMD;10uF,10%,0805,25V,X5R</t>
  </si>
  <si>
    <t>TXS02612RTWR</t>
  </si>
  <si>
    <t>FS1404-1200-AL</t>
  </si>
  <si>
    <t>2132270810</t>
  </si>
  <si>
    <t>503148-0890</t>
  </si>
  <si>
    <t>KSZ9131RNXI-TR</t>
  </si>
  <si>
    <t>LT3045EDD#TRPBF</t>
  </si>
  <si>
    <t>HMC6343</t>
  </si>
  <si>
    <t>ECS-240-8-37-CKM-TR3</t>
  </si>
  <si>
    <t>LTC2950ITS8-1#TRMPBF</t>
  </si>
  <si>
    <t>GRM31CC81E226ME11L</t>
  </si>
  <si>
    <t>FQB020ADC-N07-S</t>
  </si>
  <si>
    <t>RC0603FR-073K6L</t>
  </si>
  <si>
    <t>LTC7003EMSE#TRPBF</t>
  </si>
  <si>
    <t>NTB25P06T4G</t>
  </si>
  <si>
    <t>TPS22953DSQR</t>
  </si>
  <si>
    <t>RMCF0402FT402K</t>
  </si>
  <si>
    <t>35YXF100MEFC8X11.5</t>
  </si>
  <si>
    <t>RMCF0402FT45K3</t>
  </si>
  <si>
    <t>RMCF0402FT3K40</t>
  </si>
  <si>
    <t>CRCW0402300RJNED</t>
  </si>
  <si>
    <t>RC0402FR-0733K2L</t>
  </si>
  <si>
    <t>AC0402FR-077K68L</t>
  </si>
  <si>
    <t>2309413-1</t>
  </si>
  <si>
    <t>RMCF0201FT200K</t>
  </si>
  <si>
    <t>FBMH1608HL601-T</t>
  </si>
  <si>
    <t>LTST-C191TBKT</t>
  </si>
  <si>
    <t>RMCF0402FT2R70</t>
  </si>
  <si>
    <t>RMCF0402FT30K9</t>
  </si>
  <si>
    <t>RC0402FR-07499RL</t>
  </si>
  <si>
    <t>C0805C106K3PAC7800</t>
  </si>
  <si>
    <t>CAP CER,1NF,10%,50V,X7R,0603,SMD</t>
  </si>
  <si>
    <t>LED YELLOW CLEAR SMD</t>
  </si>
  <si>
    <t>FILTER LC(T) 3300PF SMD</t>
  </si>
  <si>
    <t>IC HUB CTLR USB 2.0 24QFN</t>
  </si>
  <si>
    <t>MOS-FET;N-CH,55V,5.1A,SOT223,IRFL024ZTRPBF</t>
  </si>
  <si>
    <t>RES,100KR,1%,100MW,0603,SMD</t>
  </si>
  <si>
    <t>MOSFET, POWER -30V P-CHANNEL, SO</t>
  </si>
  <si>
    <t>DIODE ZENER 5.1V 350MW SOT23-3</t>
  </si>
  <si>
    <t>BJT NPN,40V,200MA,SOT23-3,SMD</t>
  </si>
  <si>
    <t>CONN RCPT 5POS 0.049 TIN SMD</t>
  </si>
  <si>
    <t>DC DC CONVERTER 0.6V</t>
  </si>
  <si>
    <t>FUSE;PTC RESETABLE,2.6A,12V,1206</t>
  </si>
  <si>
    <t>RES,26.7KR,1%,62.5MW,0402,SMD</t>
  </si>
  <si>
    <t>CMC-SMD;6A, 2LN,1kohm@100MHz, Power Line, DC 14mOhm</t>
  </si>
  <si>
    <t>RES,390KR,1%,62.5MW,0402,SMD</t>
  </si>
  <si>
    <t>RES 10OHM 5% 1W 2512</t>
  </si>
  <si>
    <t>LED-SMD;1.8V,20mA,2.00x 1.25x0.90mm,RED,LH R974-LP-1</t>
  </si>
  <si>
    <t>RES,3KR,1%,100MW,0603,SMD</t>
  </si>
  <si>
    <t>CAP CER,4.7UF,10%,50V,X7R,0805,SMD</t>
  </si>
  <si>
    <t>FERRITE BEAD,120 OHMS @ 100MHZ,0.0013R,700MA,0402,SMD</t>
  </si>
  <si>
    <t>FERRITE BEAD,1 KOHMS @ 100MHZ,0.65R,300MA,0402,SMD</t>
  </si>
  <si>
    <t>DIODE-SCHOTTKY;30V,0.2A,SOT32,BAT54S,235</t>
  </si>
  <si>
    <t>CAP CER,4.7UF,20%,35V,X5R,0603,SMD</t>
  </si>
  <si>
    <t>RES CHP 0R 1/10W 0603 SMD</t>
  </si>
  <si>
    <t>CAP CER,1UF,20%,25V,X5R,0603,SMD</t>
  </si>
  <si>
    <t>RES,3KR,5%,100MW,0603,SMD</t>
  </si>
  <si>
    <t>RES 38.3K OHM 1% 1/16W 0402</t>
  </si>
  <si>
    <t>SMD Chip Resistor, 100 Milliohm, ± 1%, 166 mW, 0402 [1005 Metric], Thick Film, High Power</t>
  </si>
  <si>
    <t>CAP CER,10NF,10%,50V,X7R,0402,SMD</t>
  </si>
  <si>
    <t>CAP CER 120PF,5%,  50V C0G/NP0 0603</t>
  </si>
  <si>
    <t>RES-SMD;33OHM,±5%,0805,1/8W</t>
  </si>
  <si>
    <t>RES,33R,1%,62.5MW,0402,SMD</t>
  </si>
  <si>
    <t>RES-SMD;4.87KOHM,1%,0603,1/10W</t>
  </si>
  <si>
    <t>CGA3E2X7R1H102K080AA</t>
  </si>
  <si>
    <t>LTST-C191KSKT</t>
  </si>
  <si>
    <t>NFE61HT332Z2A9L</t>
  </si>
  <si>
    <t>USB2422T-I/MJ</t>
  </si>
  <si>
    <t>IRFL024ZTRPBF</t>
  </si>
  <si>
    <t>CRCW0603100KFKEA</t>
  </si>
  <si>
    <t>UMK105CG120JV-F</t>
  </si>
  <si>
    <t>CC0603KRX7R0BB471</t>
  </si>
  <si>
    <t>NTMFS002P03P8ZT1G</t>
  </si>
  <si>
    <t>BZT52B10JS-TP</t>
  </si>
  <si>
    <t>MMBT3904-7-F</t>
  </si>
  <si>
    <t>SXT32412FE48-28.63636M</t>
  </si>
  <si>
    <t>502382-0570</t>
  </si>
  <si>
    <t>FS1406-0600-AL</t>
  </si>
  <si>
    <t>RC0402FR-072K8L</t>
  </si>
  <si>
    <t>1206L260/12SLYR</t>
  </si>
  <si>
    <t>RMCF0402FT26K7</t>
  </si>
  <si>
    <t>ACM1211-102-2PL-TL01</t>
  </si>
  <si>
    <t>RC0402FR-075K23L</t>
  </si>
  <si>
    <t>CRCW0402390KFKED</t>
  </si>
  <si>
    <t>RMCF2512JT10R0</t>
  </si>
  <si>
    <t>LH R974-LP-1</t>
  </si>
  <si>
    <t>CRCW06033K00FKEAC</t>
  </si>
  <si>
    <t>C2012X7R1H475K125AE</t>
  </si>
  <si>
    <t>MMZ1005S121HT000</t>
  </si>
  <si>
    <t>BLM15AG102SN1D</t>
  </si>
  <si>
    <t>BAT54S,235</t>
  </si>
  <si>
    <t>GRM188R6YA475ME15D</t>
  </si>
  <si>
    <t>TMK107BJ105MAHT</t>
  </si>
  <si>
    <t>CC0402MRX5R6BB106</t>
  </si>
  <si>
    <t>RC0603JR-073KL</t>
  </si>
  <si>
    <t>RMCF0402FT38K3</t>
  </si>
  <si>
    <t>ERJ-2BSFR10X</t>
  </si>
  <si>
    <t>UMK105B7103KV-F</t>
  </si>
  <si>
    <t>C0603C121J5GACAUTO</t>
  </si>
  <si>
    <t>CC0603KRX5R6BB474</t>
  </si>
  <si>
    <t>RC0805JR-0733RL</t>
  </si>
  <si>
    <t>RC0402FR-0733RL</t>
  </si>
  <si>
    <t>RC0603FR-074K87L</t>
  </si>
  <si>
    <t>DIGITAL RH/TEMP W/FILTER</t>
  </si>
  <si>
    <t>CONN HEADER SMD R/A 2POS 1.25MM</t>
  </si>
  <si>
    <t>LED GRN/YLW CLEAR CHIP SMD</t>
  </si>
  <si>
    <t>Dây Audio 3.5 3C Right Angle</t>
  </si>
  <si>
    <t>Dây Audio 3.5 panel mount 4C</t>
  </si>
  <si>
    <t>PULSE XFMR 1CT:1CT 350UH</t>
  </si>
  <si>
    <t>DUAL VOLTAGE SUPERVISOR</t>
  </si>
  <si>
    <t>ATtiny10-SOT23-6</t>
  </si>
  <si>
    <t>RES,30.1KR,1%,62.5MW,0402,SMD</t>
  </si>
  <si>
    <t>RES 205K OHM 1% 1/16W 0402</t>
  </si>
  <si>
    <t>CAP CER,33NF,10%,50V,X7R,0402,SMD</t>
  </si>
  <si>
    <t>IC TRNSLTR BIDIRECTIONAL SM8</t>
  </si>
  <si>
    <t>CAP CER,20PF,5%,50V,C0G/NP0,0402,SMD</t>
  </si>
  <si>
    <t>RES SMD 9.09KOHM 0.1% 1/16W 0402</t>
  </si>
  <si>
    <t>Lõi lọc Ferrit</t>
  </si>
  <si>
    <t>CAP CER,10UF,20%,10V,X5R,0603,SMD</t>
  </si>
  <si>
    <t>RES CHP 22K 1% 1/10W 0603 SMD</t>
  </si>
  <si>
    <t>CAP CER,18PF,5%,50V,C0G/NP0,0402,SMD</t>
  </si>
  <si>
    <t>RES-SMD;24.9OHM,±1%,2512,2W</t>
  </si>
  <si>
    <t>CONN HEADER SMD R/A 10POS 1MM</t>
  </si>
  <si>
    <t>RES,2KR,5%,62.5MW,0402,SMD</t>
  </si>
  <si>
    <t>CAP CER,220PF,10%,50V,X7R,0402,SMD</t>
  </si>
  <si>
    <t>RES 61.9K OHM 1% 1/16W 0402</t>
  </si>
  <si>
    <t>RES 56.2K OHM 1% 1/16W 0402</t>
  </si>
  <si>
    <t>IC TRANSLTR BIDIRECTIONAL 16UQFN</t>
  </si>
  <si>
    <t>CAP CER,4.7UF,20%,10V,X5R,0402,SMD</t>
  </si>
  <si>
    <t>CAP CER,4.7UF,10%,10V,X5R,0603,SMD</t>
  </si>
  <si>
    <t>CAP CER,22UF,20%,6.3V,X5R,0603,SMD</t>
  </si>
  <si>
    <t>RES,2.7R,1%,100MW,0603,SMD</t>
  </si>
  <si>
    <t>RES,8.66KR,1%,62.5MW,0402,SMD</t>
  </si>
  <si>
    <t>RES,49.9R,1%,62.5MW,0402,SMD</t>
  </si>
  <si>
    <t>RES,60.4KR,1%,62.5MW,0402,SMD</t>
  </si>
  <si>
    <t>CAP CER,4.7UF,20%,6.3V,X5R,0402,SMD</t>
  </si>
  <si>
    <t>SHT45-AD1F-R2</t>
  </si>
  <si>
    <t>SM02B-GHS-TB</t>
  </si>
  <si>
    <t>LTST-C155KGJRKT</t>
  </si>
  <si>
    <t xml:space="preserve">CA-2208 </t>
  </si>
  <si>
    <t xml:space="preserve">10-02845 </t>
  </si>
  <si>
    <t>PT61018PEL</t>
  </si>
  <si>
    <t>MAX16025TE+T</t>
  </si>
  <si>
    <t>ATTINY10-TSHR</t>
  </si>
  <si>
    <t>RMCF0402FT20R0</t>
  </si>
  <si>
    <t>RMCF0402FT30K1</t>
  </si>
  <si>
    <t>PAC1933T-I/JQ</t>
  </si>
  <si>
    <t>RC0402FR-07205KL</t>
  </si>
  <si>
    <t>GCM155R71H333KE02J</t>
  </si>
  <si>
    <t>TXS0102DCTR</t>
  </si>
  <si>
    <t>GCM1555C1H200JA16D</t>
  </si>
  <si>
    <t>ERA-2AEB9091X</t>
  </si>
  <si>
    <t>0443800506</t>
  </si>
  <si>
    <t>LMK107BBJ106MAHT</t>
  </si>
  <si>
    <t>WR06X2202FTL</t>
  </si>
  <si>
    <t>UMK105CG180JV-F</t>
  </si>
  <si>
    <t>CRM2512-FX-24R9ELF</t>
  </si>
  <si>
    <t>2023961007</t>
  </si>
  <si>
    <t>RC0402JR-072KL</t>
  </si>
  <si>
    <t>UMK105B7221KV-F</t>
  </si>
  <si>
    <t>RMCF0402FT61K9</t>
  </si>
  <si>
    <t>RC0402FR-0756K2L</t>
  </si>
  <si>
    <t>SN74AVC4T774RSVR</t>
  </si>
  <si>
    <t>LMK105BBJ475MVLF</t>
  </si>
  <si>
    <t>JMK107BJ226MA-TD</t>
  </si>
  <si>
    <t>GRT155C81A225KE13J</t>
  </si>
  <si>
    <t>RMCF0603FT2R70</t>
  </si>
  <si>
    <t>RC0402FR-078K66L</t>
  </si>
  <si>
    <t>GRT1555C1H220JA02J</t>
  </si>
  <si>
    <t>RMCF0402FT60K4</t>
  </si>
  <si>
    <t>MICRO COAX : AWG# 44 , 42 , 40 , 38 , 36</t>
  </si>
  <si>
    <t>CONN FFC FPC 40POS 0.50MM R/A</t>
  </si>
  <si>
    <t>IC-DRVR;7 SEGMNT 8 DIGIT,24SOIC,-40 TO 85°C,MAX7219EWG+</t>
  </si>
  <si>
    <t>CAP TANT 100UF 10% 25V 2917</t>
  </si>
  <si>
    <t>RES,825KR,1%,100MW,0402,SMD</t>
  </si>
  <si>
    <t>RES,86.6KR,1%,62.5MW,0402,SMD</t>
  </si>
  <si>
    <t>CAP CER 1UF 20% 50V X5R 0603 SMD</t>
  </si>
  <si>
    <t>RES 715 OHM 1% 1/16W 0402</t>
  </si>
  <si>
    <t>FERRITE BEAD 120 OHM 3A 0603 1LN</t>
  </si>
  <si>
    <t>CAP CER 47UF 16V X6S 1210</t>
  </si>
  <si>
    <t>CAP CER,0.1UF,10%,10V,X5R,0201,SMD</t>
  </si>
  <si>
    <t>CONN RCPT 10POS SMD GOLD</t>
  </si>
  <si>
    <t>RES 2.2 OHM 1% 1/16W 0402</t>
  </si>
  <si>
    <t xml:space="preserve"> 1000 pF ±10% 2000V (2kV) Ceramic Capacitor X7R 1206 (3216 Metric)
CAP CER 1000PF 2KV X7R 1206</t>
  </si>
  <si>
    <t>RES SMD 22 OHM 0.5% 1/16W 0402</t>
  </si>
  <si>
    <t>RES SMD 240 OHM 0.5% 1/10W 0402</t>
  </si>
  <si>
    <t>CAP CER 0.1UF 100V X7R 1206</t>
  </si>
  <si>
    <t>RES SMD 75 OHM 0.1% 1/16W 0402</t>
  </si>
  <si>
    <t>CAP CER 330UF 4V X5R 1210</t>
  </si>
  <si>
    <t>RES 1M OHM 1% 1/16W 0402</t>
  </si>
  <si>
    <t>MOS-FET;P-CH,30V,3.8A,65mohm,SOT23-3,DMP3099L-7</t>
  </si>
  <si>
    <t>CAP CER 0.1UF, 10%,  50V X7R 0603</t>
  </si>
  <si>
    <t>MOS-FET;N-CH,60V,190MA,SOT-23,2N7002NXAKR</t>
  </si>
  <si>
    <t>IND-SMD;10uH,Isat5.5A-Ir5.5A,20mOhm</t>
  </si>
  <si>
    <t>IC, IC-RF , 20VFQFN, –40 to 85°C, NRF24L01P-R7</t>
  </si>
  <si>
    <t>FUSE;PTC RESETABLE; Ih1.5A, It 3A;24V;1812</t>
  </si>
  <si>
    <t>FUSE;PTC RESETABLE,0.5A,24V,1206</t>
  </si>
  <si>
    <t>RES-SMD;33OHM,±5%,2512,2W</t>
  </si>
  <si>
    <t>DIODE-SCHOTTKY;60V,5A,SMC,B560C-13-F</t>
  </si>
  <si>
    <t>MOS-FET;P-CH,40V,7.2A,DPAK,DMP4051LK3-13</t>
  </si>
  <si>
    <t>SWITCHES-TACTILE, SPST-NO, 0.05A, 12V, 50000Cycles</t>
  </si>
  <si>
    <t>TVS-DIODE;BI-DIR,400W,6.0VWM/10.3VC,SMA,SMAJ6.0CA-13-F</t>
  </si>
  <si>
    <t>CAP-CER,SMD;0.47uF,10%,0805,100V,X7R</t>
  </si>
  <si>
    <t>CAP CER 33pF, 5%,  25V C0G/NP0 0603</t>
  </si>
  <si>
    <t>FUSE;PTC RESETABLE; 1.1A;33V;1812</t>
  </si>
  <si>
    <t>CAP CER 220PF,5%,  50V C0G/NP0 0603</t>
  </si>
  <si>
    <t>IC, IC REG LINEAR, SOT-223-4, 0 TO 125 °C, LM1117MPX-3.3/NOPB, Fixed Output 3.3V 800mA</t>
  </si>
  <si>
    <t>CONN-DIP;HEADER,M,2POS,3.96MM,R/A,B2PS-VH(LF)(SN)</t>
  </si>
  <si>
    <t>SWITCH-TOGGLE, SPDT ON-ON, 5A, 120V,Panel Mount, 17.45mm, 7101TCWCQE</t>
  </si>
  <si>
    <t>CONN-DIP;HEADER,M,6POS,2.0MM,VERT,B6B-PH-K-S(LF)(SN)</t>
  </si>
  <si>
    <t>CONN-DIP;HEADER,M,8POS,2.0MM,VERT,B8B-PH-K-S(LF)(SN)</t>
  </si>
  <si>
    <t>CONN-DIP;POGO_PIN,M,4POS,2.54MM,823-22-004-10-003101</t>
  </si>
  <si>
    <t>CONN-DIP;HEADER,M,6POS,2.5MM,B6B-XH-A(LF)(SN)</t>
  </si>
  <si>
    <t>TEST_POINT,THROUGH HOLE,BLACK,5011</t>
  </si>
  <si>
    <t>CONN-DIP;HEADER,M,R/A,5POS,2.5MM,S5B-XH-A-1</t>
  </si>
  <si>
    <t>MIC, 20Hz-20kHz Analog Microphone, 3-10V</t>
  </si>
  <si>
    <t>CONN-DIP;HEADER,M,6POS,3.96MM,VERT,B6P-VH-FB-B(LF)(SN)</t>
  </si>
  <si>
    <t>CONN-DIP; USB 2.0 TYPE A, RCPT 8POS R/A,GSB12221LFRSPEU</t>
  </si>
  <si>
    <t>CONN-DIP;HEADER,M,3POS,3.96MM,R/A,B3PS-VH(LF)(SN)</t>
  </si>
  <si>
    <t>CONN-DIP;HEADER,M,6POS,3.96MM,R/A,B6PS-VH(LF)(SN)</t>
  </si>
  <si>
    <t>CONN-DIP;HEADER,M,5POS,3.96MM,VERT,B5P-VH-FB-B(LF)(SN)</t>
  </si>
  <si>
    <t>LED-SEGMNT ;10-DIP,Vf 2.1V,20mA,Red,Common Cathode,0.3''</t>
  </si>
  <si>
    <t>CONN-DIP;HEADER,M,5POS,2.0MM,VERT,B5B-PH-K-S(LF)(SN)</t>
  </si>
  <si>
    <t>CONN-DIP;HEADER,M,4POS,3.96MM,R/A,B4PS-VH(LF)(SN)</t>
  </si>
  <si>
    <t>CONN-DIP;HEADER,M,5POS,3.96MM,RIGHT ANGLE,B5PS-VH(LF)(SN)</t>
  </si>
  <si>
    <t>CONN-DIP;HEADER,M,8POS,3.96MM,R/A,B8PS-VH(LF)(SN)</t>
  </si>
  <si>
    <t>LED-SEGMNT ;14-DIP,Vf 2.2V,20mA,GREEN,Common Cathode,0.4''</t>
  </si>
  <si>
    <t>CONN-DIP;HEADER,M,6POS,2.0MM,R/A,S6B-PH-K-S</t>
  </si>
  <si>
    <t>CONN-DIP;HEADER,M,4POS,3.96MM,VERT,B4P-VH-FB-B(LF)(SN)</t>
  </si>
  <si>
    <t>CAP-ALUM,SMD; 100uF,20%,50V</t>
  </si>
  <si>
    <t>CONN-DIP;HEADER,M,3POS,3.96MM,VERT,B3P-VH-FB-B(LF)(SN)</t>
  </si>
  <si>
    <t>TEST_POINT,THROUGH HOLE,RED,5010</t>
  </si>
  <si>
    <t>CONN-DIP;HEADER,M,2POS,3.96MM,VERT,B2P-VH-FB-B(LF)(SN)</t>
  </si>
  <si>
    <t>USL00-30L-0.4V</t>
  </si>
  <si>
    <t>XF3M-4015-1B</t>
  </si>
  <si>
    <t>MAX7219EWG+T</t>
  </si>
  <si>
    <t>TAJE107K025RNJ</t>
  </si>
  <si>
    <t>BLM15AG601SH1D</t>
  </si>
  <si>
    <t>ERJ-3EKF8253V</t>
  </si>
  <si>
    <t>RMCF0402FT86K6</t>
  </si>
  <si>
    <t>GRT188R61H105ME13D</t>
  </si>
  <si>
    <t>RC0402FR-07715RL</t>
  </si>
  <si>
    <t>BLM18SG121TN1D</t>
  </si>
  <si>
    <t>GRT32EC81C476KE13L</t>
  </si>
  <si>
    <t>GRT033R61A104KE01J</t>
  </si>
  <si>
    <t>BM20B(0.6)-10DS-0.4V(53)</t>
  </si>
  <si>
    <t>KGM15BR71H104KM</t>
  </si>
  <si>
    <t>RMCF0402FT4K70</t>
  </si>
  <si>
    <t>RMCF0402FT2R20</t>
  </si>
  <si>
    <t>KGM05AR71H103MH</t>
  </si>
  <si>
    <t>202R18W102KV4E</t>
  </si>
  <si>
    <t>ERA-2AKD220X</t>
  </si>
  <si>
    <t>RNCF0402DTE240R</t>
  </si>
  <si>
    <t>101X18W104MV4E</t>
  </si>
  <si>
    <t>ERA-2AEB750X</t>
  </si>
  <si>
    <t>GRM32ER60G337ME05L</t>
  </si>
  <si>
    <t>GMC31X5R476M25NT</t>
  </si>
  <si>
    <t>RMCF0402FT1M00</t>
  </si>
  <si>
    <t>IN-S63BT5B</t>
  </si>
  <si>
    <t>GRT155R61E105KE01D</t>
  </si>
  <si>
    <t>2N7002NXAKR</t>
  </si>
  <si>
    <t>SRR1260-100M</t>
  </si>
  <si>
    <t>NRF24L01P-R7</t>
  </si>
  <si>
    <t>0ZCG0150BF2C</t>
  </si>
  <si>
    <t>CRM2512-JW-330ELF</t>
  </si>
  <si>
    <t>B560C-13-F</t>
  </si>
  <si>
    <t>DMP4051LK3-13</t>
  </si>
  <si>
    <t>PTS636 SM50 SMTR LFS</t>
  </si>
  <si>
    <t>SMAJ6.0CA-13-F</t>
  </si>
  <si>
    <t>08051C474KAT2A</t>
  </si>
  <si>
    <t>'GRM32ER71H106KA12L</t>
  </si>
  <si>
    <t>0805W8F680LT5E</t>
  </si>
  <si>
    <t>CC0603JRNPO8BN330</t>
  </si>
  <si>
    <t>0ZCG0110CF2B</t>
  </si>
  <si>
    <t>C0603C221J5GACTU</t>
  </si>
  <si>
    <t>B2PS-VH(LF)(SN)</t>
  </si>
  <si>
    <t>7101TCWCQE</t>
  </si>
  <si>
    <t>B6B-PH-K-S(LF)(SN)</t>
  </si>
  <si>
    <t>B8B-PH-K-S(LF)(SN)</t>
  </si>
  <si>
    <t>823-22-004-10-003101</t>
  </si>
  <si>
    <t>B6B-XH-A(LF)(SN)</t>
  </si>
  <si>
    <t>5011</t>
  </si>
  <si>
    <t>S5B-XH-A-1</t>
  </si>
  <si>
    <t>CMA-4544PF-W</t>
  </si>
  <si>
    <t>B6P-VH-FB-B(LF)(SN)</t>
  </si>
  <si>
    <t>GSB12221LFRSPEU</t>
  </si>
  <si>
    <t>B3PS-VH(LF)(SN)</t>
  </si>
  <si>
    <t>B6PS-VH(LF)(SN)</t>
  </si>
  <si>
    <t>B5P-VH-FB-B(LF)(SN)</t>
  </si>
  <si>
    <t>LSHD-7503</t>
  </si>
  <si>
    <t>B5B-PH-K-S(LF)(SN)</t>
  </si>
  <si>
    <t>B4PS-VH(LF)(SN)</t>
  </si>
  <si>
    <t>B5PS-VH(LF)(SN)</t>
  </si>
  <si>
    <t>B8PS-VH(LF)(SN)</t>
  </si>
  <si>
    <t>SC04-11GWA</t>
  </si>
  <si>
    <t>S6B-PH-K-S</t>
  </si>
  <si>
    <t>VHH-4AS</t>
  </si>
  <si>
    <t>EKZN500ELL101MHB5D</t>
  </si>
  <si>
    <t>B3P-VH-FB-B(LF)(SN)</t>
  </si>
  <si>
    <t>5010</t>
  </si>
  <si>
    <t>50ZLH470MEFC12.5X20</t>
  </si>
  <si>
    <t>B2P-VH-FB-B(LF)(SN)</t>
  </si>
  <si>
    <t>K2-T12-Z1</t>
  </si>
  <si>
    <t>K2-T12-Z2</t>
  </si>
  <si>
    <t>K2-T12-Z3</t>
  </si>
  <si>
    <t>K2-T12-Z4</t>
  </si>
  <si>
    <t>K2-T12-Z5</t>
  </si>
  <si>
    <t>K2-T13</t>
  </si>
  <si>
    <t>K2-T9</t>
  </si>
  <si>
    <t>KTP T1 TM</t>
  </si>
  <si>
    <t>KTP T2 TM</t>
  </si>
  <si>
    <t>KTP T3 TM</t>
  </si>
  <si>
    <t>KTP T4 TM</t>
  </si>
  <si>
    <t>KTP-T11-Z2</t>
  </si>
  <si>
    <t>PCB-KTP</t>
  </si>
  <si>
    <t>PCB-KTP-Z1</t>
  </si>
  <si>
    <t>PCB-KTP-Z2</t>
  </si>
  <si>
    <t>PCB-KTP-Z3</t>
  </si>
  <si>
    <t>T1-Z6_2
T8-Z5_10</t>
  </si>
  <si>
    <t>T2-Z10</t>
  </si>
  <si>
    <t>T2-Z11</t>
  </si>
  <si>
    <t>T2-Z12</t>
  </si>
  <si>
    <t>T2-Z7_29
T3-Z11_50</t>
  </si>
  <si>
    <t>T2-Z9</t>
  </si>
  <si>
    <t>T3-Z10</t>
  </si>
  <si>
    <t>T3-Z11</t>
  </si>
  <si>
    <t>T3-Z12</t>
  </si>
  <si>
    <t>T4-Z10</t>
  </si>
  <si>
    <t>T4-Z10_1
T8-Z6_8</t>
  </si>
  <si>
    <t>T4-Z5</t>
  </si>
  <si>
    <t>T4-Z6</t>
  </si>
  <si>
    <t>T4-Z7</t>
  </si>
  <si>
    <t>T4-Z8</t>
  </si>
  <si>
    <t>T4-Z9</t>
  </si>
  <si>
    <t>T6-Z1</t>
  </si>
  <si>
    <t>T6-Z10</t>
  </si>
  <si>
    <t>T6-Z11</t>
  </si>
  <si>
    <t>T6-Z12</t>
  </si>
  <si>
    <t>T6-Z13</t>
  </si>
  <si>
    <t>T6-Z14</t>
  </si>
  <si>
    <t>T6-Z2</t>
  </si>
  <si>
    <t>T6-Z3</t>
  </si>
  <si>
    <t>T6-Z4</t>
  </si>
  <si>
    <t>T6-Z5</t>
  </si>
  <si>
    <t>T6-Z6</t>
  </si>
  <si>
    <t>T6-Z6_3
T6-Z11_5</t>
  </si>
  <si>
    <t>T6-Z7</t>
  </si>
  <si>
    <t>T6-Z8</t>
  </si>
  <si>
    <t>T6-Z9</t>
  </si>
  <si>
    <t>T7-Z1</t>
  </si>
  <si>
    <t>T7-Z10</t>
  </si>
  <si>
    <t>T7-Z11</t>
  </si>
  <si>
    <t>T7-Z2</t>
  </si>
  <si>
    <t>T7-Z3</t>
  </si>
  <si>
    <t>T7-Z3
T5</t>
  </si>
  <si>
    <t>T7-Z4</t>
  </si>
  <si>
    <t>T7-Z5</t>
  </si>
  <si>
    <t>T7-Z6</t>
  </si>
  <si>
    <t>T7-Z7</t>
  </si>
  <si>
    <t>T7-Z8</t>
  </si>
  <si>
    <t>T7-Z9</t>
  </si>
  <si>
    <t>T8</t>
  </si>
  <si>
    <t>T8-Z1</t>
  </si>
  <si>
    <t>T8-Z2</t>
  </si>
  <si>
    <t>T8-Z3</t>
  </si>
  <si>
    <t>T8-Z4</t>
  </si>
  <si>
    <t>T8-Z5</t>
  </si>
  <si>
    <t>T8-Z5_4
T3-Z11_5</t>
  </si>
  <si>
    <t>T8-Z6</t>
  </si>
  <si>
    <t>VTL</t>
  </si>
  <si>
    <t>Tụ Ceramic, MLCC, 0.1uF, 250V, X7R 1206 10%</t>
  </si>
  <si>
    <t>Tụ Ceramic, MLCC, 1uF, 16V, X7R 1206 10%</t>
  </si>
  <si>
    <t>Tụ Ceramic, MLCC, 10uF, 16V, X7R 1206 10%</t>
  </si>
  <si>
    <t xml:space="preserve">Tụ Ceramic, MLCC, 33pF, 200V, C0G 1206 10% </t>
  </si>
  <si>
    <t xml:space="preserve">Tụ Ceramic, MLCC, 4700pF, 500V, X7R 1206 10% </t>
  </si>
  <si>
    <t xml:space="preserve">Tụ Ceramic, MLCC, 22pF, 200V, C0G 1206 5% </t>
  </si>
  <si>
    <t>Tụ Ceramic MLCC, 1000pF, 16V X7R 10%</t>
  </si>
  <si>
    <t>Tụ Ceramic MLCC, 15pF, 25V, C0G, 10%</t>
  </si>
  <si>
    <t xml:space="preserve">Tụ Ceramic MLCC, 0.33uF, 50V, X7R 1206 10% </t>
  </si>
  <si>
    <t>Tụ Ceramic MLCC, 220nF 
Y5V -20/+80% 50V</t>
  </si>
  <si>
    <t>Tụ Ceramic MLCC, 1206 1000pF
 25volts X7R 10%</t>
  </si>
  <si>
    <t>Tụ Ceramic 47PF 50V C0G/NPO 1206</t>
  </si>
  <si>
    <t>Tụ Ceramic 0.33UF 50V X7R 1206</t>
  </si>
  <si>
    <t>CAP CER 1UF 6.3V X7R 0603</t>
  </si>
  <si>
    <t>Tụ Ceramic 0.47UF 50V Y5V 0603</t>
  </si>
  <si>
    <t xml:space="preserve">MLCC - SMD/SMT 2.2uF +-10% 16V </t>
  </si>
  <si>
    <t xml:space="preserve">MLCC - SMD/SMT 470nF 25V X7R 10% </t>
  </si>
  <si>
    <t xml:space="preserve">MLCC - SMD/SMT 1206 0.01uF 50volts X7R 20% </t>
  </si>
  <si>
    <t>Capacitors 100V 3300pF X7R 1206 10%</t>
  </si>
  <si>
    <t>CAP CER 1UF 25V X7R 1206</t>
  </si>
  <si>
    <t>CAP CER 4.7UF 16V X7R 1206</t>
  </si>
  <si>
    <t>CAP CER 0.47UF 50V X7R 1206</t>
  </si>
  <si>
    <t>Tụ ALUM 22UF 20% 35V SMD</t>
  </si>
  <si>
    <t>Tụ Aluminum 220uF, 35V, dia 10mm, 20%(UWT1E221MNL1GS)</t>
  </si>
  <si>
    <t>CAP ALUM 10UF 20% 16V SMD 4.0X5.4mm</t>
  </si>
  <si>
    <t>Tụ Aluminum 100uF, 35V, dia 6.3mm, 20%</t>
  </si>
  <si>
    <t>Tụ Aluminum 470µF 35V 20%</t>
  </si>
  <si>
    <t>TỤ MULTILAYER CERAMIC 100NF 50V 1206</t>
  </si>
  <si>
    <t>Capacitors SMD 2200pF +-10% 250V</t>
  </si>
  <si>
    <t>220uF/6V</t>
  </si>
  <si>
    <t>Tụ Ceramic 4.7uF/50V SMD1206</t>
  </si>
  <si>
    <t>Tụ Ceramic 200pF/50V SMD1206</t>
  </si>
  <si>
    <t>Tụ Ceramic 220pF/50V SMD1206</t>
  </si>
  <si>
    <t>Tụ Ceramic 1nF/50V SMD1206</t>
  </si>
  <si>
    <t>Điện trở 560 Ohm, 1/4W 0603 5%</t>
  </si>
  <si>
    <t>Điện trở 10K Ohm, 1/4W 0603 5%</t>
  </si>
  <si>
    <t>Điện trở 1K Ohm, 1/4W 0603 5%</t>
  </si>
  <si>
    <t>Điện trở 20K Ohm, 1/4W 0603 5%</t>
  </si>
  <si>
    <t>Điện trở 0 Ohm, 1/4W 1206 5%</t>
  </si>
  <si>
    <t>RES SMD 15 OHM 5% 1/4W 1206</t>
  </si>
  <si>
    <t>Điện trở 20 Ohm, 1/4W 1206 5%</t>
  </si>
  <si>
    <t>Điện trở 47 Ohm, 1/4W, 1206, 5%, 200V</t>
  </si>
  <si>
    <t>Điện trở 120 Ohm, 1/4W, 1206, 5%</t>
  </si>
  <si>
    <t>Điện trở 330 Ohm, 1/4W, 1206, 5%, 200V</t>
  </si>
  <si>
    <t>Điện trở 560 Ohm, 1/4W, 1206, 5%, 200V</t>
  </si>
  <si>
    <t>Điện trở 680 Ohm, 1/4W, 1206, 5%</t>
  </si>
  <si>
    <t>Điện trở 1K Ohm, 1/4W, 1206, 1%, 200V</t>
  </si>
  <si>
    <t>Điện trở 1.2K Ohm, 1/4W, 1206, 5%, 200V</t>
  </si>
  <si>
    <t>RES SMD 2K OHM 5% 1/4W 1206</t>
  </si>
  <si>
    <t>Điện trở 2.2K Ohm, 1/4W, 1206, 5%, 200V</t>
  </si>
  <si>
    <t>Điện trở 2K2 Ohm, 2W, 2512, 5%</t>
  </si>
  <si>
    <t>Điện trở 2.7K Ohm, 1/4W, 1206, 5%, 200V</t>
  </si>
  <si>
    <t>Điện trở 3.3K Ohm, 1/4W, 1206, 5%, 200V</t>
  </si>
  <si>
    <t>Điện trở 4K7 Ohm, 1/4W, 1206, 5%, 200V</t>
  </si>
  <si>
    <t>Điện trở 5.6K Ohm, 1/4W, 1206, 5%, 200V</t>
  </si>
  <si>
    <t>Điện trở 10K Ohm, 1/4W, 1206, 5%, 200V</t>
  </si>
  <si>
    <t>RES SMD 16K OHM 5% 1/4W 1206</t>
  </si>
  <si>
    <t>RES SMD 20K OHM 5% 1/4W 1206</t>
  </si>
  <si>
    <t>Điện trở 22K Ohm, 1/4W, 1206, 5%, 200V</t>
  </si>
  <si>
    <t>Điện trở 33K Ohm, 1/4W, 1206, 5%, 200V</t>
  </si>
  <si>
    <t>Điện trở 100K Ohm, 1/4W, 1206, 5%, 200V</t>
  </si>
  <si>
    <t>RES SMD 51K OHM 1% 1/4W 1206</t>
  </si>
  <si>
    <t>RES 1M OHM 5% 1/4W 1206</t>
  </si>
  <si>
    <t>Điện trở 1k5 Ohm, 1/4W  5% 1206</t>
  </si>
  <si>
    <t>RES SMD 47K OHM 0.1% 1/4W 1206</t>
  </si>
  <si>
    <t>RES SMD 27K OHM 5% 1/4W 1206</t>
  </si>
  <si>
    <t>RES SMD 47K OHM 5% 1/4W 1206</t>
  </si>
  <si>
    <t>RES SMD 270K OHM 5% 1/4W 1206</t>
  </si>
  <si>
    <t>RES 2.2 OHM 5% 1/4W 1206</t>
  </si>
  <si>
    <t>RES 3.9 OHM 1% 1/4W 1206</t>
  </si>
  <si>
    <t>Thick Film Resistors - SMD 1watt 160Kohms 5%</t>
  </si>
  <si>
    <t>RES 1.2K OHM 1% 1/4W 1206</t>
  </si>
  <si>
    <t>RES 47K OHM 1% 1/4W 1206</t>
  </si>
  <si>
    <t>RES 6.2K OHM 1% 1/4W 1206</t>
  </si>
  <si>
    <t>RES 5.1K OHM 1% 1/4W 1206</t>
  </si>
  <si>
    <t>RES 510 OHM 5% 1W 2512</t>
  </si>
  <si>
    <t>RES SMD 22 OHM 5% 2W 2512</t>
  </si>
  <si>
    <t>RES SMD 1.5K OHM 5% 1/4W 1206</t>
  </si>
  <si>
    <t>RES SMD 22 OHM 5% 1/4W 1206</t>
  </si>
  <si>
    <t>RES 0.01 OHM 1% 1W 2512</t>
  </si>
  <si>
    <t>2.2K/1% SMD1206</t>
  </si>
  <si>
    <t>Điện trở 10K/1% SMD1206</t>
  </si>
  <si>
    <t>Điện trở 1M/1% SMD1206</t>
  </si>
  <si>
    <t>Điện trở 4.7K/1% SMD1206</t>
  </si>
  <si>
    <t>Điện trở 0R/5% SMD1206</t>
  </si>
  <si>
    <t>Điện trở 120R/5% SMD1206</t>
  </si>
  <si>
    <t>Điện trở 1K/1% SMD1206</t>
  </si>
  <si>
    <t>Điện trở 2.7K/5% SMD1206</t>
  </si>
  <si>
    <t>Decoder/Demultiplexer 1 x 3:8 16-SOIC</t>
  </si>
  <si>
    <t>Inverter IC 6 Channel 14-SOIC</t>
  </si>
  <si>
    <t xml:space="preserve">Transistor 8NPN Darlington 50V 0.5A 18SO </t>
  </si>
  <si>
    <t>Buffers &amp; Line Drivers Octal Buffer/Driver With 3-State Outputs</t>
  </si>
  <si>
    <t>Flip Flops Octal Edge-Trig D-Ty F-F W/3-State Otpt</t>
  </si>
  <si>
    <t xml:space="preserve">CAN BUS Interface IC STANDBY MODE </t>
  </si>
  <si>
    <t>Real Time Clock (RTC), 2-Wire Serial 8-SOIC</t>
  </si>
  <si>
    <t xml:space="preserve">Switching Regulators 5.5 to 36V Input 3A Step Dwn Converter </t>
  </si>
  <si>
    <t>EEPROM 64K-Bit I2C Serial EEPROM</t>
  </si>
  <si>
    <t>ARM® Cortex®-M4F Tiva™ C Microcontroller IC 32-Bit 80MHz 128KB</t>
  </si>
  <si>
    <t>Transistor Output Optocouplers</t>
  </si>
  <si>
    <t>Transistor Output Optocouplers 50mA Photocoupler 80V 50mA 3750Vrms</t>
  </si>
  <si>
    <t>IC Switching Regulators Step-Up Vtg Reg</t>
  </si>
  <si>
    <t>IC REG BUCK 3.3V 3A TO263-5</t>
  </si>
  <si>
    <t>LDO Voltage Regulators 3.3V 0.8A Positive</t>
  </si>
  <si>
    <t xml:space="preserve">IC MCU 8BIT 2KB FLASH 20SOIC </t>
  </si>
  <si>
    <t>Operational Amplifiers - Op Amps SOP-8 Dual Op Amp</t>
  </si>
  <si>
    <t>Module, 2G/3G, 2.8V, UART/USB</t>
  </si>
  <si>
    <t>IC COUNTER BIN UP/DWN CMOS 16SO</t>
  </si>
  <si>
    <t>Voice Chip</t>
  </si>
  <si>
    <t>IC Audio Amplier 3W</t>
  </si>
  <si>
    <t>IC_NV</t>
  </si>
  <si>
    <t xml:space="preserve"> IC REG CTRLR BST FLYBK ISO 8-SO</t>
  </si>
  <si>
    <t>IC AMP CLASS D STEREO 3W 16SOP</t>
  </si>
  <si>
    <t>IC FF JK TYPE DUAL 1BIT 16SOIC</t>
  </si>
  <si>
    <t xml:space="preserve"> IC OPAMP GP 2 CIRCUIT 8SOIC</t>
  </si>
  <si>
    <t>IC DRIVER HIGH/LOW SIDE 16SOIC</t>
  </si>
  <si>
    <t>IC nguồn 3.3V AMS1117-3.3V</t>
  </si>
  <si>
    <t>Bridge Rectifiers .5A 100V</t>
  </si>
  <si>
    <t>Zener Diodes 12V 500mW</t>
  </si>
  <si>
    <t>DIODE ZENER 3V 500MW SOD80C</t>
  </si>
  <si>
    <t>Diode Schottky 30V 200mA</t>
  </si>
  <si>
    <t xml:space="preserve">Schottky Diodes &amp; Rectifiers 3A 40V Single Die Schottky Rectifier </t>
  </si>
  <si>
    <t>Diode Standard 1000V (1kV) 1A Surface Mount SMA (DO-214AC)</t>
  </si>
  <si>
    <t>Zener Diode 18V 500mW ±5%</t>
  </si>
  <si>
    <t>M7 //  Loại SMD (M7)</t>
  </si>
  <si>
    <t xml:space="preserve"> 
DIODE STANDARD 1000V 1A SOD123FL</t>
  </si>
  <si>
    <t xml:space="preserve">Diode Shotky SS54 1N5824 5A 40V SMA </t>
  </si>
  <si>
    <t>RS1M SMA Diode Chỉnh lưu 1A 1KV</t>
  </si>
  <si>
    <t xml:space="preserve">Bipolar Transistors - BJT PNP -80V Vceo -2.5A Ic MPT3 </t>
  </si>
  <si>
    <t>TRANS NPN 65V 0.1A SOT-23</t>
  </si>
  <si>
    <t>Bipolar Transistors - BJT NPN SOT-23 0.1A 200 to 450hFE 45V</t>
  </si>
  <si>
    <t>MOSFET N-CHANNEL 30V 1A SC70</t>
  </si>
  <si>
    <t>TRANS NPN 160V 0.6A SOT23</t>
  </si>
  <si>
    <t>DO25 DIODE CẦU 2A - KBP206</t>
  </si>
  <si>
    <t>LED RED CLEAR 1206 SMD</t>
  </si>
  <si>
    <t xml:space="preserve">White Led </t>
  </si>
  <si>
    <t>Light-Emitting Diode Yellow color 
2800-3200K</t>
  </si>
  <si>
    <t>LED RED 1206 SMD</t>
  </si>
  <si>
    <t>15µH Unshielded Wirewound Inductor 2.9A 60 mOhm</t>
  </si>
  <si>
    <t>CUỘN CẢM</t>
  </si>
  <si>
    <t>FIXED IND 47UH 1.1A 286 MOHM SMD</t>
  </si>
  <si>
    <t>Thạch Anh 27.12MHz 3225 4Pin Crystal</t>
  </si>
  <si>
    <t>Tụ Aluminum 220uF, 50V, dia 10mm 20% - Phân cực</t>
  </si>
  <si>
    <t>CAP ALUM 220UF 20% 10V RADIAL</t>
  </si>
  <si>
    <t>CAP ALUM 220UF 20% 35V RADIAL 10MM</t>
  </si>
  <si>
    <t>CAP ALUM 10UF 20% 16V RADIAL</t>
  </si>
  <si>
    <t>CAP ALUM 100UF 20% 10V RADIAL</t>
  </si>
  <si>
    <t>10uF 350V 20% 85C Radial 10x15</t>
  </si>
  <si>
    <t>TRANS 8NPN DARL 50V 0.5A 18DIP</t>
  </si>
  <si>
    <t>Tụ 22uF/400V</t>
  </si>
  <si>
    <t xml:space="preserve">Ceramic Disc Capacitors .01uF 1Kvolts 20% </t>
  </si>
  <si>
    <t>Alu Radial Leaded 1000uF 100V 85c  18x40mm</t>
  </si>
  <si>
    <t>Capacitors D: 5.5mm 1kV 470pF B 10% LS:5mm</t>
  </si>
  <si>
    <t xml:space="preserve">Aluminum Capacitors - Radial Leaded 47uF 400volts AEC-Q200 </t>
  </si>
  <si>
    <t xml:space="preserve">Ceramic Disc Capacitors .2LS 1000PF 2KV 10% </t>
  </si>
  <si>
    <t>0.47uF/50V</t>
  </si>
  <si>
    <t>100uF/25V</t>
  </si>
  <si>
    <t>102/100V</t>
  </si>
  <si>
    <t>332/100V</t>
  </si>
  <si>
    <t>100uF/100V</t>
  </si>
  <si>
    <t>1000uF/25V</t>
  </si>
  <si>
    <t>CAP FILM 0.1UF 20% 560VDC RADIAL</t>
  </si>
  <si>
    <t>CAP CER 22PF 500V C0G/NP0 1206</t>
  </si>
  <si>
    <t>RES 330 OHM 13W 5% AXIAL</t>
  </si>
  <si>
    <t>Điện trở 100 Ohm/5W</t>
  </si>
  <si>
    <t>RES 1.5K OHM 10W 5% AXIAL</t>
  </si>
  <si>
    <t>RES 1.5 OHM 3W 1% AXIAL</t>
  </si>
  <si>
    <t>RES 0.3 OHM 3W 1% AXIAL</t>
  </si>
  <si>
    <t>RES 5.1 OHM 3W 5% AXIAL</t>
  </si>
  <si>
    <t>47K/1%-1W</t>
  </si>
  <si>
    <t>1K/1%-1W</t>
  </si>
  <si>
    <t>10K/1%-1W</t>
  </si>
  <si>
    <t>50K</t>
  </si>
  <si>
    <t>Optoisolator Transistor Output 2500Vrms 2 Channel 8-DIP</t>
  </si>
  <si>
    <t>Mạch tích hợp IC giao tiếp RS485 Wide Band</t>
  </si>
  <si>
    <t>IC TRANSCEIVER HALF 1/1 8DIP</t>
  </si>
  <si>
    <t>Transistor Output Optocouplers Phototransistor Out</t>
  </si>
  <si>
    <t xml:space="preserve"> IC REG CTRLR MULT TOPOLOGY 8DIP</t>
  </si>
  <si>
    <t>IC REG LINEAR 12V 1A TO220-3</t>
  </si>
  <si>
    <t>TRANS PNP 100V 6A TO220AB</t>
  </si>
  <si>
    <t xml:space="preserve"> TRANS NPN 100V 6A TO-220</t>
  </si>
  <si>
    <t>MOSFET N-CH 100V 130A TO-220AB</t>
  </si>
  <si>
    <t>IC MCU 8BIT 8KB FLASH 28DIP</t>
  </si>
  <si>
    <t>Bộ nhớ Flash AT24C512B</t>
  </si>
  <si>
    <t xml:space="preserve">TVS Diodes - Transient Voltage Suppressors 1500W 12V Bidirect </t>
  </si>
  <si>
    <t>Schottky Diodes &amp; Rectifiers 3.0A 40V</t>
  </si>
  <si>
    <t xml:space="preserve">Schottky Diodes &amp; Rectifiers Vr/40V Io/3A </t>
  </si>
  <si>
    <t xml:space="preserve">Rectifiers Vr/1000V Io/1A </t>
  </si>
  <si>
    <t>Rectifier 3A, 1000V</t>
  </si>
  <si>
    <t>BRIDGE RECT 1PHASE 1KV 5A RS5</t>
  </si>
  <si>
    <t>MOSFET N-CH 600V 6.26A TO-220F</t>
  </si>
  <si>
    <t>12MHz ±30ppm Crystal</t>
  </si>
  <si>
    <t>32.768kHz ±20ppm Crystal 12.5pF 35 kOhm</t>
  </si>
  <si>
    <t>8MHz ±30ppm Crystal 20pF 80 Ohm FC4STCBMF8.0-BAG200</t>
  </si>
  <si>
    <t>CRYSTAL 10.0000MHZ 20PF SMD</t>
  </si>
  <si>
    <t>Terminal Cong xanh 8 Pin</t>
  </si>
  <si>
    <t>Terminal Cong xanh 6 Pin</t>
  </si>
  <si>
    <t>Terminal Cong xanh 4 Pin</t>
  </si>
  <si>
    <t>Terminal Cong xanh 3 Pin</t>
  </si>
  <si>
    <t>Terminal Thẳng xanh 8 Pin</t>
  </si>
  <si>
    <t>Terminal Thẳng xanh 6 Pin</t>
  </si>
  <si>
    <t>Terminal Thẳng xanh 4 Pin</t>
  </si>
  <si>
    <t>Terminal Thẳng xanh 3 Pin</t>
  </si>
  <si>
    <t>Connector KF2EDGKA-5.08-3P - STRAIGHT</t>
  </si>
  <si>
    <t>Connector KF2EDGKA-5.08-6P - STRAIGHT</t>
  </si>
  <si>
    <t>Jack 7254-PR4 (0)</t>
  </si>
  <si>
    <t>2.54mm 10-PIN Male Box Header</t>
  </si>
  <si>
    <t>Standard Profile 44 Position 1.27 mm Pitch Through Hole PLCC Socket</t>
  </si>
  <si>
    <t>Standard Profile 28 Position 1.27 mm Pitch Through Hole PLCC Socket</t>
  </si>
  <si>
    <t>Memory Card Connectors 
WR-CRD Mini SIM Card 6Pin Hinge</t>
  </si>
  <si>
    <t xml:space="preserve">0.56" Anode RED Single 7-Segment display </t>
  </si>
  <si>
    <t xml:space="preserve">Led Matrix 8x8 Orange </t>
  </si>
  <si>
    <t xml:space="preserve">Light Emitting Diodes 7.6x7.6mm, deluxe power super flux, pure green, 120deg, typ.12000mcd@50mA water clear, 4-pin </t>
  </si>
  <si>
    <t>Light Emitting Diodes
7.6x7.6mm, deluxe power super flux, red, 120deg, typ.10000mcd@70mA, water clear, 4-pin</t>
  </si>
  <si>
    <t>Led 5mm RED, 660 nm, 2 mcd, 24 deg</t>
  </si>
  <si>
    <t>Infrared (IR) Emitter 940nm 1.2V 100mA 7.8mW/sr @ 20mA 20° Radial</t>
  </si>
  <si>
    <t xml:space="preserve">PHOTOTRANSISTOR 5MM BLACK RAD </t>
  </si>
  <si>
    <t>Led Red 3mm</t>
  </si>
  <si>
    <t>3mm Base LED Yellow</t>
  </si>
  <si>
    <t>3mm Base LED Red</t>
  </si>
  <si>
    <t>Four Digit 7 Segment Display COMMON  CATHODE 0.36"</t>
  </si>
  <si>
    <t>3mm Red/Green Common Anode LED</t>
  </si>
  <si>
    <t>3 - 5V SMD Buzzer 9.6 x 3.3 mm</t>
  </si>
  <si>
    <t>3V</t>
  </si>
  <si>
    <t>DIP Swich 6 Slide type, RED</t>
  </si>
  <si>
    <t>Slide Switches SPDT HORIZONTAL2mm</t>
  </si>
  <si>
    <t>TACTILE_6x6x12</t>
  </si>
  <si>
    <t>2.54mm 40x1 Single Male Pin Header (Gold)</t>
  </si>
  <si>
    <t>Coded Rotary Switches 10 pos thru hole Flush arrow rotor</t>
  </si>
  <si>
    <t>Dây bẹ Ribbon UL2468 8 Sợi 1.5mm</t>
  </si>
  <si>
    <t>Header 5P cong</t>
  </si>
  <si>
    <t>Cầu chí ống 3A/250V 5x20mm</t>
  </si>
  <si>
    <t>Đế cầu chì 5x20mm</t>
  </si>
  <si>
    <t>BA 30W</t>
  </si>
  <si>
    <t>Ống co nhiệt 3mm</t>
  </si>
  <si>
    <t>CẢM BIẾN ÂM THANH MIC 9X7MM</t>
  </si>
  <si>
    <t>Header thẳng 8P XH2.54</t>
  </si>
  <si>
    <t>Header 4P XH2.54-4P Đực thẳng</t>
  </si>
  <si>
    <t>Header 2P 2.54 đực thẳng</t>
  </si>
  <si>
    <t>Loa 8 Ohm 0.5W</t>
  </si>
  <si>
    <t>inductor 10A 47Uh</t>
  </si>
  <si>
    <t>LED 5mm 3 chân Red-Green</t>
  </si>
  <si>
    <t>Voltage References 2.5-36V
 ADJ 1-100mA</t>
  </si>
  <si>
    <t>Diode MBR20100CT 20A 100V</t>
  </si>
  <si>
    <t>Fuse 3A/72V</t>
  </si>
  <si>
    <t>Fuse 3A/30V</t>
  </si>
  <si>
    <t>OPTOISO 5KV TRANS 4DIP</t>
  </si>
  <si>
    <t>Vỏ hộp</t>
  </si>
  <si>
    <t>Nhãn</t>
  </si>
  <si>
    <t>Ống Co Nhiệt Đen phi 8mm 600V</t>
  </si>
  <si>
    <t>Ống Co Nhiệt Đen phi 5mm 600V</t>
  </si>
  <si>
    <t>18-24AWG CRIMP TIN,
CONN TERMINAL Connector 4.2mm 2x2P 4P cái 5559 B19</t>
  </si>
  <si>
    <t xml:space="preserve">SP400-0.007-00-54
</t>
  </si>
  <si>
    <t>Keo tản nhiệt 20GRAM</t>
  </si>
  <si>
    <t>khổ 1mx40cm / tấm
10x6cm/1 bộ (đvt cm)</t>
  </si>
  <si>
    <t>FUSE AUTOMOTIVE 40A 32VDC BLADE</t>
  </si>
  <si>
    <t>Nhôm Tản Nhiệt 25x24x16 Trắng Hàn PCB</t>
  </si>
  <si>
    <t>TERM SCREW M3 4 PIN PCB</t>
  </si>
  <si>
    <t>4PIN, Pitch 3.96mm (UPS)</t>
  </si>
  <si>
    <t>Connector nối dây Accu</t>
  </si>
  <si>
    <t>Dây 4.0 đen</t>
  </si>
  <si>
    <t>Đầu cose dây 5.5 đen (1túi 100)</t>
  </si>
  <si>
    <t>Đầu cose dây 5.5 đỏ (1túi 100)</t>
  </si>
  <si>
    <t>Trụ đồng đực - cái 10mm</t>
  </si>
  <si>
    <t>Đinh ốc chìm M3-10mm</t>
  </si>
  <si>
    <t>Đinh ốc chìm M3-20mm</t>
  </si>
  <si>
    <t>Đinh ốc chìm M4-10mm</t>
  </si>
  <si>
    <t>Đai ốc M3</t>
  </si>
  <si>
    <t>Cầu chì ống 5A/250V</t>
  </si>
  <si>
    <t>HRS1H-S-DC12V</t>
  </si>
  <si>
    <t>Vỏ Inverter</t>
  </si>
  <si>
    <t>Mica trong suốt, sơn lụa</t>
  </si>
  <si>
    <t>Carton box</t>
  </si>
  <si>
    <t>Relay chân 5V/2A HK19F-DC05V-SHG</t>
  </si>
  <si>
    <t>Header thẳng 3P XH2.54</t>
  </si>
  <si>
    <t>Vỏ hộp kèm ốc m3x6 đầu dẹp</t>
  </si>
  <si>
    <t>Nút nhấn(GSM210)</t>
  </si>
  <si>
    <t>PCB GERBER_SOC210V1.3_171117</t>
  </si>
  <si>
    <t>PCB GERBER_SOC210V1.2D_070917</t>
  </si>
  <si>
    <t>PCB GERBER_SHC210V1.3_070917</t>
  </si>
  <si>
    <t>GERBER_SHC211_HV_210817</t>
  </si>
  <si>
    <t>PCB GERBER_SCC210V1.3_070917</t>
  </si>
  <si>
    <t>PCB GERBER_SCE210V1.3_070917</t>
  </si>
  <si>
    <t>PCB SHI220</t>
  </si>
  <si>
    <t>PCB 4BIT-7D</t>
  </si>
  <si>
    <t>PCB DZPCB-panel</t>
  </si>
  <si>
    <t>PCB LVSS_SMD</t>
  </si>
  <si>
    <t>PCB LED TNE</t>
  </si>
  <si>
    <t>PCB Car LED</t>
  </si>
  <si>
    <t>PCB IO88</t>
  </si>
  <si>
    <t>PCB SM04</t>
  </si>
  <si>
    <t>PCB SHC210 M4 V1.2</t>
  </si>
  <si>
    <t>PCB GERBER SCC210 24112015</t>
  </si>
  <si>
    <t>PCB GERBER SCE210_161215</t>
  </si>
  <si>
    <t xml:space="preserve">Mạch HALL LANTERN-GREEN </t>
  </si>
  <si>
    <t>Mạch HALL LANTERN-RED</t>
  </si>
  <si>
    <t>Mạch SOE210</t>
  </si>
  <si>
    <t>BRAKE FILTER 05-09-2018</t>
  </si>
  <si>
    <t>Mạch Brake Filter ver cũ</t>
  </si>
  <si>
    <t>Mạch SOG210 v1.1</t>
  </si>
  <si>
    <t>GERBER FILE LVSS V1.2 (14-02-2019)</t>
  </si>
  <si>
    <t>GERBER SHC211 V1.4 22-08-2019</t>
  </si>
  <si>
    <t>GERBER CHARGE CONTROL V1.0 - 29072019</t>
  </si>
  <si>
    <t>PCB GERBER GSM210 V1.4 - 22112019</t>
  </si>
  <si>
    <t>GERBER DZPCB V1.4 - 17012020</t>
  </si>
  <si>
    <t>GERBER SCC210 V1.4 - 17012020</t>
  </si>
  <si>
    <t>GERBER SCE210 V1.4 - 17012020</t>
  </si>
  <si>
    <t>GERBER SHC210 V1.4 - 17012020</t>
  </si>
  <si>
    <t>GERBER SHC211 V1.4 - 17012020</t>
  </si>
  <si>
    <t>Mạch in GERBER_SOG210_v1.4(240820) 1 oz 1.6 mm.</t>
  </si>
  <si>
    <t xml:space="preserve">GERBER SOC210 V1.4 </t>
  </si>
  <si>
    <t>GERBER CHARGE CONTROLV1.0 - 10022020</t>
  </si>
  <si>
    <t xml:space="preserve">GERBER CONVERTER 60VDC-12VDC </t>
  </si>
  <si>
    <t>GERBER GSM - 17082020</t>
  </si>
  <si>
    <t>GERBER GSM210 -15-05-2019</t>
  </si>
  <si>
    <t>GERBER LCD E_PAPER 2.9INCH
- 17012020</t>
  </si>
  <si>
    <t>GERBER DZPCB_V1.4 update2 -
14072020</t>
  </si>
  <si>
    <t>LED 12VDC - Logo TNE 20082020</t>
  </si>
  <si>
    <t>GERBER NFCREAD - 13042020</t>
  </si>
  <si>
    <t>Chụp ngoài</t>
  </si>
  <si>
    <t>Chụp trong</t>
  </si>
  <si>
    <t>Chóa đèn (lens)</t>
  </si>
  <si>
    <t>Tản Nhiệt</t>
  </si>
  <si>
    <t>Đế tản nhiệt</t>
  </si>
  <si>
    <t>Ốc nhỏ 3x8mm đầu bằng mũi nhọn</t>
  </si>
  <si>
    <t>Ốc lớn 4x8mm đầu dù mũi bằng</t>
  </si>
  <si>
    <t>Dây điện Đen VCm 1.0, 45cm</t>
  </si>
  <si>
    <t>Dây điện Đỏ VCm 1.0 45cn</t>
  </si>
  <si>
    <t>Ốc vàng module nguồn</t>
  </si>
  <si>
    <t>ĐInh ốc M3x8mm</t>
  </si>
  <si>
    <t xml:space="preserve">Diode cầu 35A GBPC3504-E4/51 GBPC </t>
  </si>
  <si>
    <t>BRIDGE RECT 1PHASE 1KV 1.5A WOG</t>
  </si>
  <si>
    <t>VS Diodes 1500W 200V Unidirect</t>
  </si>
  <si>
    <t>DIODE ZENER 12V 1W DO41</t>
  </si>
  <si>
    <t xml:space="preserve">Jack đực 5557-4P </t>
  </si>
  <si>
    <t>Jack cái 5559-4R</t>
  </si>
  <si>
    <t>Đầu bấm Jack liên kết cái - 5556-RT</t>
  </si>
  <si>
    <t>Terminals &amp; wire conn - 5558 - PT</t>
  </si>
  <si>
    <t>Jack 12pin đực (5557-12P)</t>
  </si>
  <si>
    <t>Jack 12pin cái (5559-12R)</t>
  </si>
  <si>
    <t>jack 6pin cái (5559-6R)</t>
  </si>
  <si>
    <t>jack 6pin đực (5557-6P)</t>
  </si>
  <si>
    <t>Võ cầu chì FS10A</t>
  </si>
  <si>
    <t>Điện trở 2K2/1W (SIN)</t>
  </si>
  <si>
    <t>RES 100 OHM 1/4W 5% AXIAL</t>
  </si>
  <si>
    <t>RES 220 OHM 1/4W 5% AXIAL</t>
  </si>
  <si>
    <t>RES 5% 1/2W AXIAL</t>
  </si>
  <si>
    <t>RES 470 OHM 1/4W 5% AXIAL</t>
  </si>
  <si>
    <t>RES 330 OHM 1/4W 5% AXIAL</t>
  </si>
  <si>
    <t>RES 220K OHM 1/4W 5% AXIAL</t>
  </si>
  <si>
    <t>Resistor 10W/330ohm</t>
  </si>
  <si>
    <t>RES 560 OHM 1W 5% AXIAL</t>
  </si>
  <si>
    <t xml:space="preserve">Resistors 1.5Kohm 5% 1/4W </t>
  </si>
  <si>
    <t>RES 10K OHM 1/4W 5% AXIAL</t>
  </si>
  <si>
    <t>RES 2.2K OHM 1/4W 5% AXIAL</t>
  </si>
  <si>
    <t>RES 4K7 OHM 1/4W 5% AXIAL</t>
  </si>
  <si>
    <t>RES 3K3 OHM 1/4W 5% AXIAL</t>
  </si>
  <si>
    <t>RES 680 OHM 1/4W 5% AXIAL</t>
  </si>
  <si>
    <t>RES 100K OHM 1/4W 5% AXIAL</t>
  </si>
  <si>
    <t>RES 33 OHM 1% 3W AXIAL</t>
  </si>
  <si>
    <t>220R 1/4W 5%</t>
  </si>
  <si>
    <t>390R 1/4W 5%</t>
  </si>
  <si>
    <t>1K 1/4W 5%</t>
  </si>
  <si>
    <t>1K5 1/4W 5%</t>
  </si>
  <si>
    <t>3K3 1/4W 5%</t>
  </si>
  <si>
    <t>10K 1/4W 5%</t>
  </si>
  <si>
    <t>100nF/100V</t>
  </si>
  <si>
    <t>10uF/50V</t>
  </si>
  <si>
    <t>MPSA92L</t>
  </si>
  <si>
    <t>UA7805C</t>
  </si>
  <si>
    <t>12MHz</t>
  </si>
  <si>
    <t>Zener Diode 6.2V 500mW ±5% Through 
Hole DO-35</t>
  </si>
  <si>
    <t>Led ĐỎ 5mm</t>
  </si>
  <si>
    <t>RES 22K OHM 3W 5% AXIAL</t>
  </si>
  <si>
    <t>22K/3W</t>
  </si>
  <si>
    <t>RES 390 OHM 1/4W 5% AXIAL</t>
  </si>
  <si>
    <t>RES 4.7K OHM 1W 5% AXIAL</t>
  </si>
  <si>
    <t>RES 15K OHM 1/4W 5% AXIAL</t>
  </si>
  <si>
    <t>RES 1K OHM 1/4W 5% AXIAL</t>
  </si>
  <si>
    <t>RES ARRAY 8 RES 10K OHM 9SIP</t>
  </si>
  <si>
    <t>RES ARRAY 8 RES 2.7K OHM 9SIP</t>
  </si>
  <si>
    <t>RES ARRAY 8 RES 4.7K OHM 9SIP</t>
  </si>
  <si>
    <t>RES ARRAY 8 RES 3.3K OHM 9SIP</t>
  </si>
  <si>
    <t>RES 6.8K OHM 1/4W 5% AXIAL</t>
  </si>
  <si>
    <t>RES 33K OHM 1/4W 5% AXIAL</t>
  </si>
  <si>
    <t>RES 2.2K OHM 1W 5% AXIAL</t>
  </si>
  <si>
    <t>RES MF 47K 3W 1% AXIAL</t>
  </si>
  <si>
    <t>CAP CER 10PF 3KV SL RADIAL</t>
  </si>
  <si>
    <t>Capacitors 0.1uF 63volts 10%</t>
  </si>
  <si>
    <t>CAP ALUM 1UF 20% 50V THRU HOLE</t>
  </si>
  <si>
    <t>CAP ALUM 10UF 20% 50V RADIAL</t>
  </si>
  <si>
    <t>Tụ FILM 10000PF 10% 63VDC RAD</t>
  </si>
  <si>
    <t>CAP FILM 2200PF 10% 63VDC RADIAL</t>
  </si>
  <si>
    <t>Tụ ALUM 22UF 20% 50V RADIAL</t>
  </si>
  <si>
    <t>Thiết bị bảo vệ quá áp CRZV20471</t>
  </si>
  <si>
    <t>Thiết bị chống sốc nguồn-
3XYG 1003(noise suppression capacitor 3XYG 1003)</t>
  </si>
  <si>
    <t>Thiết bị chống sét-RAV-781 BXZ-2
(surge protector-RAV-781 BXZ-2A)</t>
  </si>
  <si>
    <t>CRYSTAL 11.0592MHZ 20PF T/H</t>
  </si>
  <si>
    <t>IC DECODER/DEMUX 3-8LINE 16SO</t>
  </si>
  <si>
    <t>IC</t>
  </si>
  <si>
    <t>IC INVERTER 6CH 6-INP 14DIP</t>
  </si>
  <si>
    <t>IC DRIVER ARRAY HV/HC 8CH 18DIP</t>
  </si>
  <si>
    <t>IC DUAL MONO MULTIVIB 16-DIP</t>
  </si>
  <si>
    <t>IC D-TYPE POS TRG SNGL 20DIP</t>
  </si>
  <si>
    <t>IC MCU 8BIT 2KB FLASH 20DIP</t>
  </si>
  <si>
    <t>TRANS NPN 80V 3A TO220AB</t>
  </si>
  <si>
    <t>TRANS PNP 250V 0.5A TO-92</t>
  </si>
  <si>
    <t>DIODE ZENER 12V 500MW DO35</t>
  </si>
  <si>
    <t>DIODE GEN PURP 100V 200MA DO35</t>
  </si>
  <si>
    <t>IC TXRX DIFF BUSS 8DIP</t>
  </si>
  <si>
    <t>IC FF D-TYPE SNGL 8BIT 20DIP</t>
  </si>
  <si>
    <t>IC BUFFER INVERT 5.5V 20DIP</t>
  </si>
  <si>
    <t>IC MCU 8BIT 12KB FLASH 40DIP</t>
  </si>
  <si>
    <t>Led 7 đoạn lớn</t>
  </si>
  <si>
    <t>LIGHT EMITTING DIODE FLAT 
(RED) OEM_LDA-L3219AS-W-TS</t>
  </si>
  <si>
    <t>LED 7 ĐOẠN TRUNG</t>
  </si>
  <si>
    <t>LED CHỈ CHIỀU</t>
  </si>
  <si>
    <t>Led đỏ vuông</t>
  </si>
  <si>
    <t>Finemet coil (F1AH0898) FT-3KM F6045G/vngf khử nhiễu</t>
  </si>
  <si>
    <t>IC20DIP300</t>
  </si>
  <si>
    <t>IC18DIP300</t>
  </si>
  <si>
    <t>IC16DIP300</t>
  </si>
  <si>
    <t>IC14DIP300</t>
  </si>
  <si>
    <t>DIPSW02-R</t>
  </si>
  <si>
    <t>MPU 162_1108 V1.9</t>
  </si>
  <si>
    <t>PCB MPU162A_0811</t>
  </si>
  <si>
    <t>BUFFER SERIAL 1109</t>
  </si>
  <si>
    <t>Mạch in BTBC03-07 (MẠCH BÁO TẦNG + BÁO CHIỀU ĐƠN DỌC LEDIN)</t>
  </si>
  <si>
    <t>Mạch in GERBER FILTER6SNEW</t>
  </si>
  <si>
    <t>Gerber SHI217H2 (SHC217D3)</t>
  </si>
  <si>
    <t>Biến áp VC19177</t>
  </si>
  <si>
    <t>Công tắc 8 bit Dip switch xuyên lỗ 2.54mm MÀU đỏ</t>
  </si>
  <si>
    <t>Tụ gốm tròn 10pF 50V</t>
  </si>
  <si>
    <t>Tụ correction 2.2nf/100v</t>
  </si>
  <si>
    <t>Điện Trở 4.7 KOhm 2W 5%</t>
  </si>
  <si>
    <t xml:space="preserve">Cổng XH 2.54mm 4 Chân Cong </t>
  </si>
  <si>
    <t>Dây Bus XH2.54 Cái-Cái 2 Tiếp Điểm 2.54mm Dài 40cm</t>
  </si>
  <si>
    <t>Bộ lọc 42A</t>
  </si>
  <si>
    <t>Bộ lọc 30A</t>
  </si>
  <si>
    <t>Bộ lọc 50A</t>
  </si>
  <si>
    <t>Bộ lọc 6A</t>
  </si>
  <si>
    <t>DIODE ZENER 20V 500MW LLDS</t>
  </si>
  <si>
    <t>OPTOISOLATOR 5KV 1CH TRANS 4-DIP</t>
  </si>
  <si>
    <t>Bộ lọc 32A</t>
  </si>
  <si>
    <t>BRIDGE RECT 1PHASE 600V 35A GBPC</t>
  </si>
  <si>
    <t>KEO SILICON DÙNG CHO BOARD MẠCH ĐIỆN TỬ</t>
  </si>
  <si>
    <t>Thẻ từ NFC 13.56MHZ (miếng dán)</t>
  </si>
  <si>
    <t>IC MAX485ESA</t>
  </si>
  <si>
    <t>PCB SHI218H4</t>
  </si>
  <si>
    <t>Vít đầu dù M3-7.5MM</t>
  </si>
  <si>
    <t>Bảng mạch in SOP210</t>
  </si>
  <si>
    <t>BKN 1P C32A Cầu dao điện</t>
  </si>
  <si>
    <t>Tụ hóa 2200uF/50V</t>
  </si>
  <si>
    <t>Tụ hóa 470uF/25V</t>
  </si>
  <si>
    <t>RELAY UL PCB TERMINALS GEN PURP</t>
  </si>
  <si>
    <t>Mạch in UPS ARD 1500VA v1.3</t>
  </si>
  <si>
    <t>Bulong chỏm cầu to inox 201-M3x6</t>
  </si>
  <si>
    <t>Long đền phẳng mạ-M5x11x0.6</t>
  </si>
  <si>
    <t>Aluminum Electrolytic Capacitors - SMD 6.3volts 470uF SMD</t>
  </si>
  <si>
    <t>Atmel AVR 8KB FLSH 512B EE / 8-bit Microcontrollers - MCUþ</t>
  </si>
  <si>
    <t>Layer count: 2 L Material: FR4 Copper : 1 OZ Thickness: 1. 6 mm
Part Size: 75 X 75 mm / 1 pcs Surface: ENIG 27% Soldermask: Green Silkscreen: white / NO</t>
  </si>
  <si>
    <t>xịt tẩm phủ Nabakem UC-100</t>
  </si>
  <si>
    <t>Ống gen chịu nhiệt 5mm</t>
  </si>
  <si>
    <t>CONNECTOR 4.2MM 2X2P 4P CÁI 5559</t>
  </si>
  <si>
    <t>Mạch in Gerber BLE_NFC - 01042021</t>
  </si>
  <si>
    <t>DC5521 Đầu Nối Nguồn DC Cái 5521</t>
  </si>
  <si>
    <t>LED 2 Màu Đỏ, Xanh Lá 0805 Dán SMD</t>
  </si>
  <si>
    <t>CAP CER 200PF 50V NP0 0805</t>
  </si>
  <si>
    <t>RES 120 OHM 5% 1/4W 0805</t>
  </si>
  <si>
    <t>RES 15 OHM 5% 1/4W 0805</t>
  </si>
  <si>
    <t>RES 10K OHM 5% 1/4W 0805</t>
  </si>
  <si>
    <t>RES 330 OHM 5% 1/4W 0805</t>
  </si>
  <si>
    <t>RES 150 OHM 5% 1/4W 0805</t>
  </si>
  <si>
    <t>RES 4.7K OHM 5% 1/4W 0805</t>
  </si>
  <si>
    <t>RESISTOR 0 OHM JUMPER 0805 ANTI</t>
  </si>
  <si>
    <t>RES 1K OHM 5% 1/4W 0805</t>
  </si>
  <si>
    <t>RES 2.7K OHM 5% 1/4W 0805</t>
  </si>
  <si>
    <t>RX TXRX MODULE WIFI U.FL SMD</t>
  </si>
  <si>
    <t>CAP ALUM 1000UF 10VDC 20% SMD</t>
  </si>
  <si>
    <t>4.7uF/16V ±10% X7R SMD-0805 Capacitor</t>
  </si>
  <si>
    <t>CAP CER 1000PF 50V X7R 0805 1nF</t>
  </si>
  <si>
    <t>3A 40V Schottky Barrier Diode</t>
  </si>
  <si>
    <t>1-channel Darlington Transistor Output Optocouplers</t>
  </si>
  <si>
    <t>IC EEPROM 128KBIT I2C 1MHZ 8DIP</t>
  </si>
  <si>
    <t>LED 0805 đỏ</t>
  </si>
  <si>
    <t>N-Mosfet 8A 500V TO-220</t>
  </si>
  <si>
    <t>Ceramic Disc Capacitors D: 11.5mm 1kV 470pF SL 5% LS:7.5mm</t>
  </si>
  <si>
    <t>CAP CER 3300PF 50V X7R 0805</t>
  </si>
  <si>
    <t>CAP CER SMD 0805 .01UF X7R 5% 50</t>
  </si>
  <si>
    <t>CAP CER 0805 2.2UF 50VDC X7R</t>
  </si>
  <si>
    <t>CAP CER 0805 470NF 50V X7R 5%</t>
  </si>
  <si>
    <t>RES 20K OHM 5% 1/4W 0805</t>
  </si>
  <si>
    <t>RES 27K OHM 5% 1/4W 0805</t>
  </si>
  <si>
    <t>Resistors - SMD 1/4watts 16Kohms 5%</t>
  </si>
  <si>
    <t>RES 100 OHM 5% 1/4W 0805</t>
  </si>
  <si>
    <t>RES 2K OHM 5% 1/4W 0805</t>
  </si>
  <si>
    <t>RES SMD 22K OHM 5% 1/4W 1206</t>
  </si>
  <si>
    <t>RES 1.8K OHM 5% 1/4W 0805</t>
  </si>
  <si>
    <t>RES SMD 100K OHM 1/4W 0805 WIDE</t>
  </si>
  <si>
    <t>RES 10K OHM 1% 1/4W 0805</t>
  </si>
  <si>
    <t>RES 270K OHM 5% 1/4W 0805</t>
  </si>
  <si>
    <t>RES SMD 160K OHM 5% 1W 2512</t>
  </si>
  <si>
    <t>RES 1.5 OHM 1W 5% AXIAL</t>
  </si>
  <si>
    <t>Resistors - SMD 1/4watts 68Kohms 5%</t>
  </si>
  <si>
    <t>Resistors - SMD 3.3 kOhms 250 mW 1206 1%</t>
  </si>
  <si>
    <t>Metal Oxide Resistors RSS2 .3 1%TR</t>
  </si>
  <si>
    <t>PCB 4Bit-7D (new) mạ thiếc</t>
  </si>
  <si>
    <t>Mạch IO88</t>
  </si>
  <si>
    <t>Mạch Charger DC60V</t>
  </si>
  <si>
    <t>Mạch in GERBER Voice announcement 14-07-2021</t>
  </si>
  <si>
    <t>Biến trở cúc áo 10K (103)</t>
  </si>
  <si>
    <t>Cổng USB Micro-B 2.0 Đầu Cái 5 Chân SMD V3</t>
  </si>
  <si>
    <t>Tụ Hóa 100uF 35V 6.3x12mm Xuyên Lỗ</t>
  </si>
  <si>
    <t>IC FLASH 16MBIT SPI/QUAD 8SOIC</t>
  </si>
  <si>
    <t>RM10 VC21137</t>
  </si>
  <si>
    <t xml:space="preserve"> Mạch in SHC216B 19102021 </t>
  </si>
  <si>
    <t>TRỞ 560 ohm/2W</t>
  </si>
  <si>
    <t>Layer count: 2L Material: FR4 Copper : 1oz Thickness: 1.6mm
Part Size: 66.04 X 164.41 mm / 1 pcs Surface: ENIG 34% Soldermask: Green Silkscreen: white T</t>
  </si>
  <si>
    <t>Layer count: 2L Material: FR4 Copper : 1oz Thickness: 1.6mm
Part Size: 66 X 160 mm / 1 pcs Surface: ENIG 20% Soldermask: Green Silkscreen: white</t>
  </si>
  <si>
    <t>Layer count: 4L Material: FR4 Copper : 1oz Thickness: 1.6mm
Part Size: 120 X 270 mm / 1 pcs Surface: ENIG 40% Soldermask: Green Silkscreen: white T</t>
  </si>
  <si>
    <t>LED Trắng Lạnh 1W Luxeon</t>
  </si>
  <si>
    <t>Điện Trở 120 Ohm 2W 5% 4 Vòng Màu</t>
  </si>
  <si>
    <t>Vít đĩa inox 304-M2x8</t>
  </si>
  <si>
    <t>Hàng Rào Cái Đơn 2.54mm 40 Chân 1 Hàng Cao 11.8mm Xuyên Lỗ</t>
  </si>
  <si>
    <t>MOSFET N-CH 100V 110A  TO-220-3</t>
  </si>
  <si>
    <t>Safety Capacitors 310vac 0.22uF 20% LS 15mm</t>
  </si>
  <si>
    <t>LIGHT EMITTING DIODE MATRIX 5x7 BLUE</t>
  </si>
  <si>
    <t>LED 7 Đoạn 0.36inch Đỏ 1 Số Âm Chung  7.5 x 14 x 8.5mm 3161AS</t>
  </si>
  <si>
    <t>RES 220 OHM 5% 1/4W 1206</t>
  </si>
  <si>
    <t>RES 270 OHM 5% 1/4W 1206</t>
  </si>
  <si>
    <t xml:space="preserve">Module EC200SCNAB-N06-SNNSA </t>
  </si>
  <si>
    <t>Layer count: 2L Material: FR4 Copper : 1oz Thickness: 1.6mm
Part Size: 90.04 X 50.04 mm / 1 pcs Surface: HAL LF Soldermask: Green Silkscreen: white t</t>
  </si>
  <si>
    <t>Layer count: 2L Material: FR4 Copper : 1oz Thickness: 1.6mm
Part Size: 87.92 X 105 mm / 1 pcs Surface: ENIG 30% Soldermask: Green Silkscreen: white TOP</t>
  </si>
  <si>
    <t>Mạch in SIK210 - 17012020</t>
  </si>
  <si>
    <t>Mạch in báo tầng-báo chiều đơn dọc (LEĐIN)</t>
  </si>
  <si>
    <t>Bàn Phím 4x4 16 Nút</t>
  </si>
  <si>
    <t>Điện Trở 100 Ohm 2512 5%</t>
  </si>
  <si>
    <t>Trụ Nhựa HEX-M3 Đực-Cái Dài 15mm</t>
  </si>
  <si>
    <t>Đai Ốc Nhựa M3</t>
  </si>
  <si>
    <t>Tụ Nhôm SMD 220uF 16V 6.3x7.7mm</t>
  </si>
  <si>
    <t>Dây điện 5 lõi</t>
  </si>
  <si>
    <t>IC SOIC-18_300mil Darlington Transistor Arrays ROHS</t>
  </si>
  <si>
    <t>Real Time Clock w/242x8 NVSRAM Alarm Wake-up</t>
  </si>
  <si>
    <t>Housing 7254S-H4-W</t>
  </si>
  <si>
    <t>Terminal crim 7254-BS2</t>
  </si>
  <si>
    <t>Tụ Gốm 0805 2.2uF 50V</t>
  </si>
  <si>
    <t>Điện Trở 120 Ohm 0805 5%</t>
  </si>
  <si>
    <t>Điện Trở 5.6 KOhm 0805 1%</t>
  </si>
  <si>
    <t>Điện Trở 0 Ohm 0805 1%</t>
  </si>
  <si>
    <t>Điện Trở 15 KOhm 0805 1%</t>
  </si>
  <si>
    <t>RES SMD 1.5K OHM 5% 1/4W 0805</t>
  </si>
  <si>
    <t>RES SMD 1K OHM 5% 1/4W 0805</t>
  </si>
  <si>
    <t>RES SMD 1.8K OHM 0.1% 1/4W 0805</t>
  </si>
  <si>
    <t>Tụ hóa 1000UF16V</t>
  </si>
  <si>
    <t>Điện trở 3.3K 1/4W 1%</t>
  </si>
  <si>
    <t>Đệm cao su lót mica</t>
  </si>
  <si>
    <t>Dây điện 2mm màu đen</t>
  </si>
  <si>
    <t>Dây điện 2mm màu đỏ</t>
  </si>
  <si>
    <t>2200UF16V</t>
  </si>
  <si>
    <t>Cầu chì ống 1A/250V</t>
  </si>
  <si>
    <t>Vít vàng ngắn</t>
  </si>
  <si>
    <t>CONN SOCKET PLCC 44POS TIN</t>
  </si>
  <si>
    <t>led 3mm</t>
  </si>
  <si>
    <t>ỐC VÀNG M3X8</t>
  </si>
  <si>
    <t>470pF 50V 1206</t>
  </si>
  <si>
    <t xml:space="preserve"> 
CAP ALUM 10UF 20% 400V RADIAL</t>
  </si>
  <si>
    <t>BF180 Cổng USB Cái 2.0 Type B 4 Chân Thẳng Xuyên Lỗ</t>
  </si>
  <si>
    <t>Dây rút 4x200mm</t>
  </si>
  <si>
    <t>Tụ 2200uF/50V</t>
  </si>
  <si>
    <t>BKN 1P C6A Cầu dao điện</t>
  </si>
  <si>
    <t>50V 100pF NP0 ±5% 0805 Multilayer Ceramic Capacitors MLCC - SMD/SMT ROHS</t>
  </si>
  <si>
    <t>35V 4.7uF X5R ±20% 0805 Multilayer Ceramic Capacitors MLCC - SMD/SMT ROHS</t>
  </si>
  <si>
    <t>50V 12pF C0G ±5% 0805 Multilayer Ceramic Capacitors MLCC - SMD/SMT ROHS</t>
  </si>
  <si>
    <t>10V 22uF X5R ±20% 0805 Multilayer Ceramic Capacitors MLCC - SMD/SMT ROHS</t>
  </si>
  <si>
    <t>125mW Thick Film Resistors 150V ±100ppm/? ±1% 5.1k? 0805 Chip Resistor - Surface Mount ROHS</t>
  </si>
  <si>
    <t>33Ω 150V Thick Film Resistors 125mW ±1% ±100ppm/℃ 0805 Chip Resistor - Surface Mount ROHS</t>
  </si>
  <si>
    <t>125mW Thick Film Resistors 150V ±100ppm/? ±1% 1k? 0805 Chip Resistor - Surface Mount ROHS</t>
  </si>
  <si>
    <t>RES 5.6K OHM 5% 1/8W 0805</t>
  </si>
  <si>
    <t>125mW Thick Film Resistors 150V ±100ppm/? ±1% 120? 0805 Chip Resistor - Surface Mount ROHS</t>
  </si>
  <si>
    <t>125mW Thick Film Resistors 150V ±100ppm/? ±5% 4.7k? 0805 Chip Resistor - Surface Mount ROHS</t>
  </si>
  <si>
    <t>125mW Thick Film Resistors 150V ±100ppm/? ±5% 47k? 0805 Chip Resistor - Surface Mount ROHS</t>
  </si>
  <si>
    <t>512KB 96KB FLASH 51 ARM-M4 120MHz LQFP-64(10x10) Microcontrollers (MCU/MPU/SOC) ROHS</t>
  </si>
  <si>
    <t>Darlington Transistors Seven NPN Array</t>
  </si>
  <si>
    <t>25MHz Surface Mount Crystal 20pF ±30ppm ±30ppm HC-49S-SMD Crystals ROHS</t>
  </si>
  <si>
    <t>PCB material FR-4,pcb size:70.89 mm* 143.51 mm</t>
  </si>
  <si>
    <t>Horizontal attachment 50mA Single Pole Double Throw (SPDT) 12V 10,000 times SMD Slide Switches ROHS</t>
  </si>
  <si>
    <t>IC 10Mbps 1/1 SOP-8 RS-485 / RS-422 ICs ROHS</t>
  </si>
  <si>
    <t>IC 1Mbps SOIC-8 CAN Transceivers ROHS</t>
  </si>
  <si>
    <t>RES 7.5 OHM 5% 1/8W 0805</t>
  </si>
  <si>
    <t>Đầu EH2.54mm 4 Chân Cong Xuyên Lỗ</t>
  </si>
  <si>
    <t>FMAC RAIL FILTER 3PH 1ST 10A 480VAC</t>
  </si>
  <si>
    <t>FPAC RAIL FILTER 3PH 1ST 10A 520VAC</t>
  </si>
  <si>
    <t>FPAC RAIL FILTER 3PH 1ST 32A 520VAC</t>
  </si>
  <si>
    <t>IC FF D-TYPE SNGL 8BIT 20SOIC</t>
  </si>
  <si>
    <t>Màn hình tinh thể lỏng Liquid crystal display 46.5 inch nền đen, chữ trắng model</t>
  </si>
  <si>
    <t>Liquid crystal display 6.5 inch blue background white letter ( without control circuit)</t>
  </si>
  <si>
    <t>Liquid crystal display 4.3 inch blue background white letter ( without control circuit)</t>
  </si>
  <si>
    <t>Liquid crystal display 4.3 inch black background white letter ( without control circuit)</t>
  </si>
  <si>
    <t>PCB TNM LCD_4.3Inch_CAN_V4.0 17-05-2025</t>
  </si>
  <si>
    <t>Capacitors 220uF 35V 20% ROHS</t>
  </si>
  <si>
    <t>Gerber file: PCB ENCODER INTERFACE V1.0 16.6.25_Y125 Build Time: 2 days</t>
  </si>
  <si>
    <t>Gerber file: PCB LTE220_V4.0 18-06-2025_Y127 Build Time: 2 days</t>
  </si>
  <si>
    <t>PCB2V2_Shinto 19-06-2025</t>
  </si>
  <si>
    <t>LQFP-48(7x7) Microcontrollers (MCU/MPU/SOC) ROHS</t>
  </si>
  <si>
    <t>Tụ Gốm 0805 22uF 16V</t>
  </si>
  <si>
    <t>1206B104K251CT</t>
  </si>
  <si>
    <t>C1206C105K4RACTU</t>
  </si>
  <si>
    <t>C1206C106K4RACTU</t>
  </si>
  <si>
    <t>C1206C330K2GACTU</t>
  </si>
  <si>
    <t>12067C472KAT2A</t>
  </si>
  <si>
    <t>12062A220JAT2A</t>
  </si>
  <si>
    <t>1206YC102KAT2A</t>
  </si>
  <si>
    <t>12063A150KAT2A</t>
  </si>
  <si>
    <t>GRM319R71H334KA01D</t>
  </si>
  <si>
    <t>CC1206ZRY5V9BB224</t>
  </si>
  <si>
    <t>VJ1206Y102KXXPW1BC</t>
  </si>
  <si>
    <t>CC1206JRNPO9BN470</t>
  </si>
  <si>
    <t>CL10F474ZB8NNNC</t>
  </si>
  <si>
    <t>C1206C225K4RACTU</t>
  </si>
  <si>
    <t>CC1206KRX7R8BB474</t>
  </si>
  <si>
    <t>12061C332KAT2A</t>
  </si>
  <si>
    <t>C1206C105M3RACTU</t>
  </si>
  <si>
    <t>C3216X7R1C475M160AB</t>
  </si>
  <si>
    <t>C3216X7R1H474K160AA</t>
  </si>
  <si>
    <t>UWT1V220MCL1GB</t>
  </si>
  <si>
    <t>UUR1V221MNL1GS</t>
  </si>
  <si>
    <t>UWX1C100MCL1GB</t>
  </si>
  <si>
    <t>UWT1V101MCL1GS</t>
  </si>
  <si>
    <t>SR215C104KAA</t>
  </si>
  <si>
    <t>1206B222K251CT</t>
  </si>
  <si>
    <t>UVR1C221MED</t>
  </si>
  <si>
    <t>C1206C201MGGACTU</t>
  </si>
  <si>
    <t>STCAP220PF50V1206</t>
  </si>
  <si>
    <t>1NF50V1206</t>
  </si>
  <si>
    <t>RMCF0603JT560R</t>
  </si>
  <si>
    <t>RMCF0603JT10K0</t>
  </si>
  <si>
    <t>RMCF0603JT1K00</t>
  </si>
  <si>
    <t>RMCF0603JT20K0</t>
  </si>
  <si>
    <t>RC1206JR-0715RL</t>
  </si>
  <si>
    <t>RC1206JR-0747RL</t>
  </si>
  <si>
    <t>RC1206JR-07100RL</t>
  </si>
  <si>
    <t>RC1206JR-07560RL</t>
  </si>
  <si>
    <t>RC1206JR-07680RL</t>
  </si>
  <si>
    <t>RC1206FR-071KL</t>
  </si>
  <si>
    <t>RC1206JR-071K8L</t>
  </si>
  <si>
    <t>RC1206JR-072KL</t>
  </si>
  <si>
    <t>RC1206JR-072K2L</t>
  </si>
  <si>
    <t>CRM2512-JW-222ELF</t>
  </si>
  <si>
    <t>RC1206JR-072K7L</t>
  </si>
  <si>
    <t>RC1206JR-074K7L</t>
  </si>
  <si>
    <t>RC1206JR-0716KL</t>
  </si>
  <si>
    <t>RC1206JR-0720KL</t>
  </si>
  <si>
    <t>RC1206JR-0722KL</t>
  </si>
  <si>
    <t>RC1206JR-0733KL</t>
  </si>
  <si>
    <t>RC1206JR-07100KL</t>
  </si>
  <si>
    <t>MCR18ERTF5102</t>
  </si>
  <si>
    <t>RMCF1206FT4K64</t>
  </si>
  <si>
    <t>RC1206JR-071ML</t>
  </si>
  <si>
    <t>RK73B2BTTD152J</t>
  </si>
  <si>
    <t>RT1206BRD0747KL</t>
  </si>
  <si>
    <t>RT1206BRD074K7L</t>
  </si>
  <si>
    <t>RC1206JR-0747KL</t>
  </si>
  <si>
    <t>RC1206JR-07270KL</t>
  </si>
  <si>
    <t>RC1206JR-0768KL</t>
  </si>
  <si>
    <t>RK73B2BTTD2R2J</t>
  </si>
  <si>
    <t>RMCF1206FT3R90</t>
  </si>
  <si>
    <t>CRCW2512160KJNEG</t>
  </si>
  <si>
    <t>RMCF1206FT1K20</t>
  </si>
  <si>
    <t>RMCF1206FT47K0</t>
  </si>
  <si>
    <t>RMCF1206FT6K20</t>
  </si>
  <si>
    <t>RMCF1206FT5K10</t>
  </si>
  <si>
    <t>RMCF2512JT510R</t>
  </si>
  <si>
    <t>CRM2512-JW-220ELF</t>
  </si>
  <si>
    <t>RC1206JR-076K8L</t>
  </si>
  <si>
    <t>RL2512FK-070R01L</t>
  </si>
  <si>
    <t>RMCF1206FT2K20</t>
  </si>
  <si>
    <t>RMCF1206FT10K0</t>
  </si>
  <si>
    <t>STR1M1206-1</t>
  </si>
  <si>
    <t>RMCF1206FT4K70</t>
  </si>
  <si>
    <t>0 Ohm1206</t>
  </si>
  <si>
    <t>120 Ohm1206</t>
  </si>
  <si>
    <t>RMCF1206FT1K00</t>
  </si>
  <si>
    <t>2.7K Ohm 1206</t>
  </si>
  <si>
    <t>SN74LV138ADR</t>
  </si>
  <si>
    <t>SN74LV04ADR</t>
  </si>
  <si>
    <t>ULN2803ADWR</t>
  </si>
  <si>
    <t>SN74LV240ADWR</t>
  </si>
  <si>
    <t>SN74LV574ADWR</t>
  </si>
  <si>
    <t>SN65HVD230DR</t>
  </si>
  <si>
    <t>CAT24C64WI-GT3</t>
  </si>
  <si>
    <t>TM4C123AE6PMIR</t>
  </si>
  <si>
    <t>TLP185(SE(T</t>
  </si>
  <si>
    <t>TLP290(TP,SE</t>
  </si>
  <si>
    <t>LM2577SX-ADJ/NOPB</t>
  </si>
  <si>
    <t>LM2576SX-3.3/NOPB</t>
  </si>
  <si>
    <t>ATTINY2313-20SUR</t>
  </si>
  <si>
    <t>LM358MX</t>
  </si>
  <si>
    <t>LFLS7084N-S</t>
  </si>
  <si>
    <t>CD4516BNSR</t>
  </si>
  <si>
    <t>MC7805BDTRKG</t>
  </si>
  <si>
    <t>AP23170A0S008G</t>
  </si>
  <si>
    <t>FM8002A</t>
  </si>
  <si>
    <t>IC-NVTSSOP20</t>
  </si>
  <si>
    <t>SN65HVD08DR</t>
  </si>
  <si>
    <t>74HC595D,112</t>
  </si>
  <si>
    <t>EG4318</t>
  </si>
  <si>
    <t>UC3842BD1</t>
  </si>
  <si>
    <t>PAM8403DR-H</t>
  </si>
  <si>
    <t>CD4027BM96</t>
  </si>
  <si>
    <t>LM358DR</t>
  </si>
  <si>
    <t>IR2110STRPBF</t>
  </si>
  <si>
    <t>AMS1117-3.3V</t>
  </si>
  <si>
    <t>MB1S-TP</t>
  </si>
  <si>
    <t>BZV55-C3V0,115</t>
  </si>
  <si>
    <t>BAS85,115</t>
  </si>
  <si>
    <t>VS-MBRS340-M3/9AT</t>
  </si>
  <si>
    <t>BZV55-C18,115</t>
  </si>
  <si>
    <t>RS1M</t>
  </si>
  <si>
    <t>RS2M R5G</t>
  </si>
  <si>
    <t>1N4007FLTR</t>
  </si>
  <si>
    <t xml:space="preserve">1SMA4746TR </t>
  </si>
  <si>
    <t>SF10A400H</t>
  </si>
  <si>
    <t>BC857B,215</t>
  </si>
  <si>
    <t>BC847B,215</t>
  </si>
  <si>
    <t>2SAR544P5T100</t>
  </si>
  <si>
    <t>BC846ALT3G</t>
  </si>
  <si>
    <t>BC847BHZGT116</t>
  </si>
  <si>
    <t>PMF250XNEX</t>
  </si>
  <si>
    <t>KBP206</t>
  </si>
  <si>
    <t>ST-5050-CWTD-2S</t>
  </si>
  <si>
    <t>SH-855-WWSD-1B</t>
  </si>
  <si>
    <t>STL1206RED</t>
  </si>
  <si>
    <t>LED XANH</t>
  </si>
  <si>
    <t>560NH-0805</t>
  </si>
  <si>
    <t>NR6045T470M</t>
  </si>
  <si>
    <t>ZJYS81R5-2PL-51T-G01</t>
  </si>
  <si>
    <t>ZJYS81R5-2PL-25T-G01</t>
  </si>
  <si>
    <t>7M-27.120MEEQ-T</t>
  </si>
  <si>
    <t>UHE1H221MPD</t>
  </si>
  <si>
    <t>URZ1A221MDD1TD</t>
  </si>
  <si>
    <t>URS1V221MPD1TD</t>
  </si>
  <si>
    <t>EEA-GA1C100H</t>
  </si>
  <si>
    <t>URS1V101MPD1TD</t>
  </si>
  <si>
    <t>UMA1A101MDD1TP</t>
  </si>
  <si>
    <t>ESK106M350AH2AA</t>
  </si>
  <si>
    <t>Capacitor 22uf/400V</t>
  </si>
  <si>
    <t>S103M47Z5UN63J7R</t>
  </si>
  <si>
    <t>S471K29X7RN6UK5R</t>
  </si>
  <si>
    <t>UVR1HR47MDD</t>
  </si>
  <si>
    <t>ESK107M025AE3EA</t>
  </si>
  <si>
    <t xml:space="preserve">C315C102K1R5TA7301 </t>
  </si>
  <si>
    <t>C315C332K1R5TA</t>
  </si>
  <si>
    <t>UVK2A101MPD</t>
  </si>
  <si>
    <t>UVR1E102MPD</t>
  </si>
  <si>
    <t>UVR2G470MHD</t>
  </si>
  <si>
    <t>R46KI3100JBM1M</t>
  </si>
  <si>
    <t>C1206C220KCGACTU</t>
  </si>
  <si>
    <t>CW010330R0JE73</t>
  </si>
  <si>
    <t>SQP500JB-100R</t>
  </si>
  <si>
    <t>SQP10AJB-1K5</t>
  </si>
  <si>
    <t>3362P-1-203LF</t>
  </si>
  <si>
    <t>PAC300001508FAC000</t>
  </si>
  <si>
    <t>PAC300003007FAC000</t>
  </si>
  <si>
    <t>PR03000205108JAC00</t>
  </si>
  <si>
    <t>MBE04140C4702FC100</t>
  </si>
  <si>
    <t>MBE04140C1001FC100</t>
  </si>
  <si>
    <t>MBE04140C1002FC100</t>
  </si>
  <si>
    <t>PT6KV-503A2020</t>
  </si>
  <si>
    <t>HCPL2530</t>
  </si>
  <si>
    <t>SN65HVD08P</t>
  </si>
  <si>
    <t xml:space="preserve">SN65HVD10P </t>
  </si>
  <si>
    <t>4N35</t>
  </si>
  <si>
    <t>TL3845P</t>
  </si>
  <si>
    <t>LM7812CT</t>
  </si>
  <si>
    <t>TIP42CG</t>
  </si>
  <si>
    <t>TIP41C</t>
  </si>
  <si>
    <t>ATMEGA88A-PU</t>
  </si>
  <si>
    <t>AT24C256 DIP 8</t>
  </si>
  <si>
    <t>1.5KE12CA</t>
  </si>
  <si>
    <t>1N5822-TP</t>
  </si>
  <si>
    <t>1N5822-E3/54</t>
  </si>
  <si>
    <t>1N4007-TP</t>
  </si>
  <si>
    <t>1N5408-TP</t>
  </si>
  <si>
    <t>RS507-G</t>
  </si>
  <si>
    <t>FQPF8N60CFT</t>
  </si>
  <si>
    <t>FOXSLF/120</t>
  </si>
  <si>
    <t>NC38LF-327</t>
  </si>
  <si>
    <t>FOXSLF/080-20</t>
  </si>
  <si>
    <t>FC4SDCBMF10.0-T1</t>
  </si>
  <si>
    <t>KF2EDG-5.08-8PR</t>
  </si>
  <si>
    <t>KF2EDG-5.08-6PR</t>
  </si>
  <si>
    <t>KF2EDG-5.08-3PR</t>
  </si>
  <si>
    <t>KF2EDG-5.08-8PV</t>
  </si>
  <si>
    <t>KF2EDG-5.08-6PV</t>
  </si>
  <si>
    <t>KF2EDG-5.08-4PV</t>
  </si>
  <si>
    <t>KF2EDG-5.08-3PV</t>
  </si>
  <si>
    <t>KF2EDGKA-5.08-3PV</t>
  </si>
  <si>
    <t>KF2EDGKA-5.08-6PV</t>
  </si>
  <si>
    <t>7254-PR4(0)</t>
  </si>
  <si>
    <t>IDCMBH10</t>
  </si>
  <si>
    <t>PLCC-44-AT</t>
  </si>
  <si>
    <t>A-CCS 028-Z-T</t>
  </si>
  <si>
    <t>693012040811</t>
  </si>
  <si>
    <t>CEM5161BE</t>
  </si>
  <si>
    <t>ELM-722UYOWB/A7/P44</t>
  </si>
  <si>
    <t>OSG58AZ2C1P</t>
  </si>
  <si>
    <t>OS5RKAZ2C1P</t>
  </si>
  <si>
    <t>333URC-A</t>
  </si>
  <si>
    <t>IR333A</t>
  </si>
  <si>
    <t>PT334-6B</t>
  </si>
  <si>
    <t>RED 3MM LED</t>
  </si>
  <si>
    <t>HT204UYC</t>
  </si>
  <si>
    <t>HT204SURD</t>
  </si>
  <si>
    <t>3641AH</t>
  </si>
  <si>
    <t>3RG00-A</t>
  </si>
  <si>
    <t>SMD_BUZZER_9633</t>
  </si>
  <si>
    <t>YMD-12095G-5V</t>
  </si>
  <si>
    <t>YMD-12095G-3V</t>
  </si>
  <si>
    <t>DIPSW06-R</t>
  </si>
  <si>
    <t>SSSF111800</t>
  </si>
  <si>
    <t xml:space="preserve">TACTILE_6x6x12 </t>
  </si>
  <si>
    <t>2.54mm-40x1-MH</t>
  </si>
  <si>
    <t>SKAR-10</t>
  </si>
  <si>
    <t>RIBBON</t>
  </si>
  <si>
    <t>Header 5P</t>
  </si>
  <si>
    <t>SMD01</t>
  </si>
  <si>
    <t>VC19176</t>
  </si>
  <si>
    <t>ONG CO 3</t>
  </si>
  <si>
    <t>STMIC9X7MM</t>
  </si>
  <si>
    <t>HEADER 8P</t>
  </si>
  <si>
    <t>HEADER 2P</t>
  </si>
  <si>
    <t>STBUZZER8OHM0.5W</t>
  </si>
  <si>
    <t>SRA-12VDC-CL</t>
  </si>
  <si>
    <t>TLSV5100</t>
  </si>
  <si>
    <t>MBR20100CT</t>
  </si>
  <si>
    <t>RXEF300-3</t>
  </si>
  <si>
    <t>RUEF300</t>
  </si>
  <si>
    <t>STP75NF75FP</t>
  </si>
  <si>
    <t>TPC817C C9G</t>
  </si>
  <si>
    <t>76x23x100</t>
  </si>
  <si>
    <t>Tem 10x5.5cm</t>
  </si>
  <si>
    <t>ONG CO 8MM600V</t>
  </si>
  <si>
    <t>ONG CO 5</t>
  </si>
  <si>
    <t xml:space="preserve">CONN4.2-4P </t>
  </si>
  <si>
    <t>STHEATSINK13X18MM</t>
  </si>
  <si>
    <t>STSILI-HY410</t>
  </si>
  <si>
    <t>SK 507 100 SA</t>
  </si>
  <si>
    <t>0287040.PXCN</t>
  </si>
  <si>
    <t>V6560X</t>
  </si>
  <si>
    <t>7770</t>
  </si>
  <si>
    <t>CH3.96MM-4P</t>
  </si>
  <si>
    <t>DOMINO 25A</t>
  </si>
  <si>
    <t>DAY 4.0-B</t>
  </si>
  <si>
    <t>STCOS5.5-B</t>
  </si>
  <si>
    <t>STCOS5.5-R</t>
  </si>
  <si>
    <t>TRU DONG M3 10MM/HEX-M3-10MM</t>
  </si>
  <si>
    <t>ST-304M3X10</t>
  </si>
  <si>
    <t>ST-304M3X20/LGCDB304-M3x20</t>
  </si>
  <si>
    <t>ST-304M4X10/LGCDB304-M4x10</t>
  </si>
  <si>
    <t>DAI OC M3</t>
  </si>
  <si>
    <t>DAI OC M4</t>
  </si>
  <si>
    <t>STFUSE5A</t>
  </si>
  <si>
    <t>STRELAY12V3A</t>
  </si>
  <si>
    <t>VCK01</t>
  </si>
  <si>
    <t>MICA</t>
  </si>
  <si>
    <t>BOX 22x20x22.5CM</t>
  </si>
  <si>
    <t>HK19F-DC05V-SHG</t>
  </si>
  <si>
    <t>HEADER 3P</t>
  </si>
  <si>
    <t xml:space="preserve">AK-R-160 </t>
  </si>
  <si>
    <t xml:space="preserve">STSWITCH-19MM </t>
  </si>
  <si>
    <t>PCB SOC210V1.3</t>
  </si>
  <si>
    <t>PCB SOC210 V1.2D</t>
  </si>
  <si>
    <t>PCB SHC210V1.3</t>
  </si>
  <si>
    <t>PCB SHC211_HV</t>
  </si>
  <si>
    <t>PCB GERBER SCC210_V1.3</t>
  </si>
  <si>
    <t>PCB GERBER SCE210_V1.3</t>
  </si>
  <si>
    <t>PCB DZPCB</t>
  </si>
  <si>
    <t>PCB GERBER SCC210 2411201</t>
  </si>
  <si>
    <t>PCB SCE210-161215</t>
  </si>
  <si>
    <t>PCB Hall lantern - green</t>
  </si>
  <si>
    <t>PCB Hall lantern - red</t>
  </si>
  <si>
    <t>PCB SOE210 V1.1</t>
  </si>
  <si>
    <t>PCB BRAKE FILTER</t>
  </si>
  <si>
    <t>PCB SOG210 V1.1</t>
  </si>
  <si>
    <t>PCB LVSS V1.2</t>
  </si>
  <si>
    <t>PCB SHC211 V1.4</t>
  </si>
  <si>
    <t>PCB CHARGE CONTROL</t>
  </si>
  <si>
    <t>PCB GERBER GSM_M4 V1.4</t>
  </si>
  <si>
    <t>PCB DZPCB V1.4</t>
  </si>
  <si>
    <t>Mạch in SCC210 v1.4</t>
  </si>
  <si>
    <t>Mạch in SCE210 v1.4</t>
  </si>
  <si>
    <t>PCB SHC210 V1.4</t>
  </si>
  <si>
    <t>PCB SHC211VH V1.4</t>
  </si>
  <si>
    <t>PCB SOG210_v1.4(240820)</t>
  </si>
  <si>
    <t>PCB SOC210 V1.4</t>
  </si>
  <si>
    <t>PCB CHARGE CONTROL V1.0</t>
  </si>
  <si>
    <t>PCB 60VDC-12VDC</t>
  </si>
  <si>
    <t>PCB GSM-17082020</t>
  </si>
  <si>
    <t>Mạch in GSM210</t>
  </si>
  <si>
    <t>PCB GERBER LCD E_PAPER 2.9</t>
  </si>
  <si>
    <t>Mạch in DZPCB v1.4</t>
  </si>
  <si>
    <t xml:space="preserve">Mạch in LED 12VDC logo </t>
  </si>
  <si>
    <t>PCB CARD READER V1.2</t>
  </si>
  <si>
    <t>Ceiling light outer ring</t>
  </si>
  <si>
    <t>Ceiling light middle ring</t>
  </si>
  <si>
    <t>CEILING LIGHT CLIPS</t>
  </si>
  <si>
    <t>LENS</t>
  </si>
  <si>
    <t>ALUMINIUM PALTE</t>
  </si>
  <si>
    <t>SCREW 3X8</t>
  </si>
  <si>
    <t>SCREW 4X10</t>
  </si>
  <si>
    <t>STwire-vcm1.0-B</t>
  </si>
  <si>
    <t>STwire-vcm1.0-R</t>
  </si>
  <si>
    <t>STTSCR-M3X6-G</t>
  </si>
  <si>
    <t>SSTSCR-M3X8-G</t>
  </si>
  <si>
    <t>GBPC3504-E4/51</t>
  </si>
  <si>
    <t>W10G-E4/51</t>
  </si>
  <si>
    <t>1.5KE200A-E3/54</t>
  </si>
  <si>
    <t>1N4742A,133</t>
  </si>
  <si>
    <t>39-01-2040</t>
  </si>
  <si>
    <t>39-01-2041</t>
  </si>
  <si>
    <t>39-00-0038</t>
  </si>
  <si>
    <t>39-00-0040</t>
  </si>
  <si>
    <t>39-01-2120</t>
  </si>
  <si>
    <t>39-01-2121</t>
  </si>
  <si>
    <t>39-01-2061</t>
  </si>
  <si>
    <t>39-01-2060</t>
  </si>
  <si>
    <t>FUSE-H-10A</t>
  </si>
  <si>
    <t>FMP100JR-52-2K2</t>
  </si>
  <si>
    <t>CFR-25JR-52-100R</t>
  </si>
  <si>
    <t>CFR-25JR-52-220R</t>
  </si>
  <si>
    <t>CFR-50JR-52-120R</t>
  </si>
  <si>
    <t>CFR-25JR-52-470R</t>
  </si>
  <si>
    <t>CFR-25JR-52-330R</t>
  </si>
  <si>
    <t>CFR-25JR-52-220K</t>
  </si>
  <si>
    <t>Resistor 10W</t>
  </si>
  <si>
    <t>FMP100JR-52-560R</t>
  </si>
  <si>
    <t>CFR-25JT-52-1K5</t>
  </si>
  <si>
    <t>CFR-25JR-52-10K</t>
  </si>
  <si>
    <t>CFR-25JR-52-2K2</t>
  </si>
  <si>
    <t>CFR-25JR-52-4K7</t>
  </si>
  <si>
    <t>CFR-25JR-52-3K3</t>
  </si>
  <si>
    <t>CFR-25JR-52-680R</t>
  </si>
  <si>
    <t>CFR-25JR-52-100K</t>
  </si>
  <si>
    <t>FMP300FRF73-33R</t>
  </si>
  <si>
    <t>CF14JT220R</t>
  </si>
  <si>
    <t>CF14JT390R</t>
  </si>
  <si>
    <t>CF14JT1K00</t>
  </si>
  <si>
    <t>CF14JT1K50</t>
  </si>
  <si>
    <t>CF14JT3K30</t>
  </si>
  <si>
    <t>CF14JT10K0</t>
  </si>
  <si>
    <t>B32529C1104M000</t>
  </si>
  <si>
    <t>ESK106M050AC3AA</t>
  </si>
  <si>
    <t>UA7805CKCT</t>
  </si>
  <si>
    <t>ABL-12.000MHZ-B2</t>
  </si>
  <si>
    <t>1N4735</t>
  </si>
  <si>
    <t>STL-5LY</t>
  </si>
  <si>
    <t>PR03000202202JAC00</t>
  </si>
  <si>
    <t>CFR-25JR-52-390R</t>
  </si>
  <si>
    <t>PR01000104701JR500</t>
  </si>
  <si>
    <t>CFR-25JR-52-15K</t>
  </si>
  <si>
    <t>CFR-25JR-52-1K</t>
  </si>
  <si>
    <t>4609X-101-103LF</t>
  </si>
  <si>
    <t>4609X-101-272LF</t>
  </si>
  <si>
    <t>4609X-101-472LF</t>
  </si>
  <si>
    <t>4609X-101-332LF</t>
  </si>
  <si>
    <t>CFR-25JR-52-6K8</t>
  </si>
  <si>
    <t>CFR-25JR-52-33K</t>
  </si>
  <si>
    <t>PR01000102201JR500</t>
  </si>
  <si>
    <t>FMP300FTF73-47K</t>
  </si>
  <si>
    <t>S100K33SL0R63K7R</t>
  </si>
  <si>
    <t>B32529C104K</t>
  </si>
  <si>
    <t>ULD1H010MDD1TD</t>
  </si>
  <si>
    <t>UVR1H100MDD</t>
  </si>
  <si>
    <t>B32529C0103K289</t>
  </si>
  <si>
    <t>B32529C0222K189</t>
  </si>
  <si>
    <t>UVK1H220MDD</t>
  </si>
  <si>
    <t>UHE2A470MPD</t>
  </si>
  <si>
    <t>ERZ-V20D471</t>
  </si>
  <si>
    <t>3XYG1003</t>
  </si>
  <si>
    <t>RAV-781 BXZ-2</t>
  </si>
  <si>
    <t>9B-11.0592MBBK-B</t>
  </si>
  <si>
    <t>SN74ALS138AN</t>
  </si>
  <si>
    <t>AT89C51CC02</t>
  </si>
  <si>
    <t>SN74ALS04BN</t>
  </si>
  <si>
    <t>MIC2981/82YN</t>
  </si>
  <si>
    <t>SN74LS123N</t>
  </si>
  <si>
    <t>SN74HC574N</t>
  </si>
  <si>
    <t>AT89C2051-24PU</t>
  </si>
  <si>
    <t>TIP31BG</t>
  </si>
  <si>
    <t>BF423ZL1G</t>
  </si>
  <si>
    <t>1N5242BTR</t>
  </si>
  <si>
    <t>1N4148</t>
  </si>
  <si>
    <t>SN65HVD251P</t>
  </si>
  <si>
    <t>SN74ALS574BN</t>
  </si>
  <si>
    <t>SN74ALS240AN</t>
  </si>
  <si>
    <t>AT89S8253-24PU</t>
  </si>
  <si>
    <t>Led HLEC-S1206URWB</t>
  </si>
  <si>
    <t>COMLED09</t>
  </si>
  <si>
    <t>LED 7 DOAN TRUNG</t>
  </si>
  <si>
    <t>LED CHI CHIEU</t>
  </si>
  <si>
    <t>LED VUONG</t>
  </si>
  <si>
    <t>FT-3KM F6045G</t>
  </si>
  <si>
    <t>BT VUÔNG</t>
  </si>
  <si>
    <t>SHC217V2</t>
  </si>
  <si>
    <t>SHC-HL1</t>
  </si>
  <si>
    <t>SHC-HLC1( SHC-SLC1)</t>
  </si>
  <si>
    <t>Mạch in SHC215AV1</t>
  </si>
  <si>
    <t>MPU 243</t>
  </si>
  <si>
    <t>MPU16E</t>
  </si>
  <si>
    <t>PCB MPU8D</t>
  </si>
  <si>
    <t>MPU162-0312 ver 1.9.1</t>
  </si>
  <si>
    <t>MPU162A_0811</t>
  </si>
  <si>
    <t>PCB MPU162_T89C51CC01(MPU162 CAN V2.1)</t>
  </si>
  <si>
    <t>SIK 210</t>
  </si>
  <si>
    <t>PCB BUFFER 1109</t>
  </si>
  <si>
    <t>Gerber MT SOS V1.1</t>
  </si>
  <si>
    <t>FX3G-04P-H-M3</t>
  </si>
  <si>
    <t>FX3G-04P-V-M3</t>
  </si>
  <si>
    <t>PCB EMP-48A</t>
  </si>
  <si>
    <t>PCB EMP-412</t>
  </si>
  <si>
    <t>FX3G-01PE-M4</t>
  </si>
  <si>
    <t>FX3G-02BP-M4</t>
  </si>
  <si>
    <t>BTBC03-07</t>
  </si>
  <si>
    <t>GERBER FILTER6SNEW</t>
  </si>
  <si>
    <t>PCB FILTER3S</t>
  </si>
  <si>
    <t>RAB2016</t>
  </si>
  <si>
    <t>PCB DB162New</t>
  </si>
  <si>
    <t>Project Outputs for 180-AD_v1</t>
  </si>
  <si>
    <t>Project Outputs for 180-AD_v2</t>
  </si>
  <si>
    <t>Mạch in Fixed 20151226</t>
  </si>
  <si>
    <t>PCB DAIKO COP LED (PCB3)</t>
  </si>
  <si>
    <t>DAIKO COP LED (PCB4)</t>
  </si>
  <si>
    <t>PCB SHI217H2 (SHC217D3)</t>
  </si>
  <si>
    <t>VC19177</t>
  </si>
  <si>
    <t>DIPSW08-R</t>
  </si>
  <si>
    <t>K100J15C0GF5TL2</t>
  </si>
  <si>
    <t>222J100</t>
  </si>
  <si>
    <t>PR02000204701JR500</t>
  </si>
  <si>
    <t>CABLE 15CM</t>
  </si>
  <si>
    <t>STTCON4PIN-2.54-90</t>
  </si>
  <si>
    <t>DAY 2.54 2P</t>
  </si>
  <si>
    <t>FMBC-A91R-4210</t>
  </si>
  <si>
    <t>FMBC-A91Q-3010</t>
  </si>
  <si>
    <t>FMAC-0934-5010</t>
  </si>
  <si>
    <t>BZV55-C20,115</t>
  </si>
  <si>
    <t>FOD814A300</t>
  </si>
  <si>
    <t>KSC2073TU</t>
  </si>
  <si>
    <t>TLB-900/1800JW-900DL</t>
  </si>
  <si>
    <t>FMAC-0A38-3213</t>
  </si>
  <si>
    <t>GBPC3506-E4/51</t>
  </si>
  <si>
    <t>STSILICON</t>
  </si>
  <si>
    <t>NFC 13.56 MHZ</t>
  </si>
  <si>
    <t>C0805X104J5RACAUTO</t>
  </si>
  <si>
    <t>MAX485ESA+T</t>
  </si>
  <si>
    <t>STBSCR-M3-7.5MM</t>
  </si>
  <si>
    <t>PCB SOP210</t>
  </si>
  <si>
    <t>UVR1H101MPD1TD</t>
  </si>
  <si>
    <t>BKN 1P C32A</t>
  </si>
  <si>
    <t>ESE228M035AM7AA</t>
  </si>
  <si>
    <t>UVR1E471MPD</t>
  </si>
  <si>
    <t>S3H-12-1C</t>
  </si>
  <si>
    <t>S12-PAS-12</t>
  </si>
  <si>
    <t>PCB UPS ARD 1500VA v1.3</t>
  </si>
  <si>
    <t>VCCT201-M3x6/ST-201M3X6</t>
  </si>
  <si>
    <t>LDP Mạ M5x11x0.6</t>
  </si>
  <si>
    <t>EEE-FKJ471XSP</t>
  </si>
  <si>
    <t>ATMEGA88PA-AUR</t>
  </si>
  <si>
    <t>SBI210 - 22-03-2021</t>
  </si>
  <si>
    <t>NABAKEM UC-100</t>
  </si>
  <si>
    <t>ONG GEN</t>
  </si>
  <si>
    <t>0003091049</t>
  </si>
  <si>
    <t>PCB NFC V2.1</t>
  </si>
  <si>
    <t>DC5521</t>
  </si>
  <si>
    <t>KPHBM-2012SURKCGKC</t>
  </si>
  <si>
    <t>C0805C201K5GAC7800</t>
  </si>
  <si>
    <t>RK73B2ATTD121J</t>
  </si>
  <si>
    <t>RK73B2ATTD150J</t>
  </si>
  <si>
    <t>RK73B2ATTD103J</t>
  </si>
  <si>
    <t>RK73B2ATTD331J</t>
  </si>
  <si>
    <t>RK73B2ATTD151J</t>
  </si>
  <si>
    <t>RK73B2ATTD472J</t>
  </si>
  <si>
    <t>RK73Z2ARTTD</t>
  </si>
  <si>
    <t>RK73B2ATTD102J</t>
  </si>
  <si>
    <t>RK73B2ATTD272J</t>
  </si>
  <si>
    <t>ESP32-WROOM-32UE (16MB)</t>
  </si>
  <si>
    <t>EEE-FN1A102P</t>
  </si>
  <si>
    <t>C0805KRX7R7BB475</t>
  </si>
  <si>
    <t>TLP127</t>
  </si>
  <si>
    <t>AT24C128-10PU-2.7</t>
  </si>
  <si>
    <t>IRF480</t>
  </si>
  <si>
    <t>CC45SL3AD471JYGNA</t>
  </si>
  <si>
    <t>CC0805JRX7R9BB332</t>
  </si>
  <si>
    <t>C0805C103J5RAC7210</t>
  </si>
  <si>
    <t>UMK212BB7225MG-T</t>
  </si>
  <si>
    <t>C0805C474J5REC7800</t>
  </si>
  <si>
    <t>RK73B2ATTD203J</t>
  </si>
  <si>
    <t>RK73B2ATTD273J</t>
  </si>
  <si>
    <t>RK73B2ATTD163J</t>
  </si>
  <si>
    <t>RK73B2ATTD101J</t>
  </si>
  <si>
    <t>RK73B2ATTD202J</t>
  </si>
  <si>
    <t>ERJ-8GEYJ223V</t>
  </si>
  <si>
    <t>RK73B2ATTD182J</t>
  </si>
  <si>
    <t>LTR10EZPJ104</t>
  </si>
  <si>
    <t>RK73H2ATTD1002F</t>
  </si>
  <si>
    <t>RK73B2ATTD274J</t>
  </si>
  <si>
    <t>RC2512JK-07160KL</t>
  </si>
  <si>
    <t>PR01000101508JR500</t>
  </si>
  <si>
    <t>RK73B2ATTD683J</t>
  </si>
  <si>
    <t>RC1206FR-073K3L</t>
  </si>
  <si>
    <t>MOSX2CT52RR300F</t>
  </si>
  <si>
    <t>4Bit-7D (PCB2) NEW</t>
  </si>
  <si>
    <t>GERBER IO88 06-05-2021</t>
  </si>
  <si>
    <t>Gerber Charger DC60V 15-05-2021</t>
  </si>
  <si>
    <t>GERBER Voice announcement 14-07-2021</t>
  </si>
  <si>
    <t>BIEN TRO 10K</t>
  </si>
  <si>
    <t>STSUSB-B2.0-5P</t>
  </si>
  <si>
    <t>ECA-1VM101</t>
  </si>
  <si>
    <t>W25Q16JVSSIQ</t>
  </si>
  <si>
    <t>IC28DIP600</t>
  </si>
  <si>
    <t>TRANSISTOR KSC 945</t>
  </si>
  <si>
    <t>TERMINA 10PIN</t>
  </si>
  <si>
    <t>VC21137</t>
  </si>
  <si>
    <t>PCB SHC216B</t>
  </si>
  <si>
    <t>560 OHM/2W</t>
  </si>
  <si>
    <t>GERBER SHC210_ver_1.5 19-11-2021</t>
  </si>
  <si>
    <t>GERBER SHC211_ver_1.5 19-11-2021</t>
  </si>
  <si>
    <t>GERBER SOC210_ver_1.5 19-11-2021</t>
  </si>
  <si>
    <t>STLED-1W-W</t>
  </si>
  <si>
    <t>TIP36AG</t>
  </si>
  <si>
    <t>FMP300FRF73-120R</t>
  </si>
  <si>
    <t>TNM-002</t>
  </si>
  <si>
    <t>STP120NF10</t>
  </si>
  <si>
    <t>F861BG224M310C</t>
  </si>
  <si>
    <t>D03057BWBRC-C</t>
  </si>
  <si>
    <t>TNM-LED- 3611AS</t>
  </si>
  <si>
    <t>RC1206JR-07220RL</t>
  </si>
  <si>
    <t>RC1206JR-07270RL</t>
  </si>
  <si>
    <t>EC200SCNAB-N06-SNNSA</t>
  </si>
  <si>
    <t>GERBER FSS PCB 23-12-2021</t>
  </si>
  <si>
    <t>GERBER DZPCB V1.5</t>
  </si>
  <si>
    <t>PCB SIK210 - 17012020</t>
  </si>
  <si>
    <t>PCB LEDIN</t>
  </si>
  <si>
    <t>TNM-KEYPAD 4X4</t>
  </si>
  <si>
    <t>TNM-RES-100-2512</t>
  </si>
  <si>
    <t>HEX-M3-15MM</t>
  </si>
  <si>
    <t>STNUT-M3</t>
  </si>
  <si>
    <t>2.54mm-40x1-MH-17MM</t>
  </si>
  <si>
    <t>TNM-CAP-220-16V</t>
  </si>
  <si>
    <t>TNM-WIRE-5</t>
  </si>
  <si>
    <t>ULN2803G-S18-R</t>
  </si>
  <si>
    <t>DINH VIT M3X8</t>
  </si>
  <si>
    <t>BQ3285ESTR</t>
  </si>
  <si>
    <t>PCB LTE210</t>
  </si>
  <si>
    <t>NCP2823BFCT1G</t>
  </si>
  <si>
    <t>PCB SHI217H</t>
  </si>
  <si>
    <t>7254S-H4-W</t>
  </si>
  <si>
    <t>7254-BS2</t>
  </si>
  <si>
    <t>ERJ-T06J121V</t>
  </si>
  <si>
    <t>ERJ-T06J562V</t>
  </si>
  <si>
    <t>RC0805JR-130RL</t>
  </si>
  <si>
    <t>ERJ-T06J153V</t>
  </si>
  <si>
    <t>ERJ-T06J152V</t>
  </si>
  <si>
    <t>ERJ-T06J102V</t>
  </si>
  <si>
    <t>ERJ-PB6B1801V</t>
  </si>
  <si>
    <t>UFW1A102MPD1TD</t>
  </si>
  <si>
    <t>CF14JT3K90</t>
  </si>
  <si>
    <t>TNM-05</t>
  </si>
  <si>
    <t>865090368008</t>
  </si>
  <si>
    <t>1K5/2W</t>
  </si>
  <si>
    <t>PCB SHI 217V2</t>
  </si>
  <si>
    <t>Vcm 0.5</t>
  </si>
  <si>
    <t>STHEATSINK11x5x16MM</t>
  </si>
  <si>
    <t>PCB SHC215AH2</t>
  </si>
  <si>
    <t>1A/250V</t>
  </si>
  <si>
    <t>SSTSCR-2X6-G</t>
  </si>
  <si>
    <t>RC1206JR-0756KL</t>
  </si>
  <si>
    <t>54020-44030LF</t>
  </si>
  <si>
    <t>PCB SHI 217V</t>
  </si>
  <si>
    <t>Led cathode</t>
  </si>
  <si>
    <t>SSTSCR-M2X8-G(CAR)</t>
  </si>
  <si>
    <t>GBPC1206-E4/51</t>
  </si>
  <si>
    <t>L5D4KB100-BP</t>
  </si>
  <si>
    <t>PCB LED-3W V1.1 CŨ</t>
  </si>
  <si>
    <t>PCB SHC214AH</t>
  </si>
  <si>
    <t>PCB SOC210 V1.4 VER CŨ</t>
  </si>
  <si>
    <t>PCB EMEC ROUTER V2.3</t>
  </si>
  <si>
    <t>PCB SHC210 V1.4 VER CŨ</t>
  </si>
  <si>
    <t>PCB DAIKO COP LED (PCB5)</t>
  </si>
  <si>
    <t>PCB GERBER SCE210_V3</t>
  </si>
  <si>
    <t>PCB GROUP</t>
  </si>
  <si>
    <t>CC1206FRNPO9BN471</t>
  </si>
  <si>
    <t>PCB SBI210 V1.1</t>
  </si>
  <si>
    <t>ESH106M400AH2AA</t>
  </si>
  <si>
    <t>TNM-USB-4P-B</t>
  </si>
  <si>
    <t>PCB SHI217H2</t>
  </si>
  <si>
    <t>BKN 1P C6A</t>
  </si>
  <si>
    <t xml:space="preserve">RC0805FR-0733RL </t>
  </si>
  <si>
    <t>GD32F305RET6</t>
  </si>
  <si>
    <t>TAXM25M2GLFBET2T</t>
  </si>
  <si>
    <t>PCB 4.3 INCH</t>
  </si>
  <si>
    <t>MSK-12C02</t>
  </si>
  <si>
    <t>SIT65HVD08DR</t>
  </si>
  <si>
    <t>SIT65HVD230DR</t>
  </si>
  <si>
    <t>RC0805JR-077R5L</t>
  </si>
  <si>
    <t>EH2.54mm</t>
  </si>
  <si>
    <t>FMAC-3RYB-1010</t>
  </si>
  <si>
    <t>MAX485ESA</t>
  </si>
  <si>
    <t>3-150-003</t>
  </si>
  <si>
    <t>3-150-008</t>
  </si>
  <si>
    <t>6.5LCD 63169-VA</t>
  </si>
  <si>
    <t>6.5 inch LCD BLEWH（63169-STN）</t>
  </si>
  <si>
    <t>4.3 inch LCD BLEWH（63157-STN）</t>
  </si>
  <si>
    <t>4.3 inch LCD BLKWH（63157-VA）</t>
  </si>
  <si>
    <t>ERR1VM221E16OT</t>
  </si>
  <si>
    <t>T52M1227M025C0055</t>
  </si>
  <si>
    <t>CL21A475KLCLQNC</t>
  </si>
  <si>
    <t>PCB ENCODER INTERFACE V1.0 16.6.25</t>
  </si>
  <si>
    <t>PCB LTE220_V4.0 18-06-2025</t>
  </si>
  <si>
    <t>PCB LCD_4.3Inch_CAN_V4.0_01072025</t>
  </si>
  <si>
    <t>HT1621B 48LQFP</t>
  </si>
  <si>
    <t>2.2.4</t>
  </si>
  <si>
    <t>2.4.5</t>
  </si>
  <si>
    <t>2.5.5</t>
  </si>
  <si>
    <t>2.11.3(DZPCB 1.5)</t>
  </si>
  <si>
    <t>1.11.2(CHARGE CONTROL-SMT)</t>
  </si>
  <si>
    <t>2.10.2(LCD-SMT)</t>
  </si>
  <si>
    <t>2.2.2</t>
  </si>
  <si>
    <t>2.11.2(CARREADER-SMT)</t>
  </si>
  <si>
    <t>2.4.2(ASS-CONVERTER)</t>
  </si>
  <si>
    <t>2.4.2(UPS-SMT)</t>
  </si>
  <si>
    <t>2.7.5</t>
  </si>
  <si>
    <t>2.6.5</t>
  </si>
  <si>
    <t>2.11.2(CHARGE CONTROL-SMT)</t>
  </si>
  <si>
    <t>2.4.4</t>
  </si>
  <si>
    <t>2.5.4</t>
  </si>
  <si>
    <t xml:space="preserve">2.5.4
</t>
  </si>
  <si>
    <t>2.4.2(SMT-CONVERTER)</t>
  </si>
  <si>
    <t>2.7.5(LCD 4.3)</t>
  </si>
  <si>
    <t>2.3.2</t>
  </si>
  <si>
    <t>2.1.2</t>
  </si>
  <si>
    <t>2.1.3</t>
  </si>
  <si>
    <t>2.4.2</t>
  </si>
  <si>
    <t>2.3.3</t>
  </si>
  <si>
    <t>2.4.3</t>
  </si>
  <si>
    <t>2.10.1(VOICE-MAU)</t>
  </si>
  <si>
    <t>2.10.2(CARTOPGONG)</t>
  </si>
  <si>
    <t>2.5.2</t>
  </si>
  <si>
    <t>2.3.5</t>
  </si>
  <si>
    <t>2.3.4</t>
  </si>
  <si>
    <t>2.2.5</t>
  </si>
  <si>
    <t>2.2.3</t>
  </si>
  <si>
    <t>2.11.2(CHARGE CONTROL-ASS)
KHO TP-T3</t>
  </si>
  <si>
    <t>2.11.2(CHARGE CONTROL-ASS)</t>
  </si>
  <si>
    <t>2.10.3</t>
  </si>
  <si>
    <t>2.11.3</t>
  </si>
  <si>
    <t>2.11.5</t>
  </si>
  <si>
    <t>2.11.4</t>
  </si>
  <si>
    <t>2.4.1</t>
  </si>
  <si>
    <t>2.4.2(UPS-ASS)</t>
  </si>
  <si>
    <t>KHO TP-T1</t>
  </si>
  <si>
    <t>2.6.4</t>
  </si>
  <si>
    <t>2.4.2(ASS-CONVERTER)
2.11.2(SHI,MPU,216B)</t>
  </si>
  <si>
    <t>2.6.3</t>
  </si>
  <si>
    <t>2.5.3</t>
  </si>
  <si>
    <t>2.11.2(CARD READER-ASS)</t>
  </si>
  <si>
    <t>2.6.2</t>
  </si>
  <si>
    <t>2.7.4</t>
  </si>
  <si>
    <t>KHO TP-T3</t>
  </si>
  <si>
    <t xml:space="preserve">2.7.4
</t>
  </si>
  <si>
    <t>2.8.3</t>
  </si>
  <si>
    <t>2.9.3</t>
  </si>
  <si>
    <t>2.9.2</t>
  </si>
  <si>
    <t>2.7.3</t>
  </si>
  <si>
    <t>2.7.2</t>
  </si>
  <si>
    <t>2.10.5</t>
  </si>
  <si>
    <t>2.8.5</t>
  </si>
  <si>
    <t>2.8.4</t>
  </si>
  <si>
    <t>2.10.2</t>
  </si>
  <si>
    <t>2.7.1</t>
  </si>
  <si>
    <t>2.8.1</t>
  </si>
  <si>
    <t>2.9.4</t>
  </si>
  <si>
    <t>2.1.1</t>
  </si>
  <si>
    <t>KTP-4.11.2</t>
  </si>
  <si>
    <t>2.10.2(LCD-ASS)</t>
  </si>
  <si>
    <t>2.1.1(LTE-ASS)</t>
  </si>
  <si>
    <t>KHO 3(ASS-CONVERTER)</t>
  </si>
  <si>
    <t>KHO 3
KHO TP-T3</t>
  </si>
  <si>
    <t>KHO 3-UPS</t>
  </si>
  <si>
    <t>2.10.1(CARD READER-ASS)</t>
  </si>
  <si>
    <t>KTP-T8
K4-T7</t>
  </si>
  <si>
    <t>2.2.1</t>
  </si>
  <si>
    <t>KTP-T8</t>
  </si>
  <si>
    <t>KTP-T8
K4-T4</t>
  </si>
  <si>
    <t>KTP-T4
KTP-T7</t>
  </si>
  <si>
    <t>KTP-T7</t>
  </si>
  <si>
    <t>KTP-T1
KTP-T7</t>
  </si>
  <si>
    <t>2.6.1</t>
  </si>
  <si>
    <t>2.5.1</t>
  </si>
  <si>
    <t>2.3.1</t>
  </si>
  <si>
    <t>KTP-T5
KTP-T7</t>
  </si>
  <si>
    <t>K3-(LED 3W)</t>
  </si>
  <si>
    <t>KHO 3-module nguồn</t>
  </si>
  <si>
    <t>KTP-4.11.4</t>
  </si>
  <si>
    <t>2.9.5
KHO TP-T3</t>
  </si>
  <si>
    <t>2.9.5</t>
  </si>
  <si>
    <t>KTP-4.10.3</t>
  </si>
  <si>
    <t>KTP-4.7.2</t>
  </si>
  <si>
    <t>KTP-4.6.2</t>
  </si>
  <si>
    <t>KTP-4.7.1</t>
  </si>
  <si>
    <t>KTP-4.10.4</t>
  </si>
  <si>
    <t>KTP-4.9.4</t>
  </si>
  <si>
    <t>KTP-4-9-4</t>
  </si>
  <si>
    <t>KTP-4.10.1</t>
  </si>
  <si>
    <t>2.10.4</t>
  </si>
  <si>
    <t>2.11.2(SHI,MPU,216B)</t>
  </si>
  <si>
    <t>2.11.3(MPU 8D)</t>
  </si>
  <si>
    <t>2.10.4
1.11.3(MPU8D)</t>
  </si>
  <si>
    <t>KTP-TM</t>
  </si>
  <si>
    <t>KTP-4.8.2</t>
  </si>
  <si>
    <t>KHO TP-T2</t>
  </si>
  <si>
    <t>KTP-4.11.3</t>
  </si>
  <si>
    <t>KTP-4.9.2/3</t>
  </si>
  <si>
    <t>KTP-4.10.2</t>
  </si>
  <si>
    <t>KTP-4.9.2</t>
  </si>
  <si>
    <t>2.7.5(PCB2)</t>
  </si>
  <si>
    <t>2.5.1
KTP-T8</t>
  </si>
  <si>
    <t>KHO HC</t>
  </si>
  <si>
    <t>2.10.1(NFC)</t>
  </si>
  <si>
    <t>2.1.1(LTE-SMT)</t>
  </si>
  <si>
    <t>2.10.1(Charger DC60V -MAU)</t>
  </si>
  <si>
    <t>2.10.1(IO88)</t>
  </si>
  <si>
    <t>2.1.3(HOMELIFT)</t>
  </si>
  <si>
    <t>2.1.1(HOMELIFT)</t>
  </si>
  <si>
    <t>2.7.2(ASS-CONVERTER)</t>
  </si>
  <si>
    <t>2.11.2(SHC216B)</t>
  </si>
  <si>
    <t>2.10.1(6S-MAU)</t>
  </si>
  <si>
    <t>2.10.1(T MẪU)</t>
  </si>
  <si>
    <t>2.10.1(SIK-MAU)</t>
  </si>
  <si>
    <t>2.10.1(LEDDIN-MAU)</t>
  </si>
  <si>
    <t>2.10.1(LEDIN-MAU)</t>
  </si>
  <si>
    <t>2.10.1-MAU</t>
  </si>
  <si>
    <t>K3-D1(LED 3W)</t>
  </si>
  <si>
    <t>KTP-4.6.1</t>
  </si>
  <si>
    <t>KTP- 4.6.1</t>
  </si>
  <si>
    <t>2.11.2(SHC216B</t>
  </si>
  <si>
    <t>2.10.1(LEDDIN_MAU)</t>
  </si>
  <si>
    <t>2.10.1(DB162-MAU)</t>
  </si>
  <si>
    <t>KHO TP</t>
  </si>
  <si>
    <t>2.10.1</t>
  </si>
  <si>
    <t>2.10.1(PCB SAMPLE)</t>
  </si>
  <si>
    <t>TNM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</si>
</sst>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00000"/>
    <numFmt numFmtId="166" formatCode="0.0000E+00"/>
  </numFmts>
  <fonts count="79"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sz val="18"/>
      <color theme="3"/>
      <name val="Calibri Light"/>
      <family val="2"/>
      <charset val="163"/>
      <scheme val="major"/>
    </font>
    <font>
      <b/>
      <sz val="15"/>
      <color theme="3"/>
      <name val="Calibri"/>
      <family val="2"/>
      <charset val="163"/>
      <scheme val="minor"/>
    </font>
    <font>
      <b/>
      <sz val="13"/>
      <color theme="3"/>
      <name val="Calibri"/>
      <family val="2"/>
      <charset val="163"/>
      <scheme val="minor"/>
    </font>
    <font>
      <b/>
      <sz val="11"/>
      <color theme="3"/>
      <name val="Calibri"/>
      <family val="2"/>
      <charset val="163"/>
      <scheme val="minor"/>
    </font>
    <font>
      <sz val="11"/>
      <color rgb="FF006100"/>
      <name val="Calibri"/>
      <family val="2"/>
      <charset val="163"/>
      <scheme val="minor"/>
    </font>
    <font>
      <sz val="11"/>
      <color rgb="FF9C0006"/>
      <name val="Calibri"/>
      <family val="2"/>
      <charset val="163"/>
      <scheme val="minor"/>
    </font>
    <font>
      <sz val="11"/>
      <color rgb="FF9C6500"/>
      <name val="Calibri"/>
      <family val="2"/>
      <charset val="163"/>
      <scheme val="minor"/>
    </font>
    <font>
      <sz val="11"/>
      <color rgb="FF3F3F76"/>
      <name val="Calibri"/>
      <family val="2"/>
      <charset val="163"/>
      <scheme val="minor"/>
    </font>
    <font>
      <b/>
      <sz val="11"/>
      <color rgb="FF3F3F3F"/>
      <name val="Calibri"/>
      <family val="2"/>
      <charset val="163"/>
      <scheme val="minor"/>
    </font>
    <font>
      <b/>
      <sz val="11"/>
      <color rgb="FFFA7D00"/>
      <name val="Calibri"/>
      <family val="2"/>
      <charset val="163"/>
      <scheme val="minor"/>
    </font>
    <font>
      <sz val="11"/>
      <color rgb="FFFA7D00"/>
      <name val="Calibri"/>
      <family val="2"/>
      <charset val="163"/>
      <scheme val="minor"/>
    </font>
    <font>
      <b/>
      <sz val="11"/>
      <color theme="0"/>
      <name val="Calibri"/>
      <family val="2"/>
      <charset val="163"/>
      <scheme val="minor"/>
    </font>
    <font>
      <sz val="11"/>
      <color rgb="FFFF0000"/>
      <name val="Calibri"/>
      <family val="2"/>
      <charset val="163"/>
      <scheme val="minor"/>
    </font>
    <font>
      <i/>
      <sz val="11"/>
      <color rgb="FF7F7F7F"/>
      <name val="Calibri"/>
      <family val="2"/>
      <charset val="163"/>
      <scheme val="minor"/>
    </font>
    <font>
      <b/>
      <sz val="11"/>
      <color theme="1"/>
      <name val="Calibri"/>
      <family val="2"/>
      <charset val="163"/>
      <scheme val="minor"/>
    </font>
    <font>
      <sz val="11"/>
      <color theme="0"/>
      <name val="Calibri"/>
      <family val="2"/>
      <charset val="163"/>
      <scheme val="minor"/>
    </font>
    <font>
      <b/>
      <sz val="10"/>
      <name val="Times New Roman"/>
      <family val="1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20"/>
      <color theme="1"/>
      <name val="Times New Roman"/>
      <family val="1"/>
    </font>
    <font>
      <sz val="9"/>
      <color theme="1"/>
      <name val="Calibri"/>
      <family val="2"/>
      <charset val="163"/>
      <scheme val="minor"/>
    </font>
    <font>
      <sz val="10"/>
      <name val="Arial"/>
      <family val="2"/>
    </font>
    <font>
      <sz val="11"/>
      <color theme="1"/>
      <name val="Arial"/>
      <family val="2"/>
    </font>
    <font>
      <u/>
      <sz val="10"/>
      <color theme="10"/>
      <name val="Arial"/>
      <family val="2"/>
    </font>
    <font>
      <sz val="10"/>
      <name val="VNI-Times"/>
    </font>
    <font>
      <sz val="11"/>
      <color theme="1"/>
      <name val="ＭＳ Ｐゴシック"/>
      <family val="2"/>
      <charset val="128"/>
    </font>
    <font>
      <sz val="12"/>
      <name val="宋体"/>
      <charset val="134"/>
    </font>
    <font>
      <sz val="10"/>
      <name val="VNI-Times"/>
      <family val="2"/>
    </font>
    <font>
      <sz val="12"/>
      <color rgb="FF9C0006"/>
      <name val="Times New Roman"/>
      <family val="2"/>
    </font>
    <font>
      <sz val="8"/>
      <name val="Calibri"/>
      <family val="2"/>
      <charset val="163"/>
      <scheme val="minor"/>
    </font>
    <font>
      <sz val="10"/>
      <color indexed="8"/>
      <name val="Times New Roman"/>
      <family val="1"/>
    </font>
    <font>
      <sz val="10"/>
      <color rgb="FF000000"/>
      <name val="Times New Roman"/>
      <family val="1"/>
    </font>
    <font>
      <sz val="10"/>
      <color rgb="FFFF0000"/>
      <name val="Calibri Light"/>
      <family val="1"/>
      <scheme val="major"/>
    </font>
    <font>
      <sz val="10"/>
      <color rgb="FFFF0000"/>
      <name val="Calibri Light"/>
      <family val="2"/>
      <scheme val="major"/>
    </font>
    <font>
      <sz val="10"/>
      <color theme="1"/>
      <name val="Calibri Light"/>
      <family val="2"/>
      <scheme val="major"/>
    </font>
    <font>
      <sz val="10"/>
      <color rgb="FFFF0000"/>
      <name val="Times New Roman"/>
      <family val="1"/>
    </font>
    <font>
      <sz val="10"/>
      <color indexed="10"/>
      <name val="Times New Roman"/>
      <family val="1"/>
    </font>
    <font>
      <u/>
      <sz val="11"/>
      <color theme="10"/>
      <name val="Calibri"/>
      <family val="2"/>
      <charset val="163"/>
      <scheme val="minor"/>
    </font>
    <font>
      <sz val="8"/>
      <name val="Microsoft Sans Serif"/>
      <family val="2"/>
    </font>
    <font>
      <sz val="12"/>
      <color indexed="8"/>
      <name val="Times New Roman"/>
      <family val="1"/>
    </font>
    <font>
      <sz val="12"/>
      <name val="Times New Roman"/>
      <family val="1"/>
    </font>
    <font>
      <sz val="10"/>
      <color theme="1"/>
      <name val="Times New Roman"/>
      <family val="1"/>
    </font>
    <font>
      <sz val="11"/>
      <color theme="1"/>
      <name val="Aptos Narrow"/>
      <family val="2"/>
    </font>
    <font>
      <sz val="11"/>
      <color theme="1"/>
      <name val="Times New Roman"/>
      <family val="1"/>
    </font>
    <font>
      <sz val="11"/>
      <color rgb="FF111827"/>
      <name val="Roboto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sz val="11"/>
      <name val="Times New Roman"/>
      <family val="1"/>
    </font>
    <font>
      <sz val="11"/>
      <color rgb="FFFF0000"/>
      <name val="Calibri"/>
      <family val="2"/>
      <scheme val="minor"/>
    </font>
    <font>
      <sz val="10"/>
      <name val="Times New Roman"/>
      <family val="1"/>
    </font>
    <font>
      <sz val="11"/>
      <name val="Calibri"/>
      <family val="2"/>
      <scheme val="minor"/>
    </font>
    <font>
      <sz val="11"/>
      <color indexed="8"/>
      <name val="Times New Roman"/>
      <family val="1"/>
    </font>
    <font>
      <sz val="9"/>
      <name val="Roboto"/>
    </font>
    <font>
      <b/>
      <sz val="9"/>
      <name val="Roboto"/>
    </font>
    <font>
      <sz val="11"/>
      <color rgb="FFFF0000"/>
      <name val="Times New Roman"/>
      <family val="1"/>
    </font>
    <font>
      <sz val="10"/>
      <name val="Calibri"/>
      <family val="2"/>
      <scheme val="minor"/>
    </font>
    <font>
      <sz val="10"/>
      <name val="Arial"/>
      <family val="2"/>
    </font>
    <font>
      <b/>
      <sz val="10"/>
      <color rgb="FF3A3A3A"/>
      <name val="Times New Roman"/>
      <family val="1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FF0000"/>
      <name val="Calibri"/>
      <family val="2"/>
      <scheme val="minor"/>
    </font>
    <font>
      <sz val="12"/>
      <name val="Calibri"/>
      <family val="2"/>
      <scheme val="minor"/>
    </font>
    <font>
      <sz val="10"/>
      <name val="Arial"/>
      <family val="2"/>
    </font>
    <font>
      <sz val="10"/>
      <color indexed="8"/>
      <name val="Calibri"/>
      <family val="2"/>
      <scheme val="minor"/>
    </font>
    <font>
      <sz val="9"/>
      <color theme="1"/>
      <name val="Times New Roman"/>
      <family val="1"/>
    </font>
    <font>
      <sz val="9"/>
      <color rgb="FF001A33"/>
      <name val="Times New Roman"/>
      <family val="1"/>
    </font>
    <font>
      <sz val="9"/>
      <color indexed="8"/>
      <name val="Times New Roman"/>
      <family val="1"/>
    </font>
    <font>
      <sz val="9"/>
      <color rgb="FF000000"/>
      <name val="Times New Roman"/>
      <family val="1"/>
    </font>
    <font>
      <sz val="9"/>
      <color rgb="FFFF0000"/>
      <name val="Times New Roman"/>
      <family val="1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E3E3E3"/>
      </left>
      <right style="thin">
        <color rgb="FFE3E3E3"/>
      </right>
      <top style="thin">
        <color rgb="FFE3E3E3"/>
      </top>
      <bottom style="thin">
        <color rgb="FFE3E3E3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E3E3E3"/>
      </left>
      <right style="thin">
        <color rgb="FFE3E3E3"/>
      </right>
      <top style="thin">
        <color rgb="FFE3E3E3"/>
      </top>
      <bottom/>
      <diagonal/>
    </border>
  </borders>
  <cellStyleXfs count="92">
    <xf numFmtId="0" fontId="0" fillId="0" borderId="0"/>
    <xf numFmtId="0" fontId="7" fillId="0" borderId="0" applyNumberFormat="0" applyFill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2" borderId="0" applyNumberFormat="0" applyBorder="0" applyAlignment="0" applyProtection="0"/>
    <xf numFmtId="0" fontId="12" fillId="3" borderId="0" applyNumberFormat="0" applyBorder="0" applyAlignment="0" applyProtection="0"/>
    <xf numFmtId="0" fontId="13" fillId="4" borderId="0" applyNumberFormat="0" applyBorder="0" applyAlignment="0" applyProtection="0"/>
    <xf numFmtId="0" fontId="14" fillId="5" borderId="4" applyNumberFormat="0" applyAlignment="0" applyProtection="0"/>
    <xf numFmtId="0" fontId="15" fillId="6" borderId="5" applyNumberFormat="0" applyAlignment="0" applyProtection="0"/>
    <xf numFmtId="0" fontId="16" fillId="6" borderId="4" applyNumberFormat="0" applyAlignment="0" applyProtection="0"/>
    <xf numFmtId="0" fontId="17" fillId="0" borderId="6" applyNumberFormat="0" applyFill="0" applyAlignment="0" applyProtection="0"/>
    <xf numFmtId="0" fontId="18" fillId="7" borderId="7" applyNumberFormat="0" applyAlignment="0" applyProtection="0"/>
    <xf numFmtId="0" fontId="19" fillId="0" borderId="0" applyNumberFormat="0" applyFill="0" applyBorder="0" applyAlignment="0" applyProtection="0"/>
    <xf numFmtId="0" fontId="6" fillId="8" borderId="8" applyNumberFormat="0" applyFont="0" applyAlignment="0" applyProtection="0"/>
    <xf numFmtId="0" fontId="20" fillId="0" borderId="0" applyNumberFormat="0" applyFill="0" applyBorder="0" applyAlignment="0" applyProtection="0"/>
    <xf numFmtId="0" fontId="21" fillId="0" borderId="9" applyNumberFormat="0" applyFill="0" applyAlignment="0" applyProtection="0"/>
    <xf numFmtId="0" fontId="22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22" fillId="12" borderId="0" applyNumberFormat="0" applyBorder="0" applyAlignment="0" applyProtection="0"/>
    <xf numFmtId="0" fontId="22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22" fillId="16" borderId="0" applyNumberFormat="0" applyBorder="0" applyAlignment="0" applyProtection="0"/>
    <xf numFmtId="0" fontId="22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22" fillId="20" borderId="0" applyNumberFormat="0" applyBorder="0" applyAlignment="0" applyProtection="0"/>
    <xf numFmtId="0" fontId="22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22" fillId="24" borderId="0" applyNumberFormat="0" applyBorder="0" applyAlignment="0" applyProtection="0"/>
    <xf numFmtId="0" fontId="22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22" fillId="28" borderId="0" applyNumberFormat="0" applyBorder="0" applyAlignment="0" applyProtection="0"/>
    <xf numFmtId="0" fontId="22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22" fillId="32" borderId="0" applyNumberFormat="0" applyBorder="0" applyAlignment="0" applyProtection="0"/>
    <xf numFmtId="0" fontId="6" fillId="0" borderId="0"/>
    <xf numFmtId="0" fontId="31" fillId="0" borderId="0"/>
    <xf numFmtId="0" fontId="5" fillId="0" borderId="0"/>
    <xf numFmtId="0" fontId="5" fillId="0" borderId="0">
      <alignment vertical="center"/>
    </xf>
    <xf numFmtId="0" fontId="5" fillId="0" borderId="0"/>
    <xf numFmtId="0" fontId="32" fillId="0" borderId="0"/>
    <xf numFmtId="0" fontId="33" fillId="0" borderId="0" applyNumberForma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43" fontId="34" fillId="0" borderId="0" applyFont="0" applyFill="0" applyBorder="0" applyAlignment="0" applyProtection="0"/>
    <xf numFmtId="0" fontId="31" fillId="0" borderId="0"/>
    <xf numFmtId="0" fontId="31" fillId="0" borderId="0"/>
    <xf numFmtId="0" fontId="35" fillId="0" borderId="0">
      <alignment vertical="center"/>
    </xf>
    <xf numFmtId="0" fontId="31" fillId="0" borderId="0"/>
    <xf numFmtId="0" fontId="31" fillId="0" borderId="0"/>
    <xf numFmtId="0" fontId="5" fillId="0" borderId="0"/>
    <xf numFmtId="0" fontId="31" fillId="0" borderId="0"/>
    <xf numFmtId="0" fontId="31" fillId="0" borderId="0"/>
    <xf numFmtId="0" fontId="31" fillId="0" borderId="0"/>
    <xf numFmtId="0" fontId="36" fillId="0" borderId="0"/>
    <xf numFmtId="0" fontId="37" fillId="0" borderId="0"/>
    <xf numFmtId="0" fontId="5" fillId="0" borderId="0">
      <alignment vertical="center"/>
    </xf>
    <xf numFmtId="0" fontId="5" fillId="0" borderId="0">
      <alignment vertical="center"/>
    </xf>
    <xf numFmtId="0" fontId="38" fillId="3" borderId="0" applyNumberFormat="0" applyBorder="0" applyAlignment="0" applyProtection="0"/>
    <xf numFmtId="0" fontId="5" fillId="0" borderId="0"/>
    <xf numFmtId="0" fontId="5" fillId="0" borderId="0"/>
    <xf numFmtId="0" fontId="4" fillId="0" borderId="0"/>
    <xf numFmtId="0" fontId="3" fillId="0" borderId="0"/>
    <xf numFmtId="0" fontId="31" fillId="0" borderId="0"/>
    <xf numFmtId="0" fontId="31" fillId="0" borderId="0"/>
    <xf numFmtId="0" fontId="6" fillId="0" borderId="0"/>
    <xf numFmtId="0" fontId="31" fillId="0" borderId="0"/>
    <xf numFmtId="0" fontId="47" fillId="0" borderId="0" applyNumberFormat="0" applyFill="0" applyBorder="0" applyAlignment="0" applyProtection="0"/>
    <xf numFmtId="43" fontId="6" fillId="0" borderId="0" applyFont="0" applyFill="0" applyBorder="0" applyAlignment="0" applyProtection="0"/>
    <xf numFmtId="0" fontId="6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72" fillId="0" borderId="0"/>
    <xf numFmtId="0" fontId="34" fillId="0" borderId="0"/>
    <xf numFmtId="0" fontId="31" fillId="0" borderId="0"/>
    <xf numFmtId="0" fontId="31" fillId="0" borderId="0"/>
  </cellStyleXfs>
  <cellXfs count="240">
    <xf numFmtId="0" fontId="0" fillId="0" borderId="0" xfId="0"/>
    <xf numFmtId="0" fontId="0" fillId="0" borderId="10" xfId="0" applyBorder="1"/>
    <xf numFmtId="0" fontId="0" fillId="0" borderId="10" xfId="0" applyBorder="1" applyAlignment="1">
      <alignment horizontal="left"/>
    </xf>
    <xf numFmtId="0" fontId="21" fillId="0" borderId="10" xfId="0" applyFont="1" applyBorder="1" applyAlignment="1">
      <alignment vertical="center" wrapText="1"/>
    </xf>
    <xf numFmtId="0" fontId="21" fillId="0" borderId="10" xfId="0" applyFont="1" applyBorder="1" applyAlignment="1">
      <alignment horizontal="left" vertical="center" wrapText="1"/>
    </xf>
    <xf numFmtId="0" fontId="21" fillId="0" borderId="10" xfId="0" applyFont="1" applyBorder="1" applyAlignment="1">
      <alignment horizontal="center" vertical="center" wrapText="1"/>
    </xf>
    <xf numFmtId="0" fontId="21" fillId="0" borderId="12" xfId="0" applyFont="1" applyBorder="1" applyAlignment="1">
      <alignment vertical="center" wrapText="1"/>
    </xf>
    <xf numFmtId="0" fontId="0" fillId="0" borderId="12" xfId="0" applyBorder="1"/>
    <xf numFmtId="0" fontId="0" fillId="33" borderId="12" xfId="0" applyFill="1" applyBorder="1"/>
    <xf numFmtId="0" fontId="0" fillId="0" borderId="11" xfId="0" applyBorder="1"/>
    <xf numFmtId="0" fontId="0" fillId="0" borderId="10" xfId="0" applyBorder="1" applyAlignment="1">
      <alignment horizontal="center"/>
    </xf>
    <xf numFmtId="0" fontId="0" fillId="0" borderId="13" xfId="0" applyBorder="1"/>
    <xf numFmtId="0" fontId="0" fillId="0" borderId="14" xfId="0" applyBorder="1" applyAlignment="1">
      <alignment horizontal="left"/>
    </xf>
    <xf numFmtId="0" fontId="0" fillId="0" borderId="14" xfId="0" applyBorder="1"/>
    <xf numFmtId="0" fontId="0" fillId="0" borderId="14" xfId="0" applyBorder="1" applyAlignment="1">
      <alignment horizontal="center"/>
    </xf>
    <xf numFmtId="0" fontId="0" fillId="0" borderId="11" xfId="0" applyBorder="1" applyAlignment="1">
      <alignment horizontal="center"/>
    </xf>
    <xf numFmtId="0" fontId="23" fillId="0" borderId="11" xfId="0" applyFont="1" applyBorder="1" applyAlignment="1">
      <alignment vertical="center"/>
    </xf>
    <xf numFmtId="0" fontId="21" fillId="0" borderId="15" xfId="0" applyFont="1" applyBorder="1" applyAlignment="1">
      <alignment horizontal="center" vertical="center" wrapText="1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25" fillId="0" borderId="0" xfId="0" applyFont="1" applyAlignment="1">
      <alignment horizontal="center"/>
    </xf>
    <xf numFmtId="0" fontId="24" fillId="0" borderId="11" xfId="0" applyFont="1" applyBorder="1" applyAlignment="1">
      <alignment horizontal="center" vertical="center" wrapText="1"/>
    </xf>
    <xf numFmtId="0" fontId="24" fillId="0" borderId="11" xfId="0" applyFont="1" applyBorder="1" applyAlignment="1">
      <alignment horizontal="center" wrapText="1"/>
    </xf>
    <xf numFmtId="0" fontId="19" fillId="0" borderId="11" xfId="0" applyFont="1" applyBorder="1" applyAlignment="1">
      <alignment horizontal="center"/>
    </xf>
    <xf numFmtId="0" fontId="25" fillId="0" borderId="1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34" borderId="12" xfId="0" applyFill="1" applyBorder="1"/>
    <xf numFmtId="0" fontId="26" fillId="0" borderId="11" xfId="0" applyFont="1" applyBorder="1" applyAlignment="1">
      <alignment horizontal="left" vertical="center"/>
    </xf>
    <xf numFmtId="0" fontId="0" fillId="33" borderId="10" xfId="0" applyFill="1" applyBorder="1" applyAlignment="1">
      <alignment horizontal="left"/>
    </xf>
    <xf numFmtId="0" fontId="0" fillId="33" borderId="11" xfId="0" applyFill="1" applyBorder="1" applyAlignment="1">
      <alignment horizontal="center"/>
    </xf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3" borderId="15" xfId="0" applyFill="1" applyBorder="1" applyAlignment="1">
      <alignment horizontal="center"/>
    </xf>
    <xf numFmtId="0" fontId="19" fillId="33" borderId="11" xfId="0" applyFont="1" applyFill="1" applyBorder="1" applyAlignment="1">
      <alignment horizontal="center"/>
    </xf>
    <xf numFmtId="0" fontId="0" fillId="34" borderId="11" xfId="0" applyFill="1" applyBorder="1" applyAlignment="1">
      <alignment horizontal="center"/>
    </xf>
    <xf numFmtId="0" fontId="0" fillId="34" borderId="10" xfId="0" applyFill="1" applyBorder="1"/>
    <xf numFmtId="0" fontId="0" fillId="34" borderId="10" xfId="0" applyFill="1" applyBorder="1" applyAlignment="1">
      <alignment horizontal="center"/>
    </xf>
    <xf numFmtId="0" fontId="0" fillId="34" borderId="15" xfId="0" applyFill="1" applyBorder="1" applyAlignment="1">
      <alignment horizontal="center"/>
    </xf>
    <xf numFmtId="0" fontId="19" fillId="34" borderId="11" xfId="0" applyFont="1" applyFill="1" applyBorder="1" applyAlignment="1">
      <alignment horizontal="center"/>
    </xf>
    <xf numFmtId="0" fontId="0" fillId="33" borderId="11" xfId="0" applyFill="1" applyBorder="1"/>
    <xf numFmtId="0" fontId="0" fillId="33" borderId="17" xfId="0" applyFill="1" applyBorder="1" applyAlignment="1">
      <alignment horizontal="center"/>
    </xf>
    <xf numFmtId="0" fontId="0" fillId="34" borderId="11" xfId="0" applyFill="1" applyBorder="1"/>
    <xf numFmtId="0" fontId="0" fillId="34" borderId="17" xfId="0" applyFill="1" applyBorder="1"/>
    <xf numFmtId="0" fontId="26" fillId="0" borderId="11" xfId="0" applyFont="1" applyBorder="1" applyAlignment="1">
      <alignment vertical="center"/>
    </xf>
    <xf numFmtId="0" fontId="26" fillId="34" borderId="11" xfId="0" applyFont="1" applyFill="1" applyBorder="1" applyAlignment="1">
      <alignment horizontal="left" vertical="center"/>
    </xf>
    <xf numFmtId="0" fontId="30" fillId="0" borderId="10" xfId="0" applyFont="1" applyBorder="1" applyAlignment="1">
      <alignment horizontal="left"/>
    </xf>
    <xf numFmtId="0" fontId="26" fillId="33" borderId="11" xfId="0" applyFont="1" applyFill="1" applyBorder="1" applyAlignment="1">
      <alignment vertical="center"/>
    </xf>
    <xf numFmtId="0" fontId="26" fillId="33" borderId="11" xfId="0" applyFont="1" applyFill="1" applyBorder="1" applyAlignment="1">
      <alignment horizontal="left" vertical="center"/>
    </xf>
    <xf numFmtId="0" fontId="30" fillId="33" borderId="10" xfId="0" applyFont="1" applyFill="1" applyBorder="1" applyAlignment="1">
      <alignment horizontal="left"/>
    </xf>
    <xf numFmtId="0" fontId="30" fillId="33" borderId="12" xfId="0" applyFont="1" applyFill="1" applyBorder="1"/>
    <xf numFmtId="0" fontId="30" fillId="33" borderId="10" xfId="0" applyFont="1" applyFill="1" applyBorder="1"/>
    <xf numFmtId="0" fontId="30" fillId="34" borderId="10" xfId="0" applyFont="1" applyFill="1" applyBorder="1"/>
    <xf numFmtId="0" fontId="30" fillId="0" borderId="11" xfId="0" applyFont="1" applyBorder="1"/>
    <xf numFmtId="0" fontId="30" fillId="33" borderId="11" xfId="0" applyFont="1" applyFill="1" applyBorder="1"/>
    <xf numFmtId="0" fontId="30" fillId="34" borderId="11" xfId="0" applyFont="1" applyFill="1" applyBorder="1"/>
    <xf numFmtId="0" fontId="0" fillId="34" borderId="0" xfId="0" applyFill="1" applyAlignment="1">
      <alignment horizontal="center"/>
    </xf>
    <xf numFmtId="0" fontId="0" fillId="0" borderId="0" xfId="0" applyAlignment="1">
      <alignment horizontal="left"/>
    </xf>
    <xf numFmtId="0" fontId="40" fillId="0" borderId="0" xfId="0" applyFont="1" applyAlignment="1">
      <alignment horizontal="left" vertical="center" readingOrder="1"/>
    </xf>
    <xf numFmtId="0" fontId="53" fillId="0" borderId="0" xfId="0" quotePrefix="1" applyFont="1" applyAlignment="1">
      <alignment horizontal="left" vertical="center" wrapText="1"/>
    </xf>
    <xf numFmtId="0" fontId="48" fillId="0" borderId="0" xfId="0" applyFont="1" applyAlignment="1">
      <alignment horizontal="left" vertical="center"/>
    </xf>
    <xf numFmtId="0" fontId="53" fillId="0" borderId="0" xfId="42" applyFont="1" applyAlignment="1">
      <alignment horizontal="left" vertical="top" wrapText="1"/>
    </xf>
    <xf numFmtId="0" fontId="53" fillId="0" borderId="0" xfId="42" applyFont="1" applyAlignment="1">
      <alignment horizontal="left" vertical="center" wrapText="1"/>
    </xf>
    <xf numFmtId="0" fontId="48" fillId="0" borderId="11" xfId="0" applyFont="1" applyBorder="1" applyAlignment="1">
      <alignment horizontal="left" vertical="center"/>
    </xf>
    <xf numFmtId="0" fontId="51" fillId="0" borderId="0" xfId="0" applyFont="1" applyAlignment="1">
      <alignment horizontal="left" vertical="center"/>
    </xf>
    <xf numFmtId="0" fontId="53" fillId="0" borderId="0" xfId="42" applyFont="1" applyAlignment="1">
      <alignment horizontal="left" vertical="center"/>
    </xf>
    <xf numFmtId="165" fontId="56" fillId="0" borderId="0" xfId="0" applyNumberFormat="1" applyFont="1" applyAlignment="1">
      <alignment horizontal="left"/>
    </xf>
    <xf numFmtId="0" fontId="57" fillId="0" borderId="0" xfId="42" applyFont="1" applyAlignment="1">
      <alignment horizontal="left" vertical="center"/>
    </xf>
    <xf numFmtId="0" fontId="0" fillId="0" borderId="18" xfId="0" applyBorder="1" applyAlignment="1">
      <alignment horizontal="left"/>
    </xf>
    <xf numFmtId="0" fontId="53" fillId="0" borderId="0" xfId="0" applyFont="1" applyAlignment="1">
      <alignment horizontal="left"/>
    </xf>
    <xf numFmtId="0" fontId="0" fillId="0" borderId="0" xfId="0" applyAlignment="1">
      <alignment horizontal="left" vertical="top"/>
    </xf>
    <xf numFmtId="0" fontId="0" fillId="0" borderId="11" xfId="0" applyBorder="1" applyAlignment="1">
      <alignment horizontal="left"/>
    </xf>
    <xf numFmtId="0" fontId="53" fillId="0" borderId="11" xfId="0" applyFont="1" applyBorder="1" applyAlignment="1">
      <alignment horizontal="left"/>
    </xf>
    <xf numFmtId="43" fontId="53" fillId="0" borderId="11" xfId="78" applyFont="1" applyFill="1" applyBorder="1" applyAlignment="1">
      <alignment horizontal="left"/>
    </xf>
    <xf numFmtId="0" fontId="59" fillId="0" borderId="11" xfId="0" applyFont="1" applyBorder="1" applyAlignment="1">
      <alignment horizontal="left"/>
    </xf>
    <xf numFmtId="0" fontId="23" fillId="0" borderId="11" xfId="0" applyFont="1" applyBorder="1" applyAlignment="1">
      <alignment horizontal="left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  <xf numFmtId="0" fontId="51" fillId="0" borderId="11" xfId="0" applyFont="1" applyBorder="1" applyAlignment="1">
      <alignment horizontal="left" vertical="center"/>
    </xf>
    <xf numFmtId="0" fontId="64" fillId="0" borderId="11" xfId="0" quotePrefix="1" applyFont="1" applyBorder="1" applyAlignment="1">
      <alignment horizontal="left"/>
    </xf>
    <xf numFmtId="0" fontId="0" fillId="0" borderId="22" xfId="0" applyBorder="1" applyAlignment="1">
      <alignment horizontal="left"/>
    </xf>
    <xf numFmtId="0" fontId="57" fillId="0" borderId="0" xfId="0" quotePrefix="1" applyFont="1" applyAlignment="1">
      <alignment horizontal="left"/>
    </xf>
    <xf numFmtId="0" fontId="52" fillId="0" borderId="0" xfId="0" quotePrefix="1" applyFont="1" applyAlignment="1">
      <alignment horizontal="left" vertical="center" wrapText="1"/>
    </xf>
    <xf numFmtId="0" fontId="52" fillId="0" borderId="0" xfId="0" quotePrefix="1" applyFont="1" applyAlignment="1">
      <alignment horizontal="left"/>
    </xf>
    <xf numFmtId="0" fontId="2" fillId="0" borderId="0" xfId="0" applyFont="1" applyAlignment="1">
      <alignment horizontal="left"/>
    </xf>
    <xf numFmtId="0" fontId="53" fillId="0" borderId="0" xfId="0" quotePrefix="1" applyFont="1" applyAlignment="1">
      <alignment horizontal="left"/>
    </xf>
    <xf numFmtId="0" fontId="47" fillId="0" borderId="0" xfId="77" applyFill="1" applyBorder="1" applyAlignment="1">
      <alignment horizontal="left"/>
    </xf>
    <xf numFmtId="0" fontId="32" fillId="0" borderId="0" xfId="0" quotePrefix="1" applyFont="1" applyAlignment="1">
      <alignment horizontal="left" vertical="center" wrapText="1"/>
    </xf>
    <xf numFmtId="0" fontId="55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56" fillId="0" borderId="0" xfId="0" applyFont="1" applyAlignment="1">
      <alignment horizontal="left"/>
    </xf>
    <xf numFmtId="0" fontId="57" fillId="0" borderId="0" xfId="0" applyFont="1" applyAlignment="1">
      <alignment horizontal="left"/>
    </xf>
    <xf numFmtId="49" fontId="0" fillId="0" borderId="0" xfId="0" applyNumberFormat="1" applyAlignment="1">
      <alignment horizontal="left"/>
    </xf>
    <xf numFmtId="0" fontId="1" fillId="0" borderId="0" xfId="0" applyFont="1" applyAlignment="1">
      <alignment horizontal="left"/>
    </xf>
    <xf numFmtId="0" fontId="57" fillId="0" borderId="0" xfId="77" applyFont="1" applyBorder="1" applyAlignment="1">
      <alignment horizontal="left" vertical="center" wrapText="1"/>
    </xf>
    <xf numFmtId="0" fontId="57" fillId="0" borderId="0" xfId="77" applyFont="1" applyBorder="1" applyAlignment="1">
      <alignment horizontal="left" vertical="center"/>
    </xf>
    <xf numFmtId="0" fontId="53" fillId="0" borderId="0" xfId="0" quotePrefix="1" applyFont="1" applyAlignment="1">
      <alignment horizontal="left" wrapText="1"/>
    </xf>
    <xf numFmtId="0" fontId="53" fillId="0" borderId="0" xfId="0" applyFont="1" applyAlignment="1">
      <alignment horizontal="left" vertical="center"/>
    </xf>
    <xf numFmtId="0" fontId="57" fillId="0" borderId="0" xfId="42" applyFont="1" applyAlignment="1">
      <alignment horizontal="left" vertical="center" wrapText="1"/>
    </xf>
    <xf numFmtId="43" fontId="58" fillId="0" borderId="0" xfId="78" applyFont="1" applyFill="1" applyBorder="1" applyAlignment="1">
      <alignment horizontal="left"/>
    </xf>
    <xf numFmtId="0" fontId="58" fillId="0" borderId="0" xfId="0" applyFont="1" applyAlignment="1">
      <alignment horizontal="left"/>
    </xf>
    <xf numFmtId="0" fontId="53" fillId="0" borderId="0" xfId="0" quotePrefix="1" applyFont="1" applyAlignment="1">
      <alignment horizontal="left" vertical="top"/>
    </xf>
    <xf numFmtId="0" fontId="0" fillId="0" borderId="19" xfId="0" applyBorder="1" applyAlignment="1">
      <alignment horizontal="left"/>
    </xf>
    <xf numFmtId="0" fontId="0" fillId="0" borderId="20" xfId="0" applyBorder="1" applyAlignment="1">
      <alignment horizontal="left"/>
    </xf>
    <xf numFmtId="0" fontId="0" fillId="0" borderId="21" xfId="0" applyBorder="1" applyAlignment="1">
      <alignment horizontal="left"/>
    </xf>
    <xf numFmtId="0" fontId="59" fillId="0" borderId="11" xfId="0" applyFont="1" applyBorder="1" applyAlignment="1">
      <alignment horizontal="left" vertical="top"/>
    </xf>
    <xf numFmtId="0" fontId="59" fillId="0" borderId="0" xfId="0" applyFont="1" applyAlignment="1">
      <alignment horizontal="left" vertical="top"/>
    </xf>
    <xf numFmtId="0" fontId="23" fillId="0" borderId="0" xfId="0" applyFont="1" applyAlignment="1">
      <alignment horizontal="left" vertical="center"/>
    </xf>
    <xf numFmtId="0" fontId="0" fillId="0" borderId="11" xfId="0" quotePrefix="1" applyBorder="1" applyAlignment="1">
      <alignment horizontal="left" wrapText="1"/>
    </xf>
    <xf numFmtId="0" fontId="0" fillId="0" borderId="11" xfId="0" quotePrefix="1" applyBorder="1" applyAlignment="1">
      <alignment horizontal="left"/>
    </xf>
    <xf numFmtId="0" fontId="23" fillId="0" borderId="11" xfId="0" quotePrefix="1" applyFont="1" applyBorder="1" applyAlignment="1">
      <alignment horizontal="left"/>
    </xf>
    <xf numFmtId="0" fontId="60" fillId="0" borderId="11" xfId="0" quotePrefix="1" applyFont="1" applyBorder="1" applyAlignment="1">
      <alignment horizontal="left" wrapText="1"/>
    </xf>
    <xf numFmtId="0" fontId="60" fillId="0" borderId="11" xfId="0" quotePrefix="1" applyFont="1" applyBorder="1" applyAlignment="1">
      <alignment horizontal="left"/>
    </xf>
    <xf numFmtId="0" fontId="51" fillId="0" borderId="11" xfId="0" applyFont="1" applyBorder="1" applyAlignment="1">
      <alignment horizontal="left"/>
    </xf>
    <xf numFmtId="49" fontId="51" fillId="0" borderId="11" xfId="0" applyNumberFormat="1" applyFont="1" applyBorder="1" applyAlignment="1">
      <alignment horizontal="left"/>
    </xf>
    <xf numFmtId="0" fontId="61" fillId="0" borderId="11" xfId="0" applyFont="1" applyBorder="1" applyAlignment="1">
      <alignment horizontal="left" vertical="center" readingOrder="1"/>
    </xf>
    <xf numFmtId="0" fontId="62" fillId="0" borderId="11" xfId="0" applyFont="1" applyBorder="1" applyAlignment="1">
      <alignment horizontal="left"/>
    </xf>
    <xf numFmtId="0" fontId="51" fillId="0" borderId="11" xfId="0" applyFont="1" applyBorder="1" applyAlignment="1">
      <alignment horizontal="left" wrapText="1"/>
    </xf>
    <xf numFmtId="0" fontId="63" fillId="0" borderId="11" xfId="0" applyFont="1" applyBorder="1" applyAlignment="1">
      <alignment horizontal="left"/>
    </xf>
    <xf numFmtId="0" fontId="65" fillId="0" borderId="0" xfId="0" applyFont="1" applyAlignment="1">
      <alignment horizontal="left" vertical="top"/>
    </xf>
    <xf numFmtId="0" fontId="67" fillId="0" borderId="0" xfId="0" applyFont="1" applyAlignment="1">
      <alignment horizontal="left"/>
    </xf>
    <xf numFmtId="0" fontId="71" fillId="0" borderId="0" xfId="0" applyFont="1" applyAlignment="1">
      <alignment horizontal="left" vertical="center"/>
    </xf>
    <xf numFmtId="0" fontId="0" fillId="0" borderId="19" xfId="0" quotePrefix="1" applyBorder="1" applyAlignment="1">
      <alignment horizontal="left" wrapText="1"/>
    </xf>
    <xf numFmtId="0" fontId="0" fillId="0" borderId="19" xfId="0" quotePrefix="1" applyBorder="1" applyAlignment="1">
      <alignment horizontal="left"/>
    </xf>
    <xf numFmtId="0" fontId="0" fillId="0" borderId="20" xfId="0" quotePrefix="1" applyBorder="1" applyAlignment="1">
      <alignment horizontal="left"/>
    </xf>
    <xf numFmtId="0" fontId="51" fillId="0" borderId="0" xfId="0" applyFont="1" applyAlignment="1">
      <alignment vertical="center"/>
    </xf>
    <xf numFmtId="0" fontId="0" fillId="33" borderId="0" xfId="0" applyFill="1" applyAlignment="1">
      <alignment horizontal="left"/>
    </xf>
    <xf numFmtId="0" fontId="0" fillId="0" borderId="11" xfId="0" applyBorder="1" applyAlignment="1">
      <alignment vertical="top"/>
    </xf>
    <xf numFmtId="49" fontId="0" fillId="0" borderId="11" xfId="0" applyNumberFormat="1" applyBorder="1" applyAlignment="1">
      <alignment vertical="top"/>
    </xf>
    <xf numFmtId="0" fontId="0" fillId="0" borderId="11" xfId="0" applyBorder="1" applyAlignment="1">
      <alignment wrapText="1"/>
    </xf>
    <xf numFmtId="0" fontId="0" fillId="0" borderId="11" xfId="0" applyBorder="1" applyAlignment="1">
      <alignment vertical="center" wrapText="1"/>
    </xf>
    <xf numFmtId="0" fontId="0" fillId="0" borderId="17" xfId="0" applyBorder="1"/>
    <xf numFmtId="0" fontId="59" fillId="0" borderId="19" xfId="0" applyFont="1" applyBorder="1" applyAlignment="1">
      <alignment horizontal="left"/>
    </xf>
    <xf numFmtId="0" fontId="0" fillId="0" borderId="19" xfId="0" applyBorder="1"/>
    <xf numFmtId="0" fontId="0" fillId="0" borderId="19" xfId="0" applyBorder="1" applyAlignment="1">
      <alignment vertical="top"/>
    </xf>
    <xf numFmtId="0" fontId="0" fillId="0" borderId="20" xfId="0" quotePrefix="1" applyBorder="1" applyAlignment="1">
      <alignment horizontal="left" wrapText="1"/>
    </xf>
    <xf numFmtId="0" fontId="59" fillId="0" borderId="20" xfId="0" applyFont="1" applyBorder="1" applyAlignment="1">
      <alignment horizontal="left"/>
    </xf>
    <xf numFmtId="0" fontId="0" fillId="0" borderId="20" xfId="0" applyBorder="1"/>
    <xf numFmtId="0" fontId="0" fillId="0" borderId="20" xfId="0" applyBorder="1" applyAlignment="1">
      <alignment vertical="top"/>
    </xf>
    <xf numFmtId="0" fontId="0" fillId="0" borderId="0" xfId="0" quotePrefix="1" applyAlignment="1">
      <alignment horizontal="left" wrapText="1"/>
    </xf>
    <xf numFmtId="0" fontId="51" fillId="0" borderId="0" xfId="0" applyFont="1" applyAlignment="1">
      <alignment horizontal="left" vertical="top"/>
    </xf>
    <xf numFmtId="0" fontId="59" fillId="0" borderId="0" xfId="0" applyFont="1" applyAlignment="1">
      <alignment horizontal="left"/>
    </xf>
    <xf numFmtId="0" fontId="65" fillId="0" borderId="0" xfId="0" quotePrefix="1" applyFont="1" applyAlignment="1">
      <alignment horizontal="left" vertical="center"/>
    </xf>
    <xf numFmtId="0" fontId="69" fillId="0" borderId="0" xfId="0" quotePrefix="1" applyFont="1" applyAlignment="1">
      <alignment horizontal="left" vertical="center"/>
    </xf>
    <xf numFmtId="0" fontId="68" fillId="0" borderId="0" xfId="0" applyFont="1" applyAlignment="1">
      <alignment horizontal="left" vertical="center"/>
    </xf>
    <xf numFmtId="0" fontId="65" fillId="0" borderId="0" xfId="0" quotePrefix="1" applyFont="1" applyAlignment="1">
      <alignment horizontal="left" vertical="center" wrapText="1"/>
    </xf>
    <xf numFmtId="0" fontId="50" fillId="0" borderId="0" xfId="0" applyFont="1" applyAlignment="1">
      <alignment horizontal="left" vertical="top" wrapText="1"/>
    </xf>
    <xf numFmtId="0" fontId="53" fillId="0" borderId="0" xfId="88" applyFont="1" applyAlignment="1">
      <alignment horizontal="left" vertical="center"/>
    </xf>
    <xf numFmtId="0" fontId="50" fillId="0" borderId="0" xfId="0" applyFont="1" applyAlignment="1">
      <alignment horizontal="left" vertical="top"/>
    </xf>
    <xf numFmtId="0" fontId="0" fillId="0" borderId="0" xfId="0" quotePrefix="1" applyAlignment="1">
      <alignment horizontal="left"/>
    </xf>
    <xf numFmtId="0" fontId="65" fillId="0" borderId="0" xfId="0" applyFont="1" applyAlignment="1">
      <alignment horizontal="left" vertical="center"/>
    </xf>
    <xf numFmtId="0" fontId="57" fillId="0" borderId="0" xfId="83" quotePrefix="1" applyFont="1" applyAlignment="1">
      <alignment horizontal="left" vertical="center"/>
    </xf>
    <xf numFmtId="0" fontId="53" fillId="0" borderId="0" xfId="81" applyFont="1" applyAlignment="1">
      <alignment horizontal="left" vertical="center"/>
    </xf>
    <xf numFmtId="0" fontId="53" fillId="0" borderId="0" xfId="85" applyFont="1" applyAlignment="1">
      <alignment horizontal="left" vertical="center"/>
    </xf>
    <xf numFmtId="0" fontId="53" fillId="0" borderId="0" xfId="0" applyFont="1" applyAlignment="1">
      <alignment horizontal="left" vertical="center" wrapText="1"/>
    </xf>
    <xf numFmtId="0" fontId="53" fillId="0" borderId="0" xfId="85" quotePrefix="1" applyFont="1" applyAlignment="1">
      <alignment horizontal="left" vertical="center"/>
    </xf>
    <xf numFmtId="0" fontId="53" fillId="0" borderId="0" xfId="87" applyFont="1" applyAlignment="1">
      <alignment horizontal="left" vertical="center"/>
    </xf>
    <xf numFmtId="0" fontId="53" fillId="0" borderId="0" xfId="79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59" fillId="34" borderId="0" xfId="89" applyFont="1" applyFill="1" applyAlignment="1">
      <alignment vertical="center"/>
    </xf>
    <xf numFmtId="1" fontId="53" fillId="0" borderId="0" xfId="0" applyNumberFormat="1" applyFont="1" applyAlignment="1">
      <alignment horizontal="left" vertical="center"/>
    </xf>
    <xf numFmtId="0" fontId="40" fillId="0" borderId="0" xfId="0" quotePrefix="1" applyFont="1" applyAlignment="1">
      <alignment vertical="center" readingOrder="1"/>
    </xf>
    <xf numFmtId="0" fontId="0" fillId="0" borderId="0" xfId="0" applyAlignment="1">
      <alignment vertical="top"/>
    </xf>
    <xf numFmtId="0" fontId="51" fillId="36" borderId="0" xfId="0" applyFont="1" applyFill="1" applyAlignment="1">
      <alignment horizontal="left" vertical="top"/>
    </xf>
    <xf numFmtId="0" fontId="57" fillId="0" borderId="0" xfId="83" applyFont="1" applyAlignment="1">
      <alignment horizontal="left" vertical="center"/>
    </xf>
    <xf numFmtId="0" fontId="51" fillId="0" borderId="0" xfId="0" quotePrefix="1" applyFont="1" applyAlignment="1">
      <alignment horizontal="left" vertical="top"/>
    </xf>
    <xf numFmtId="1" fontId="50" fillId="34" borderId="0" xfId="0" applyNumberFormat="1" applyFont="1" applyFill="1" applyAlignment="1">
      <alignment horizontal="left" vertical="top"/>
    </xf>
    <xf numFmtId="0" fontId="57" fillId="0" borderId="0" xfId="0" applyFont="1" applyAlignment="1">
      <alignment horizontal="left" wrapText="1"/>
    </xf>
    <xf numFmtId="0" fontId="53" fillId="34" borderId="0" xfId="80" applyFont="1" applyFill="1" applyAlignment="1">
      <alignment horizontal="left" vertical="center"/>
    </xf>
    <xf numFmtId="0" fontId="57" fillId="34" borderId="0" xfId="0" quotePrefix="1" applyFont="1" applyFill="1" applyAlignment="1">
      <alignment horizontal="left"/>
    </xf>
    <xf numFmtId="0" fontId="50" fillId="0" borderId="0" xfId="0" quotePrefix="1" applyFont="1" applyAlignment="1">
      <alignment horizontal="left" vertical="top"/>
    </xf>
    <xf numFmtId="0" fontId="53" fillId="0" borderId="0" xfId="86" applyFont="1" applyAlignment="1">
      <alignment horizontal="left" vertical="center" wrapText="1"/>
    </xf>
    <xf numFmtId="0" fontId="53" fillId="34" borderId="0" xfId="0" applyFont="1" applyFill="1" applyAlignment="1">
      <alignment horizontal="left" vertical="center"/>
    </xf>
    <xf numFmtId="0" fontId="0" fillId="0" borderId="0" xfId="0" applyAlignment="1">
      <alignment wrapText="1"/>
    </xf>
    <xf numFmtId="0" fontId="53" fillId="34" borderId="0" xfId="88" applyFont="1" applyFill="1" applyAlignment="1">
      <alignment vertical="center"/>
    </xf>
    <xf numFmtId="0" fontId="51" fillId="0" borderId="0" xfId="0" applyFont="1" applyAlignment="1">
      <alignment horizontal="left" vertical="top" wrapText="1"/>
    </xf>
    <xf numFmtId="0" fontId="53" fillId="34" borderId="0" xfId="85" applyFont="1" applyFill="1" applyAlignment="1">
      <alignment vertical="center"/>
    </xf>
    <xf numFmtId="0" fontId="53" fillId="34" borderId="0" xfId="0" applyFont="1" applyFill="1" applyAlignment="1">
      <alignment vertical="center"/>
    </xf>
    <xf numFmtId="0" fontId="53" fillId="34" borderId="0" xfId="79" applyFont="1" applyFill="1" applyAlignment="1">
      <alignment horizontal="left" vertical="center"/>
    </xf>
    <xf numFmtId="0" fontId="50" fillId="0" borderId="0" xfId="0" quotePrefix="1" applyFont="1" applyAlignment="1">
      <alignment horizontal="left" vertical="top" wrapText="1"/>
    </xf>
    <xf numFmtId="0" fontId="51" fillId="36" borderId="0" xfId="0" quotePrefix="1" applyFont="1" applyFill="1" applyAlignment="1">
      <alignment horizontal="left" vertical="top"/>
    </xf>
    <xf numFmtId="49" fontId="57" fillId="0" borderId="0" xfId="0" applyNumberFormat="1" applyFont="1" applyAlignment="1">
      <alignment horizontal="left" vertical="center"/>
    </xf>
    <xf numFmtId="49" fontId="65" fillId="0" borderId="0" xfId="0" quotePrefix="1" applyNumberFormat="1" applyFont="1" applyAlignment="1">
      <alignment horizontal="left" vertical="center"/>
    </xf>
    <xf numFmtId="0" fontId="51" fillId="35" borderId="0" xfId="0" applyFont="1" applyFill="1" applyAlignment="1">
      <alignment horizontal="left" vertical="top"/>
    </xf>
    <xf numFmtId="0" fontId="53" fillId="0" borderId="0" xfId="86" applyFont="1" applyAlignment="1">
      <alignment horizontal="left" vertical="center"/>
    </xf>
    <xf numFmtId="0" fontId="53" fillId="0" borderId="0" xfId="0" quotePrefix="1" applyFont="1" applyAlignment="1">
      <alignment horizontal="left" vertical="center"/>
    </xf>
    <xf numFmtId="0" fontId="0" fillId="0" borderId="23" xfId="0" applyBorder="1" applyAlignment="1">
      <alignment horizontal="left"/>
    </xf>
    <xf numFmtId="164" fontId="51" fillId="0" borderId="0" xfId="78" applyNumberFormat="1" applyFont="1" applyFill="1" applyBorder="1" applyAlignment="1">
      <alignment horizontal="left" vertical="center" wrapText="1"/>
    </xf>
    <xf numFmtId="164" fontId="70" fillId="0" borderId="0" xfId="78" applyNumberFormat="1" applyFont="1" applyFill="1" applyBorder="1" applyAlignment="1">
      <alignment horizontal="left" vertical="center"/>
    </xf>
    <xf numFmtId="0" fontId="45" fillId="0" borderId="0" xfId="0" applyFont="1" applyAlignment="1">
      <alignment horizontal="left" vertical="top"/>
    </xf>
    <xf numFmtId="0" fontId="68" fillId="0" borderId="0" xfId="0" quotePrefix="1" applyFont="1" applyAlignment="1">
      <alignment horizontal="left" vertical="center"/>
    </xf>
    <xf numFmtId="0" fontId="49" fillId="34" borderId="0" xfId="0" applyFont="1" applyFill="1" applyAlignment="1">
      <alignment horizontal="left" vertical="center" wrapText="1" readingOrder="1"/>
    </xf>
    <xf numFmtId="0" fontId="54" fillId="0" borderId="0" xfId="0" applyFont="1" applyAlignment="1">
      <alignment horizontal="left" vertical="center" wrapText="1"/>
    </xf>
    <xf numFmtId="0" fontId="53" fillId="0" borderId="0" xfId="84" applyFont="1" applyAlignment="1">
      <alignment horizontal="left" vertical="center"/>
    </xf>
    <xf numFmtId="0" fontId="50" fillId="34" borderId="0" xfId="0" applyFont="1" applyFill="1" applyAlignment="1">
      <alignment horizontal="left" vertical="center" wrapText="1"/>
    </xf>
    <xf numFmtId="166" fontId="50" fillId="0" borderId="0" xfId="0" quotePrefix="1" applyNumberFormat="1" applyFont="1" applyAlignment="1">
      <alignment horizontal="left" vertical="top"/>
    </xf>
    <xf numFmtId="0" fontId="23" fillId="0" borderId="11" xfId="0" applyFont="1" applyBorder="1" applyAlignment="1">
      <alignment horizontal="left" vertical="center"/>
    </xf>
    <xf numFmtId="0" fontId="53" fillId="0" borderId="18" xfId="0" applyFont="1" applyBorder="1" applyAlignment="1">
      <alignment horizontal="left" vertical="center"/>
    </xf>
    <xf numFmtId="0" fontId="53" fillId="0" borderId="20" xfId="0" applyFont="1" applyBorder="1" applyAlignment="1">
      <alignment horizontal="left"/>
    </xf>
    <xf numFmtId="0" fontId="29" fillId="0" borderId="0" xfId="0" applyFont="1" applyAlignment="1">
      <alignment horizontal="center"/>
    </xf>
    <xf numFmtId="0" fontId="59" fillId="0" borderId="0" xfId="0" applyFont="1"/>
    <xf numFmtId="49" fontId="40" fillId="0" borderId="0" xfId="0" applyNumberFormat="1" applyFont="1" applyAlignment="1">
      <alignment vertical="top"/>
    </xf>
    <xf numFmtId="49" fontId="40" fillId="0" borderId="0" xfId="0" applyNumberFormat="1" applyFont="1" applyAlignment="1">
      <alignment horizontal="left" vertical="top"/>
    </xf>
    <xf numFmtId="0" fontId="53" fillId="0" borderId="0" xfId="90" applyFont="1" applyAlignment="1">
      <alignment horizontal="left" vertical="center"/>
    </xf>
    <xf numFmtId="49" fontId="73" fillId="0" borderId="0" xfId="0" applyNumberFormat="1" applyFont="1" applyAlignment="1">
      <alignment vertical="top"/>
    </xf>
    <xf numFmtId="49" fontId="73" fillId="0" borderId="0" xfId="0" applyNumberFormat="1" applyFont="1" applyAlignment="1">
      <alignment horizontal="left" vertical="top"/>
    </xf>
    <xf numFmtId="0" fontId="53" fillId="0" borderId="0" xfId="91" applyFont="1" applyAlignment="1">
      <alignment horizontal="left" vertical="center"/>
    </xf>
    <xf numFmtId="0" fontId="40" fillId="34" borderId="0" xfId="0" applyFont="1" applyFill="1" applyAlignment="1">
      <alignment horizontal="left" vertical="center" readingOrder="1"/>
    </xf>
    <xf numFmtId="0" fontId="74" fillId="0" borderId="11" xfId="0" applyFont="1" applyBorder="1" applyAlignment="1">
      <alignment horizontal="left" vertical="center"/>
    </xf>
    <xf numFmtId="0" fontId="74" fillId="0" borderId="11" xfId="0" applyFont="1" applyBorder="1" applyAlignment="1">
      <alignment horizontal="left" vertical="center" wrapText="1"/>
    </xf>
    <xf numFmtId="0" fontId="74" fillId="0" borderId="20" xfId="0" applyFont="1" applyBorder="1" applyAlignment="1">
      <alignment horizontal="left" vertical="center" wrapText="1"/>
    </xf>
    <xf numFmtId="0" fontId="26" fillId="0" borderId="18" xfId="0" applyFont="1" applyBorder="1" applyAlignment="1">
      <alignment horizontal="left" vertical="center"/>
    </xf>
    <xf numFmtId="0" fontId="26" fillId="0" borderId="24" xfId="0" applyFont="1" applyBorder="1" applyAlignment="1">
      <alignment horizontal="left" vertical="center"/>
    </xf>
    <xf numFmtId="0" fontId="75" fillId="0" borderId="11" xfId="0" applyFont="1" applyBorder="1" applyAlignment="1">
      <alignment horizontal="left" vertical="center"/>
    </xf>
    <xf numFmtId="0" fontId="76" fillId="0" borderId="11" xfId="0" applyFont="1" applyBorder="1" applyAlignment="1">
      <alignment horizontal="left" vertical="center" wrapText="1" readingOrder="1"/>
    </xf>
    <xf numFmtId="0" fontId="77" fillId="0" borderId="11" xfId="0" applyFont="1" applyBorder="1" applyAlignment="1">
      <alignment horizontal="left" vertical="center"/>
    </xf>
    <xf numFmtId="0" fontId="74" fillId="0" borderId="19" xfId="0" applyFont="1" applyBorder="1" applyAlignment="1">
      <alignment horizontal="left" vertical="center" wrapText="1"/>
    </xf>
    <xf numFmtId="43" fontId="74" fillId="0" borderId="20" xfId="78" applyFont="1" applyFill="1" applyBorder="1" applyAlignment="1">
      <alignment horizontal="left" vertical="center" wrapText="1"/>
    </xf>
    <xf numFmtId="0" fontId="26" fillId="0" borderId="19" xfId="0" applyFont="1" applyBorder="1" applyAlignment="1">
      <alignment horizontal="left" vertical="center"/>
    </xf>
    <xf numFmtId="0" fontId="74" fillId="0" borderId="11" xfId="70" quotePrefix="1" applyFont="1" applyBorder="1" applyAlignment="1">
      <alignment horizontal="left" vertical="center"/>
    </xf>
    <xf numFmtId="0" fontId="76" fillId="0" borderId="11" xfId="0" quotePrefix="1" applyFont="1" applyBorder="1" applyAlignment="1">
      <alignment horizontal="left" vertical="center" readingOrder="1"/>
    </xf>
    <xf numFmtId="0" fontId="53" fillId="0" borderId="11" xfId="0" applyFont="1" applyBorder="1" applyAlignment="1">
      <alignment horizontal="left" vertical="center"/>
    </xf>
    <xf numFmtId="0" fontId="74" fillId="0" borderId="11" xfId="0" applyFont="1" applyBorder="1" applyAlignment="1">
      <alignment horizontal="center" vertical="center" wrapText="1"/>
    </xf>
    <xf numFmtId="0" fontId="53" fillId="0" borderId="11" xfId="0" quotePrefix="1" applyFont="1" applyBorder="1" applyAlignment="1">
      <alignment horizontal="left" vertical="center"/>
    </xf>
    <xf numFmtId="0" fontId="74" fillId="0" borderId="0" xfId="0" applyFont="1" applyAlignment="1">
      <alignment horizontal="left" vertical="center" wrapText="1"/>
    </xf>
    <xf numFmtId="0" fontId="74" fillId="37" borderId="11" xfId="0" applyFont="1" applyFill="1" applyBorder="1" applyAlignment="1">
      <alignment horizontal="left" vertical="center"/>
    </xf>
    <xf numFmtId="0" fontId="74" fillId="0" borderId="20" xfId="0" applyFont="1" applyBorder="1" applyAlignment="1">
      <alignment horizontal="left" vertical="center"/>
    </xf>
    <xf numFmtId="0" fontId="74" fillId="0" borderId="11" xfId="0" quotePrefix="1" applyFont="1" applyBorder="1" applyAlignment="1">
      <alignment horizontal="left" vertical="center"/>
    </xf>
    <xf numFmtId="0" fontId="78" fillId="0" borderId="11" xfId="0" applyFont="1" applyBorder="1" applyAlignment="1">
      <alignment horizontal="left" vertical="center"/>
    </xf>
    <xf numFmtId="0" fontId="74" fillId="0" borderId="11" xfId="66" applyFont="1" applyBorder="1" applyAlignment="1">
      <alignment horizontal="left" vertical="center"/>
    </xf>
    <xf numFmtId="0" fontId="74" fillId="0" borderId="19" xfId="0" applyFont="1" applyBorder="1" applyAlignment="1">
      <alignment horizontal="left" vertical="center"/>
    </xf>
    <xf numFmtId="0" fontId="74" fillId="0" borderId="0" xfId="0" applyFont="1" applyAlignment="1">
      <alignment horizontal="left" vertical="center"/>
    </xf>
    <xf numFmtId="0" fontId="74" fillId="0" borderId="11" xfId="43" applyFont="1" applyBorder="1" applyAlignment="1">
      <alignment horizontal="left" vertical="center"/>
    </xf>
    <xf numFmtId="0" fontId="76" fillId="0" borderId="11" xfId="0" applyFont="1" applyBorder="1" applyAlignment="1">
      <alignment horizontal="left" vertical="center" readingOrder="1"/>
    </xf>
    <xf numFmtId="49" fontId="77" fillId="0" borderId="11" xfId="0" applyNumberFormat="1" applyFont="1" applyBorder="1" applyAlignment="1">
      <alignment horizontal="left" vertical="center"/>
    </xf>
    <xf numFmtId="43" fontId="74" fillId="0" borderId="11" xfId="78" applyFont="1" applyFill="1" applyBorder="1" applyAlignment="1">
      <alignment horizontal="left" vertical="center"/>
    </xf>
    <xf numFmtId="0" fontId="74" fillId="0" borderId="11" xfId="67" applyFont="1" applyBorder="1" applyAlignment="1">
      <alignment horizontal="left" vertical="center"/>
    </xf>
    <xf numFmtId="1" fontId="26" fillId="0" borderId="19" xfId="0" applyNumberFormat="1" applyFont="1" applyBorder="1" applyAlignment="1">
      <alignment horizontal="left" vertical="center"/>
    </xf>
    <xf numFmtId="0" fontId="78" fillId="0" borderId="11" xfId="70" quotePrefix="1" applyFont="1" applyBorder="1" applyAlignment="1">
      <alignment horizontal="left" vertical="center"/>
    </xf>
    <xf numFmtId="0" fontId="74" fillId="0" borderId="11" xfId="0" applyFont="1" applyBorder="1" applyAlignment="1">
      <alignment horizontal="center" vertical="center"/>
    </xf>
  </cellXfs>
  <cellStyles count="9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Bad 2" xfId="68" xr:uid="{0A4DEFE7-7496-4887-A4E9-42857E862AE2}"/>
    <cellStyle name="Bình thường 2" xfId="72" xr:uid="{6DE1B409-F27C-4079-BB59-435E7F1F68B5}"/>
    <cellStyle name="Calculation" xfId="11" builtinId="22" customBuiltin="1"/>
    <cellStyle name="Check Cell" xfId="13" builtinId="23" customBuiltin="1"/>
    <cellStyle name="Comma" xfId="78" builtinId="3"/>
    <cellStyle name="Comma 2" xfId="54" xr:uid="{D5993568-4733-42DF-9C4D-B41A73B859FD}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77" builtinId="8"/>
    <cellStyle name="Hyperlink 2" xfId="48" xr:uid="{76F3D5AF-388F-4359-BF6E-56A6C4A8B0A2}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10 8" xfId="43" xr:uid="{64BCC10B-94BB-41C6-A993-FF1BCCDB8D44}"/>
    <cellStyle name="Normal 12 2" xfId="49" xr:uid="{EA051C70-1B73-4B02-8535-6C2BCB6BFF4A}"/>
    <cellStyle name="Normal 14" xfId="71" xr:uid="{0A9B821E-1334-45E4-90F5-738CA99163CE}"/>
    <cellStyle name="Normal 14 2" xfId="46" xr:uid="{380E0005-66ED-4C7A-9539-36CF54504B87}"/>
    <cellStyle name="Normal 159" xfId="73" xr:uid="{ACF6A9FF-C017-4AAB-8112-99A278E32D9B}"/>
    <cellStyle name="Normal 18" xfId="58" xr:uid="{59001F0B-118B-47FA-A7D9-308F63C538F7}"/>
    <cellStyle name="Normal 2" xfId="42" xr:uid="{12707095-7413-42B9-BBE3-44F88C4A43A0}"/>
    <cellStyle name="Normal 2 4" xfId="50" xr:uid="{12259D0E-155B-44A8-B572-1211BFEA90DB}"/>
    <cellStyle name="Normal 2 5" xfId="75" xr:uid="{C37DC245-9F53-4B4E-94FF-77A88DA7B1F2}"/>
    <cellStyle name="Normal 2 6" xfId="66" xr:uid="{315DCC2E-5B1C-4F62-B089-35D6F94B4D4E}"/>
    <cellStyle name="Normal 2 7" xfId="70" xr:uid="{2E2A4EC7-DE36-4A99-8372-15633C814206}"/>
    <cellStyle name="Normal 2 7 2" xfId="67" xr:uid="{DC4A670C-6215-48B5-BA63-AD581330390D}"/>
    <cellStyle name="Normal 20 3" xfId="89" xr:uid="{70906A0E-1925-43B5-A1DE-86B5744D4019}"/>
    <cellStyle name="Normal 212" xfId="74" xr:uid="{179D5D65-B0CA-4F8E-93C1-EFDDC973BEAC}"/>
    <cellStyle name="Normal 244" xfId="76" xr:uid="{FA8C1851-CA08-458C-8115-BA80FE25BAB0}"/>
    <cellStyle name="Normal 25" xfId="60" xr:uid="{E7E1B40B-B43F-4D77-9CE3-53FC52340815}"/>
    <cellStyle name="Normal 262" xfId="80" xr:uid="{FA8746E2-C0EB-4EFA-8311-75F989CB69EA}"/>
    <cellStyle name="Normal 279" xfId="83" xr:uid="{9EC69F01-C183-4ED6-8573-0920F9D700C0}"/>
    <cellStyle name="Normal 284" xfId="84" xr:uid="{45893426-BBFF-4BAA-B210-BC678E55E58E}"/>
    <cellStyle name="Normal 286" xfId="79" xr:uid="{A0D5636C-1F30-443D-9888-97DA7AE7D03A}"/>
    <cellStyle name="Normal 293" xfId="82" xr:uid="{153D9DE4-0EB3-43ED-9140-69A7F7745058}"/>
    <cellStyle name="Normal 294" xfId="81" xr:uid="{16E4397F-0710-4F7C-A9FB-AA578D7E8323}"/>
    <cellStyle name="Normal 299" xfId="87" xr:uid="{BC658669-103B-45D0-8682-B727D715D15F}"/>
    <cellStyle name="Normal 3" xfId="44" xr:uid="{02C0DBBE-8FBC-4C6E-A6C3-AC330F1EC8B1}"/>
    <cellStyle name="Normal 3 3" xfId="59" xr:uid="{0078B251-930F-4AEB-9BBA-7F1A322FFF31}"/>
    <cellStyle name="Normal 303" xfId="86" xr:uid="{F90FC783-532A-493E-9C44-47FE311343D1}"/>
    <cellStyle name="Normal 307" xfId="85" xr:uid="{5B7F2B1B-D1AA-4AF3-B62B-7794C71FC371}"/>
    <cellStyle name="Normal 315" xfId="88" xr:uid="{0EA87C43-FAB2-43C6-8E54-C714886AEBB2}"/>
    <cellStyle name="Normal 328" xfId="91" xr:uid="{25FB8CBC-A51F-4373-8FE9-5D0D4324889B}"/>
    <cellStyle name="Normal 33" xfId="55" xr:uid="{6FCFB3B9-E122-4330-A2E6-D73C2CB3D033}"/>
    <cellStyle name="Normal 332" xfId="90" xr:uid="{EC12F635-F503-46EC-AA31-D5A41A885BC9}"/>
    <cellStyle name="Normal 4" xfId="56" xr:uid="{CEDD4F9D-2283-49EA-8A5A-3E23D9CA9331}"/>
    <cellStyle name="Normal 43" xfId="53" xr:uid="{131C8CB6-514F-482D-B525-5F172A1623A1}"/>
    <cellStyle name="Normal 46" xfId="51" xr:uid="{80858AC4-B37F-4005-AA45-03F5140C01CF}"/>
    <cellStyle name="Normal 5" xfId="45" xr:uid="{68F85C51-D210-4B77-9862-68D7D841C55F}"/>
    <cellStyle name="Normal 50" xfId="52" xr:uid="{7DEB2401-9255-4CF3-9AC6-DC54151A1F84}"/>
    <cellStyle name="Normal 66" xfId="61" xr:uid="{64CA384E-63F8-4666-8340-ABFDD47E4B83}"/>
    <cellStyle name="Normal 68" xfId="63" xr:uid="{AF515540-6E07-4AB0-AF54-5CA19ECAEC77}"/>
    <cellStyle name="Normal 7" xfId="47" xr:uid="{5D0F16DB-BBCC-45DD-84EB-FD0DDF58730D}"/>
    <cellStyle name="Normal 8" xfId="69" xr:uid="{2CC93259-69F1-4ABB-A090-C4473403A0F4}"/>
    <cellStyle name="Normal 8 2" xfId="65" xr:uid="{DF809254-DB57-4B07-8684-7AAA26FBBAE9}"/>
    <cellStyle name="Normal 82" xfId="62" xr:uid="{DB4CFFB8-B825-4AE5-997B-1BB7A5539BB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  <cellStyle name="常规 2" xfId="64" xr:uid="{C8FB2232-12B1-4F99-B000-CAF84E3F30C5}"/>
    <cellStyle name="標準 2" xfId="57" xr:uid="{7CD98916-77D5-4DD9-BB45-A73516BF57E2}"/>
  </cellStyles>
  <dxfs count="23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000"/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lcsc.com/product-detail/Multilayer-Ceramic-Capacitors-MLCC-SMD-SMT_YAGEO-CC0603JRNPO9BN330_C107047.html" TargetMode="Externa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8455"/>
  <sheetViews>
    <sheetView tabSelected="1" zoomScaleNormal="100" workbookViewId="0">
      <pane xSplit="4" ySplit="2" topLeftCell="E8428" activePane="bottomRight" state="frozen"/>
      <selection pane="topRight" activeCell="E1" sqref="E1"/>
      <selection pane="bottomLeft" activeCell="A3" sqref="A3"/>
      <selection pane="bottomRight" activeCell="D8441" sqref="D8441"/>
    </sheetView>
  </sheetViews>
  <sheetFormatPr defaultRowHeight="13.5" customHeight="1"/>
  <cols>
    <col min="1" max="1" width="5.28515625" style="57" customWidth="1"/>
    <col min="2" max="2" width="37.140625" style="57" customWidth="1"/>
    <col min="3" max="3" width="4.85546875" style="57" customWidth="1"/>
    <col min="4" max="4" width="23.7109375" style="57" customWidth="1"/>
    <col min="5" max="5" width="15" style="57" customWidth="1"/>
    <col min="6" max="6" width="7.28515625" style="76" customWidth="1"/>
    <col min="7" max="7" width="16.28515625" style="57" customWidth="1"/>
    <col min="8" max="8" width="14.5703125" style="57" customWidth="1"/>
    <col min="9" max="9" width="12.85546875" style="57" customWidth="1"/>
    <col min="10" max="10" width="15.7109375" style="57" customWidth="1"/>
    <col min="11" max="16384" width="9.140625" style="57"/>
  </cols>
  <sheetData>
    <row r="2" spans="1:10" s="70" customFormat="1" ht="31.5" customHeight="1">
      <c r="A2" s="70" t="s">
        <v>1491</v>
      </c>
      <c r="B2" s="70" t="s">
        <v>1493</v>
      </c>
      <c r="C2" s="70" t="s">
        <v>8114</v>
      </c>
      <c r="D2" s="70" t="s">
        <v>8009</v>
      </c>
      <c r="E2" s="70" t="s">
        <v>346</v>
      </c>
      <c r="F2" s="77" t="s">
        <v>8010</v>
      </c>
      <c r="G2" s="70" t="s">
        <v>8011</v>
      </c>
      <c r="H2" s="70" t="s">
        <v>342</v>
      </c>
      <c r="I2" s="70" t="s">
        <v>340</v>
      </c>
      <c r="J2" s="70" t="s">
        <v>1118</v>
      </c>
    </row>
    <row r="3" spans="1:10" ht="13.5" customHeight="1">
      <c r="B3" s="57" t="s">
        <v>329</v>
      </c>
      <c r="D3" s="57" t="s">
        <v>57</v>
      </c>
      <c r="F3" s="57">
        <v>2</v>
      </c>
      <c r="G3" s="57" t="s">
        <v>1492</v>
      </c>
      <c r="H3" s="57" t="s">
        <v>343</v>
      </c>
    </row>
    <row r="4" spans="1:10" ht="13.5" customHeight="1">
      <c r="B4" s="57" t="s">
        <v>304</v>
      </c>
      <c r="D4" s="57" t="s">
        <v>305</v>
      </c>
      <c r="F4" s="57">
        <v>5</v>
      </c>
      <c r="G4" s="57" t="s">
        <v>1492</v>
      </c>
      <c r="H4" s="57" t="s">
        <v>343</v>
      </c>
    </row>
    <row r="5" spans="1:10" ht="13.5" customHeight="1">
      <c r="B5" s="57" t="s">
        <v>317</v>
      </c>
      <c r="D5" s="57" t="s">
        <v>318</v>
      </c>
      <c r="F5" s="57">
        <v>9</v>
      </c>
      <c r="G5" s="57" t="s">
        <v>1492</v>
      </c>
      <c r="H5" s="57" t="s">
        <v>343</v>
      </c>
    </row>
    <row r="6" spans="1:10" ht="13.5" customHeight="1">
      <c r="B6" s="57" t="s">
        <v>263</v>
      </c>
      <c r="D6" s="57" t="s">
        <v>264</v>
      </c>
      <c r="F6" s="57">
        <v>9</v>
      </c>
      <c r="G6" s="57" t="s">
        <v>1492</v>
      </c>
      <c r="H6" s="57" t="s">
        <v>343</v>
      </c>
    </row>
    <row r="7" spans="1:10" ht="13.5" customHeight="1">
      <c r="B7" s="57" t="s">
        <v>248</v>
      </c>
      <c r="D7" s="57" t="s">
        <v>249</v>
      </c>
      <c r="F7" s="57">
        <v>9</v>
      </c>
      <c r="G7" s="57" t="s">
        <v>1492</v>
      </c>
      <c r="H7" s="57" t="s">
        <v>343</v>
      </c>
    </row>
    <row r="8" spans="1:10" ht="13.5" customHeight="1">
      <c r="B8" s="57" t="s">
        <v>306</v>
      </c>
      <c r="D8" s="57" t="s">
        <v>307</v>
      </c>
      <c r="F8" s="57">
        <v>9</v>
      </c>
      <c r="G8" s="57" t="s">
        <v>1492</v>
      </c>
      <c r="H8" s="57" t="s">
        <v>343</v>
      </c>
    </row>
    <row r="9" spans="1:10" ht="13.5" customHeight="1">
      <c r="B9" s="57" t="s">
        <v>262</v>
      </c>
      <c r="D9" s="57" t="s">
        <v>90</v>
      </c>
      <c r="F9" s="57">
        <v>10</v>
      </c>
      <c r="G9" s="57" t="s">
        <v>1492</v>
      </c>
      <c r="H9" s="57" t="s">
        <v>343</v>
      </c>
    </row>
    <row r="10" spans="1:10" ht="13.5" customHeight="1">
      <c r="B10" s="57" t="s">
        <v>226</v>
      </c>
      <c r="D10" s="57" t="s">
        <v>225</v>
      </c>
      <c r="F10" s="57">
        <v>10</v>
      </c>
      <c r="G10" s="57" t="s">
        <v>1492</v>
      </c>
      <c r="H10" s="57" t="s">
        <v>343</v>
      </c>
    </row>
    <row r="11" spans="1:10" ht="13.5" customHeight="1">
      <c r="B11" s="57" t="s">
        <v>279</v>
      </c>
      <c r="D11" s="57" t="s">
        <v>280</v>
      </c>
      <c r="F11" s="57">
        <v>10</v>
      </c>
      <c r="G11" s="57" t="s">
        <v>1492</v>
      </c>
      <c r="H11" s="57" t="s">
        <v>343</v>
      </c>
    </row>
    <row r="12" spans="1:10" ht="13.5" customHeight="1">
      <c r="B12" s="57" t="s">
        <v>245</v>
      </c>
      <c r="D12" s="57" t="s">
        <v>31</v>
      </c>
      <c r="F12" s="57">
        <v>10</v>
      </c>
      <c r="G12" s="57" t="s">
        <v>1492</v>
      </c>
      <c r="H12" s="57" t="s">
        <v>343</v>
      </c>
    </row>
    <row r="13" spans="1:10" ht="13.5" customHeight="1">
      <c r="B13" s="57" t="s">
        <v>252</v>
      </c>
      <c r="D13" s="57" t="s">
        <v>45</v>
      </c>
      <c r="F13" s="57">
        <v>13</v>
      </c>
      <c r="G13" s="57" t="s">
        <v>1492</v>
      </c>
      <c r="H13" s="57" t="s">
        <v>343</v>
      </c>
    </row>
    <row r="14" spans="1:10" ht="13.5" customHeight="1">
      <c r="B14" s="57" t="s">
        <v>261</v>
      </c>
      <c r="D14" s="57" t="s">
        <v>88</v>
      </c>
      <c r="F14" s="57">
        <v>15</v>
      </c>
      <c r="G14" s="57" t="s">
        <v>1492</v>
      </c>
      <c r="H14" s="57" t="s">
        <v>343</v>
      </c>
    </row>
    <row r="15" spans="1:10" ht="13.5" customHeight="1">
      <c r="B15" s="57" t="s">
        <v>290</v>
      </c>
      <c r="D15" s="57" t="s">
        <v>126</v>
      </c>
      <c r="F15" s="57">
        <v>15</v>
      </c>
      <c r="G15" s="57" t="s">
        <v>1492</v>
      </c>
      <c r="H15" s="57" t="s">
        <v>343</v>
      </c>
    </row>
    <row r="16" spans="1:10" ht="13.5" customHeight="1">
      <c r="B16" s="57" t="s">
        <v>258</v>
      </c>
      <c r="D16" s="57" t="s">
        <v>72</v>
      </c>
      <c r="F16" s="57">
        <v>18</v>
      </c>
      <c r="G16" s="57" t="s">
        <v>1492</v>
      </c>
      <c r="H16" s="57" t="s">
        <v>343</v>
      </c>
    </row>
    <row r="17" spans="2:8" ht="13.5" customHeight="1">
      <c r="B17" s="57" t="s">
        <v>246</v>
      </c>
      <c r="D17" s="57" t="s">
        <v>247</v>
      </c>
      <c r="F17" s="57">
        <v>18</v>
      </c>
      <c r="G17" s="57" t="s">
        <v>1492</v>
      </c>
      <c r="H17" s="57" t="s">
        <v>343</v>
      </c>
    </row>
    <row r="18" spans="2:8" ht="13.5" customHeight="1">
      <c r="B18" s="57" t="s">
        <v>255</v>
      </c>
      <c r="D18" s="57" t="s">
        <v>256</v>
      </c>
      <c r="F18" s="57">
        <v>20</v>
      </c>
      <c r="G18" s="57" t="s">
        <v>1492</v>
      </c>
      <c r="H18" s="57" t="s">
        <v>343</v>
      </c>
    </row>
    <row r="19" spans="2:8" ht="13.5" customHeight="1">
      <c r="B19" s="57" t="s">
        <v>209</v>
      </c>
      <c r="D19" s="57" t="s">
        <v>209</v>
      </c>
      <c r="F19" s="57">
        <v>1331</v>
      </c>
      <c r="G19" s="57" t="s">
        <v>1492</v>
      </c>
      <c r="H19" s="57" t="s">
        <v>343</v>
      </c>
    </row>
    <row r="20" spans="2:8" ht="13.5" customHeight="1">
      <c r="B20" s="57" t="s">
        <v>325</v>
      </c>
      <c r="D20" s="57" t="s">
        <v>205</v>
      </c>
      <c r="F20" s="57">
        <v>1</v>
      </c>
      <c r="G20" s="57" t="s">
        <v>1492</v>
      </c>
      <c r="H20" s="57" t="s">
        <v>344</v>
      </c>
    </row>
    <row r="21" spans="2:8" ht="14.25" customHeight="1">
      <c r="B21" s="57" t="s">
        <v>9194</v>
      </c>
      <c r="D21" s="57" t="s">
        <v>341</v>
      </c>
      <c r="F21" s="57">
        <v>2</v>
      </c>
      <c r="G21" s="57" t="s">
        <v>1492</v>
      </c>
      <c r="H21" s="57" t="s">
        <v>344</v>
      </c>
    </row>
    <row r="22" spans="2:8" ht="13.5" customHeight="1">
      <c r="B22" s="57" t="s">
        <v>319</v>
      </c>
      <c r="D22" s="57" t="s">
        <v>320</v>
      </c>
      <c r="F22" s="57">
        <v>4</v>
      </c>
      <c r="G22" s="57" t="s">
        <v>1492</v>
      </c>
      <c r="H22" s="57" t="s">
        <v>344</v>
      </c>
    </row>
    <row r="23" spans="2:8" ht="13.5" customHeight="1">
      <c r="B23" s="57" t="s">
        <v>295</v>
      </c>
      <c r="D23" s="57" t="s">
        <v>140</v>
      </c>
      <c r="F23" s="57">
        <v>5</v>
      </c>
      <c r="G23" s="57" t="s">
        <v>1492</v>
      </c>
      <c r="H23" s="57" t="s">
        <v>344</v>
      </c>
    </row>
    <row r="24" spans="2:8" ht="13.5" customHeight="1">
      <c r="B24" s="57" t="s">
        <v>289</v>
      </c>
      <c r="D24" s="57" t="s">
        <v>123</v>
      </c>
      <c r="F24" s="57">
        <v>5</v>
      </c>
      <c r="G24" s="57" t="s">
        <v>1492</v>
      </c>
      <c r="H24" s="57" t="s">
        <v>344</v>
      </c>
    </row>
    <row r="25" spans="2:8" ht="13.5" customHeight="1">
      <c r="B25" s="57" t="s">
        <v>300</v>
      </c>
      <c r="D25" s="57" t="s">
        <v>301</v>
      </c>
      <c r="F25" s="57">
        <v>10</v>
      </c>
      <c r="G25" s="57" t="s">
        <v>1492</v>
      </c>
      <c r="H25" s="57" t="s">
        <v>344</v>
      </c>
    </row>
    <row r="26" spans="2:8" ht="13.5" customHeight="1">
      <c r="B26" s="57" t="s">
        <v>251</v>
      </c>
      <c r="D26" s="57" t="s">
        <v>42</v>
      </c>
      <c r="F26" s="57">
        <v>10</v>
      </c>
      <c r="G26" s="57" t="s">
        <v>1492</v>
      </c>
      <c r="H26" s="57" t="s">
        <v>344</v>
      </c>
    </row>
    <row r="27" spans="2:8" ht="13.5" customHeight="1">
      <c r="B27" s="57" t="s">
        <v>324</v>
      </c>
      <c r="D27" s="57" t="s">
        <v>200</v>
      </c>
      <c r="F27" s="57">
        <v>10</v>
      </c>
      <c r="G27" s="57" t="s">
        <v>1492</v>
      </c>
      <c r="H27" s="57" t="s">
        <v>344</v>
      </c>
    </row>
    <row r="28" spans="2:8" ht="13.5" customHeight="1">
      <c r="B28" s="57" t="s">
        <v>285</v>
      </c>
      <c r="D28" s="57" t="s">
        <v>286</v>
      </c>
      <c r="F28" s="57">
        <v>10</v>
      </c>
      <c r="G28" s="57" t="s">
        <v>1492</v>
      </c>
      <c r="H28" s="57" t="s">
        <v>344</v>
      </c>
    </row>
    <row r="29" spans="2:8" ht="13.5" customHeight="1">
      <c r="B29" s="57" t="s">
        <v>283</v>
      </c>
      <c r="D29" s="57" t="s">
        <v>284</v>
      </c>
      <c r="F29" s="57">
        <v>10</v>
      </c>
      <c r="G29" s="57" t="s">
        <v>1492</v>
      </c>
      <c r="H29" s="57" t="s">
        <v>344</v>
      </c>
    </row>
    <row r="30" spans="2:8" ht="13.5" customHeight="1">
      <c r="B30" s="57" t="s">
        <v>315</v>
      </c>
      <c r="D30" s="57" t="s">
        <v>316</v>
      </c>
      <c r="F30" s="57">
        <v>14</v>
      </c>
      <c r="G30" s="57" t="s">
        <v>1492</v>
      </c>
      <c r="H30" s="57" t="s">
        <v>344</v>
      </c>
    </row>
    <row r="31" spans="2:8" ht="13.5" customHeight="1">
      <c r="B31" s="57" t="s">
        <v>269</v>
      </c>
      <c r="D31" s="57" t="s">
        <v>270</v>
      </c>
      <c r="F31" s="57">
        <v>16</v>
      </c>
      <c r="G31" s="57" t="s">
        <v>1492</v>
      </c>
      <c r="H31" s="57" t="s">
        <v>344</v>
      </c>
    </row>
    <row r="32" spans="2:8" ht="13.5" customHeight="1">
      <c r="B32" s="57" t="s">
        <v>310</v>
      </c>
      <c r="D32" s="57" t="s">
        <v>164</v>
      </c>
      <c r="F32" s="57">
        <v>17</v>
      </c>
      <c r="G32" s="57" t="s">
        <v>1492</v>
      </c>
      <c r="H32" s="57" t="s">
        <v>344</v>
      </c>
    </row>
    <row r="33" spans="2:8" ht="13.5" customHeight="1">
      <c r="B33" s="57" t="s">
        <v>296</v>
      </c>
      <c r="D33" s="57" t="s">
        <v>297</v>
      </c>
      <c r="F33" s="57">
        <v>1</v>
      </c>
      <c r="G33" s="57" t="s">
        <v>1492</v>
      </c>
      <c r="H33" s="57" t="s">
        <v>345</v>
      </c>
    </row>
    <row r="34" spans="2:8" ht="13.5" customHeight="1">
      <c r="B34" s="57" t="s">
        <v>287</v>
      </c>
      <c r="D34" s="57" t="s">
        <v>117</v>
      </c>
      <c r="F34" s="57">
        <v>2</v>
      </c>
      <c r="G34" s="57" t="s">
        <v>1492</v>
      </c>
      <c r="H34" s="57" t="s">
        <v>345</v>
      </c>
    </row>
    <row r="35" spans="2:8" ht="13.5" customHeight="1">
      <c r="B35" s="57" t="s">
        <v>311</v>
      </c>
      <c r="D35" s="57" t="s">
        <v>312</v>
      </c>
      <c r="F35" s="57">
        <v>5</v>
      </c>
      <c r="G35" s="57" t="s">
        <v>1492</v>
      </c>
      <c r="H35" s="57" t="s">
        <v>345</v>
      </c>
    </row>
    <row r="36" spans="2:8" ht="13.5" customHeight="1">
      <c r="B36" s="57" t="s">
        <v>302</v>
      </c>
      <c r="D36" s="57" t="s">
        <v>303</v>
      </c>
      <c r="F36" s="57">
        <v>9</v>
      </c>
      <c r="G36" s="57" t="s">
        <v>1492</v>
      </c>
      <c r="H36" s="57" t="s">
        <v>345</v>
      </c>
    </row>
    <row r="37" spans="2:8" ht="13.5" customHeight="1">
      <c r="B37" s="57" t="s">
        <v>233</v>
      </c>
      <c r="D37" s="57" t="s">
        <v>234</v>
      </c>
      <c r="F37" s="57">
        <v>9</v>
      </c>
      <c r="G37" s="57" t="s">
        <v>1492</v>
      </c>
      <c r="H37" s="57" t="s">
        <v>345</v>
      </c>
    </row>
    <row r="38" spans="2:8" ht="13.5" customHeight="1">
      <c r="B38" s="57" t="s">
        <v>308</v>
      </c>
      <c r="D38" s="57" t="s">
        <v>309</v>
      </c>
      <c r="F38" s="57">
        <v>9</v>
      </c>
      <c r="G38" s="57" t="s">
        <v>1492</v>
      </c>
      <c r="H38" s="57" t="s">
        <v>345</v>
      </c>
    </row>
    <row r="39" spans="2:8" ht="13.5" customHeight="1">
      <c r="B39" s="57" t="s">
        <v>229</v>
      </c>
      <c r="D39" s="57" t="s">
        <v>230</v>
      </c>
      <c r="F39" s="57">
        <v>9</v>
      </c>
      <c r="G39" s="57" t="s">
        <v>1492</v>
      </c>
      <c r="H39" s="57" t="s">
        <v>345</v>
      </c>
    </row>
    <row r="40" spans="2:8" ht="13.5" customHeight="1">
      <c r="B40" s="57" t="s">
        <v>257</v>
      </c>
      <c r="D40" s="57" t="s">
        <v>54</v>
      </c>
      <c r="F40" s="57">
        <v>10</v>
      </c>
      <c r="G40" s="57" t="s">
        <v>1492</v>
      </c>
      <c r="H40" s="57" t="s">
        <v>345</v>
      </c>
    </row>
    <row r="41" spans="2:8" ht="13.5" customHeight="1">
      <c r="B41" s="57" t="s">
        <v>227</v>
      </c>
      <c r="D41" s="57" t="s">
        <v>228</v>
      </c>
      <c r="F41" s="57">
        <v>10</v>
      </c>
      <c r="G41" s="57" t="s">
        <v>1492</v>
      </c>
      <c r="H41" s="57" t="s">
        <v>345</v>
      </c>
    </row>
    <row r="42" spans="2:8" ht="13.5" customHeight="1">
      <c r="B42" s="57" t="s">
        <v>323</v>
      </c>
      <c r="D42" s="57" t="s">
        <v>198</v>
      </c>
      <c r="F42" s="57">
        <v>10</v>
      </c>
      <c r="G42" s="57" t="s">
        <v>1492</v>
      </c>
      <c r="H42" s="57" t="s">
        <v>345</v>
      </c>
    </row>
    <row r="43" spans="2:8" ht="13.5" customHeight="1">
      <c r="B43" s="57" t="s">
        <v>275</v>
      </c>
      <c r="D43" s="57" t="s">
        <v>276</v>
      </c>
      <c r="F43" s="57">
        <v>12</v>
      </c>
      <c r="G43" s="57" t="s">
        <v>1492</v>
      </c>
      <c r="H43" s="57" t="s">
        <v>345</v>
      </c>
    </row>
    <row r="44" spans="2:8" ht="13.5" customHeight="1">
      <c r="B44" s="57" t="s">
        <v>291</v>
      </c>
      <c r="D44" s="57" t="s">
        <v>292</v>
      </c>
      <c r="F44" s="57">
        <v>13</v>
      </c>
      <c r="G44" s="57" t="s">
        <v>1492</v>
      </c>
      <c r="H44" s="57" t="s">
        <v>345</v>
      </c>
    </row>
    <row r="45" spans="2:8" ht="13.5" customHeight="1">
      <c r="B45" s="57" t="s">
        <v>293</v>
      </c>
      <c r="D45" s="57" t="s">
        <v>294</v>
      </c>
      <c r="F45" s="57">
        <v>15</v>
      </c>
      <c r="G45" s="57" t="s">
        <v>1492</v>
      </c>
      <c r="H45" s="57" t="s">
        <v>345</v>
      </c>
    </row>
    <row r="46" spans="2:8" ht="13.5" customHeight="1">
      <c r="B46" s="57" t="s">
        <v>219</v>
      </c>
      <c r="D46" s="57" t="s">
        <v>217</v>
      </c>
      <c r="F46" s="57">
        <v>15</v>
      </c>
      <c r="G46" s="57" t="s">
        <v>1492</v>
      </c>
      <c r="H46" s="57" t="s">
        <v>345</v>
      </c>
    </row>
    <row r="47" spans="2:8" ht="13.5" customHeight="1">
      <c r="B47" s="57" t="s">
        <v>253</v>
      </c>
      <c r="D47" s="57" t="s">
        <v>254</v>
      </c>
      <c r="F47" s="57">
        <v>19</v>
      </c>
      <c r="G47" s="57" t="s">
        <v>1492</v>
      </c>
      <c r="H47" s="57" t="s">
        <v>345</v>
      </c>
    </row>
    <row r="48" spans="2:8" ht="13.5" customHeight="1">
      <c r="B48" s="57" t="s">
        <v>265</v>
      </c>
      <c r="D48" s="57" t="s">
        <v>266</v>
      </c>
      <c r="F48" s="57">
        <v>19</v>
      </c>
      <c r="G48" s="57" t="s">
        <v>1492</v>
      </c>
      <c r="H48" s="57" t="s">
        <v>345</v>
      </c>
    </row>
    <row r="49" spans="2:8" ht="13.5" customHeight="1">
      <c r="B49" s="57" t="s">
        <v>231</v>
      </c>
      <c r="D49" s="57" t="s">
        <v>232</v>
      </c>
      <c r="F49" s="57">
        <v>20</v>
      </c>
      <c r="G49" s="57" t="s">
        <v>1492</v>
      </c>
      <c r="H49" s="57" t="s">
        <v>345</v>
      </c>
    </row>
    <row r="50" spans="2:8" ht="13.5" customHeight="1">
      <c r="B50" s="57" t="s">
        <v>241</v>
      </c>
      <c r="D50" s="57" t="s">
        <v>242</v>
      </c>
      <c r="F50" s="57">
        <v>20</v>
      </c>
      <c r="G50" s="57" t="s">
        <v>1492</v>
      </c>
      <c r="H50" s="57" t="s">
        <v>345</v>
      </c>
    </row>
    <row r="51" spans="2:8" ht="13.5" customHeight="1">
      <c r="B51" s="57" t="s">
        <v>259</v>
      </c>
      <c r="D51" s="57" t="s">
        <v>260</v>
      </c>
      <c r="F51" s="57">
        <v>20</v>
      </c>
      <c r="G51" s="57" t="s">
        <v>1492</v>
      </c>
      <c r="H51" s="57" t="s">
        <v>345</v>
      </c>
    </row>
    <row r="52" spans="2:8" ht="13.5" customHeight="1">
      <c r="B52" s="57" t="s">
        <v>288</v>
      </c>
      <c r="D52" s="57" t="s">
        <v>120</v>
      </c>
      <c r="F52" s="57">
        <v>21</v>
      </c>
      <c r="G52" s="57" t="s">
        <v>1492</v>
      </c>
      <c r="H52" s="57" t="s">
        <v>345</v>
      </c>
    </row>
    <row r="53" spans="2:8" ht="13.5" customHeight="1">
      <c r="B53" s="57" t="s">
        <v>369</v>
      </c>
      <c r="D53" s="57" t="s">
        <v>1497</v>
      </c>
      <c r="F53" s="57">
        <v>4</v>
      </c>
      <c r="G53" s="57" t="s">
        <v>388</v>
      </c>
      <c r="H53" s="57" t="s">
        <v>2791</v>
      </c>
    </row>
    <row r="54" spans="2:8" ht="13.5" customHeight="1">
      <c r="B54" s="57" t="s">
        <v>364</v>
      </c>
      <c r="D54" s="57" t="s">
        <v>365</v>
      </c>
      <c r="E54" s="57" t="s">
        <v>1494</v>
      </c>
      <c r="F54" s="57">
        <v>7</v>
      </c>
      <c r="G54" s="57" t="s">
        <v>388</v>
      </c>
      <c r="H54" s="57" t="s">
        <v>2791</v>
      </c>
    </row>
    <row r="55" spans="2:8" ht="13.5" customHeight="1">
      <c r="B55" s="57" t="s">
        <v>369</v>
      </c>
      <c r="D55" s="57" t="s">
        <v>1496</v>
      </c>
      <c r="F55" s="57">
        <v>9</v>
      </c>
      <c r="G55" s="57" t="s">
        <v>388</v>
      </c>
      <c r="H55" s="57" t="s">
        <v>2791</v>
      </c>
    </row>
    <row r="56" spans="2:8" ht="13.5" customHeight="1">
      <c r="B56" s="57" t="s">
        <v>373</v>
      </c>
      <c r="D56" s="57" t="s">
        <v>373</v>
      </c>
      <c r="F56" s="57">
        <v>20</v>
      </c>
      <c r="G56" s="57" t="s">
        <v>388</v>
      </c>
      <c r="H56" s="57" t="s">
        <v>2791</v>
      </c>
    </row>
    <row r="57" spans="2:8" ht="13.5" customHeight="1">
      <c r="D57" s="57" t="s">
        <v>1499</v>
      </c>
      <c r="F57" s="57">
        <v>23</v>
      </c>
      <c r="G57" s="57" t="s">
        <v>388</v>
      </c>
      <c r="H57" s="57" t="s">
        <v>2791</v>
      </c>
    </row>
    <row r="58" spans="2:8" ht="13.5" customHeight="1">
      <c r="D58" s="57" t="s">
        <v>378</v>
      </c>
      <c r="F58" s="57">
        <v>95</v>
      </c>
      <c r="G58" s="57" t="s">
        <v>388</v>
      </c>
      <c r="H58" s="57" t="s">
        <v>2791</v>
      </c>
    </row>
    <row r="59" spans="2:8" ht="13.5" customHeight="1">
      <c r="B59" s="57" t="s">
        <v>376</v>
      </c>
      <c r="D59" s="57" t="s">
        <v>377</v>
      </c>
      <c r="E59" s="57" t="s">
        <v>1498</v>
      </c>
      <c r="F59" s="57">
        <v>129</v>
      </c>
      <c r="G59" s="57" t="s">
        <v>388</v>
      </c>
      <c r="H59" s="57" t="s">
        <v>2791</v>
      </c>
    </row>
    <row r="60" spans="2:8" ht="13.5" customHeight="1">
      <c r="B60" s="57" t="s">
        <v>366</v>
      </c>
      <c r="D60" s="57" t="s">
        <v>372</v>
      </c>
      <c r="F60" s="57">
        <v>150</v>
      </c>
      <c r="G60" s="57" t="s">
        <v>388</v>
      </c>
      <c r="H60" s="57" t="s">
        <v>2791</v>
      </c>
    </row>
    <row r="61" spans="2:8" ht="13.5" customHeight="1">
      <c r="B61" s="57" t="s">
        <v>366</v>
      </c>
      <c r="D61" s="57" t="s">
        <v>8155</v>
      </c>
      <c r="E61" s="57" t="s">
        <v>1495</v>
      </c>
      <c r="F61" s="57">
        <v>198</v>
      </c>
      <c r="G61" s="57" t="s">
        <v>388</v>
      </c>
      <c r="H61" s="57" t="s">
        <v>2791</v>
      </c>
    </row>
    <row r="62" spans="2:8" ht="13.5" customHeight="1">
      <c r="B62" s="57" t="s">
        <v>374</v>
      </c>
      <c r="D62" s="57" t="s">
        <v>375</v>
      </c>
      <c r="F62" s="57">
        <v>216</v>
      </c>
      <c r="G62" s="57" t="s">
        <v>388</v>
      </c>
      <c r="H62" s="57" t="s">
        <v>2791</v>
      </c>
    </row>
    <row r="63" spans="2:8" ht="13.5" customHeight="1">
      <c r="B63" s="76" t="s">
        <v>9196</v>
      </c>
      <c r="D63" s="57" t="s">
        <v>386</v>
      </c>
      <c r="F63" s="57">
        <v>1000</v>
      </c>
      <c r="G63" s="57" t="s">
        <v>388</v>
      </c>
      <c r="H63" s="57" t="s">
        <v>2791</v>
      </c>
    </row>
    <row r="64" spans="2:8" ht="13.5" customHeight="1">
      <c r="B64" s="57" t="s">
        <v>9195</v>
      </c>
      <c r="D64" s="57" t="s">
        <v>385</v>
      </c>
      <c r="F64" s="57">
        <v>1010</v>
      </c>
      <c r="G64" s="57" t="s">
        <v>388</v>
      </c>
      <c r="H64" s="57" t="s">
        <v>2791</v>
      </c>
    </row>
    <row r="65" spans="2:9" ht="13.5" customHeight="1">
      <c r="B65" s="57" t="s">
        <v>370</v>
      </c>
      <c r="D65" s="57" t="s">
        <v>371</v>
      </c>
      <c r="F65" s="57">
        <v>1411</v>
      </c>
      <c r="G65" s="57" t="s">
        <v>388</v>
      </c>
      <c r="H65" s="57" t="s">
        <v>2791</v>
      </c>
    </row>
    <row r="66" spans="2:9" ht="13.5" customHeight="1">
      <c r="B66" s="57" t="s">
        <v>379</v>
      </c>
      <c r="D66" s="57" t="s">
        <v>380</v>
      </c>
      <c r="F66" s="57">
        <v>1432</v>
      </c>
      <c r="G66" s="57" t="s">
        <v>388</v>
      </c>
      <c r="H66" s="57" t="s">
        <v>2791</v>
      </c>
    </row>
    <row r="67" spans="2:9" ht="13.5" customHeight="1">
      <c r="D67" s="57" t="s">
        <v>1499</v>
      </c>
      <c r="F67" s="57">
        <v>1674</v>
      </c>
      <c r="G67" s="57" t="s">
        <v>388</v>
      </c>
      <c r="H67" s="57" t="s">
        <v>2791</v>
      </c>
    </row>
    <row r="68" spans="2:9" ht="13.5" customHeight="1">
      <c r="B68" s="57" t="s">
        <v>383</v>
      </c>
      <c r="D68" s="57" t="s">
        <v>384</v>
      </c>
      <c r="F68" s="57">
        <v>1837</v>
      </c>
      <c r="G68" s="57" t="s">
        <v>388</v>
      </c>
      <c r="H68" s="57" t="s">
        <v>2791</v>
      </c>
      <c r="I68" s="57" t="s">
        <v>1500</v>
      </c>
    </row>
    <row r="69" spans="2:9" ht="13.5" customHeight="1">
      <c r="B69" s="57" t="s">
        <v>9197</v>
      </c>
      <c r="D69" s="57" t="s">
        <v>387</v>
      </c>
      <c r="F69" s="57">
        <v>2003</v>
      </c>
      <c r="G69" s="57" t="s">
        <v>388</v>
      </c>
      <c r="H69" s="57" t="s">
        <v>2791</v>
      </c>
    </row>
    <row r="70" spans="2:9" ht="13.5" customHeight="1">
      <c r="B70" s="57" t="s">
        <v>381</v>
      </c>
      <c r="D70" s="57" t="s">
        <v>382</v>
      </c>
      <c r="F70" s="57">
        <v>2098</v>
      </c>
      <c r="G70" s="57" t="s">
        <v>388</v>
      </c>
      <c r="H70" s="57" t="s">
        <v>2791</v>
      </c>
    </row>
    <row r="71" spans="2:9" ht="13.5" customHeight="1">
      <c r="B71" s="57" t="s">
        <v>367</v>
      </c>
      <c r="D71" s="57" t="s">
        <v>368</v>
      </c>
      <c r="E71" s="57" t="s">
        <v>1375</v>
      </c>
      <c r="F71" s="57">
        <v>2231</v>
      </c>
      <c r="G71" s="57" t="s">
        <v>388</v>
      </c>
      <c r="H71" s="57" t="s">
        <v>2791</v>
      </c>
    </row>
    <row r="72" spans="2:9" ht="13.5" customHeight="1">
      <c r="B72" s="57" t="s">
        <v>8156</v>
      </c>
      <c r="D72" s="57" t="s">
        <v>8156</v>
      </c>
      <c r="F72" s="57">
        <v>2520</v>
      </c>
      <c r="G72" s="57" t="s">
        <v>388</v>
      </c>
      <c r="H72" s="57" t="s">
        <v>2791</v>
      </c>
      <c r="I72" s="57" t="s">
        <v>8158</v>
      </c>
    </row>
    <row r="73" spans="2:9" ht="13.5" customHeight="1">
      <c r="B73" s="57" t="s">
        <v>8157</v>
      </c>
      <c r="D73" s="57" t="s">
        <v>8157</v>
      </c>
      <c r="F73" s="57">
        <v>4075</v>
      </c>
      <c r="G73" s="57" t="s">
        <v>388</v>
      </c>
      <c r="H73" s="57" t="s">
        <v>2791</v>
      </c>
    </row>
    <row r="74" spans="2:9" ht="13.5" customHeight="1">
      <c r="B74" s="57" t="s">
        <v>3957</v>
      </c>
      <c r="D74" s="57" t="s">
        <v>3958</v>
      </c>
      <c r="F74" s="57">
        <v>10</v>
      </c>
      <c r="G74" s="57" t="s">
        <v>3961</v>
      </c>
      <c r="H74" s="57" t="s">
        <v>363</v>
      </c>
    </row>
    <row r="75" spans="2:9" ht="13.5" customHeight="1">
      <c r="B75" s="57" t="s">
        <v>3960</v>
      </c>
      <c r="D75" s="57" t="s">
        <v>3960</v>
      </c>
      <c r="F75" s="57">
        <v>10</v>
      </c>
      <c r="G75" s="57" t="s">
        <v>3961</v>
      </c>
      <c r="H75" s="57" t="s">
        <v>363</v>
      </c>
    </row>
    <row r="76" spans="2:9" ht="13.5" customHeight="1">
      <c r="B76" s="57" t="s">
        <v>3959</v>
      </c>
      <c r="D76" s="57" t="s">
        <v>8149</v>
      </c>
      <c r="F76" s="57">
        <v>10</v>
      </c>
      <c r="G76" s="57" t="s">
        <v>3961</v>
      </c>
      <c r="H76" s="57" t="s">
        <v>363</v>
      </c>
    </row>
    <row r="77" spans="2:9" ht="13.5" customHeight="1">
      <c r="B77" s="57" t="s">
        <v>3955</v>
      </c>
      <c r="D77" s="57" t="s">
        <v>3956</v>
      </c>
      <c r="F77" s="57">
        <v>97</v>
      </c>
      <c r="G77" s="57" t="s">
        <v>3961</v>
      </c>
      <c r="H77" s="57" t="s">
        <v>363</v>
      </c>
    </row>
    <row r="78" spans="2:9" ht="13.5" customHeight="1">
      <c r="B78" s="57" t="s">
        <v>3953</v>
      </c>
      <c r="D78" s="57" t="s">
        <v>3954</v>
      </c>
      <c r="F78" s="57">
        <v>100</v>
      </c>
      <c r="G78" s="57" t="s">
        <v>3961</v>
      </c>
      <c r="H78" s="57" t="s">
        <v>363</v>
      </c>
    </row>
    <row r="79" spans="2:9" ht="13.5" customHeight="1">
      <c r="B79" s="57" t="s">
        <v>357</v>
      </c>
      <c r="D79" s="57" t="s">
        <v>358</v>
      </c>
      <c r="E79" s="57" t="s">
        <v>359</v>
      </c>
      <c r="F79" s="57">
        <v>2</v>
      </c>
      <c r="G79" s="57" t="s">
        <v>362</v>
      </c>
      <c r="H79" s="57" t="s">
        <v>363</v>
      </c>
    </row>
    <row r="80" spans="2:9" ht="13.5" customHeight="1">
      <c r="B80" s="57" t="s">
        <v>356</v>
      </c>
      <c r="D80" s="57">
        <v>176051000</v>
      </c>
      <c r="F80" s="57">
        <v>6</v>
      </c>
      <c r="G80" s="57" t="s">
        <v>362</v>
      </c>
      <c r="H80" s="57" t="s">
        <v>363</v>
      </c>
      <c r="I80" s="57" t="s">
        <v>361</v>
      </c>
    </row>
    <row r="81" spans="2:9" ht="13.5" customHeight="1">
      <c r="B81" s="57" t="s">
        <v>349</v>
      </c>
      <c r="D81" s="57" t="s">
        <v>350</v>
      </c>
      <c r="E81" s="57" t="s">
        <v>351</v>
      </c>
      <c r="F81" s="57">
        <v>6</v>
      </c>
      <c r="G81" s="57" t="s">
        <v>362</v>
      </c>
      <c r="H81" s="57" t="s">
        <v>363</v>
      </c>
    </row>
    <row r="82" spans="2:9" ht="13.5" customHeight="1">
      <c r="B82" s="57" t="s">
        <v>354</v>
      </c>
      <c r="D82" s="57" t="s">
        <v>355</v>
      </c>
      <c r="F82" s="57">
        <v>10</v>
      </c>
      <c r="G82" s="57" t="s">
        <v>362</v>
      </c>
      <c r="H82" s="57" t="s">
        <v>363</v>
      </c>
      <c r="I82" s="57" t="s">
        <v>360</v>
      </c>
    </row>
    <row r="83" spans="2:9" ht="13.5" customHeight="1">
      <c r="B83" s="57" t="s">
        <v>352</v>
      </c>
      <c r="D83" s="57" t="s">
        <v>353</v>
      </c>
      <c r="E83" s="57" t="s">
        <v>353</v>
      </c>
      <c r="F83" s="57">
        <v>16</v>
      </c>
      <c r="G83" s="57" t="s">
        <v>362</v>
      </c>
      <c r="H83" s="57" t="s">
        <v>363</v>
      </c>
    </row>
    <row r="84" spans="2:9" ht="13.5" customHeight="1">
      <c r="B84" s="57" t="s">
        <v>347</v>
      </c>
      <c r="D84" s="57" t="s">
        <v>348</v>
      </c>
      <c r="E84" s="57" t="s">
        <v>348</v>
      </c>
      <c r="F84" s="57">
        <v>308</v>
      </c>
      <c r="G84" s="57" t="s">
        <v>362</v>
      </c>
      <c r="H84" s="57" t="s">
        <v>363</v>
      </c>
    </row>
    <row r="85" spans="2:9" ht="13.5" customHeight="1">
      <c r="B85" s="57" t="s">
        <v>7985</v>
      </c>
      <c r="D85" s="57" t="s">
        <v>7986</v>
      </c>
      <c r="F85" s="57">
        <v>1</v>
      </c>
      <c r="G85" s="57" t="s">
        <v>7987</v>
      </c>
      <c r="H85" s="57" t="s">
        <v>7930</v>
      </c>
    </row>
    <row r="86" spans="2:9" ht="13.5" customHeight="1">
      <c r="B86" s="57" t="s">
        <v>7944</v>
      </c>
      <c r="D86" s="57" t="s">
        <v>7945</v>
      </c>
      <c r="F86" s="57">
        <v>1</v>
      </c>
      <c r="G86" s="57" t="s">
        <v>7987</v>
      </c>
      <c r="H86" s="57" t="s">
        <v>7930</v>
      </c>
    </row>
    <row r="87" spans="2:9" ht="13.5" customHeight="1">
      <c r="B87" s="57" t="s">
        <v>328</v>
      </c>
      <c r="D87" s="57" t="s">
        <v>213</v>
      </c>
      <c r="F87" s="57">
        <v>3</v>
      </c>
      <c r="G87" s="57" t="s">
        <v>7987</v>
      </c>
      <c r="H87" s="57" t="s">
        <v>7930</v>
      </c>
    </row>
    <row r="88" spans="2:9" ht="13.5" customHeight="1">
      <c r="B88" s="57" t="s">
        <v>7952</v>
      </c>
      <c r="D88" s="57" t="s">
        <v>7953</v>
      </c>
      <c r="F88" s="57">
        <v>4</v>
      </c>
      <c r="G88" s="57" t="s">
        <v>7987</v>
      </c>
      <c r="H88" s="57" t="s">
        <v>7930</v>
      </c>
    </row>
    <row r="89" spans="2:9" ht="13.5" customHeight="1">
      <c r="B89" s="57" t="s">
        <v>7946</v>
      </c>
      <c r="D89" s="57" t="s">
        <v>7947</v>
      </c>
      <c r="F89" s="57">
        <v>4</v>
      </c>
      <c r="G89" s="57" t="s">
        <v>7987</v>
      </c>
      <c r="H89" s="57" t="s">
        <v>7930</v>
      </c>
    </row>
    <row r="90" spans="2:9" ht="13.5" customHeight="1">
      <c r="B90" s="57" t="s">
        <v>7983</v>
      </c>
      <c r="D90" s="57" t="s">
        <v>7984</v>
      </c>
      <c r="F90" s="57">
        <v>5</v>
      </c>
      <c r="G90" s="57" t="s">
        <v>7987</v>
      </c>
      <c r="H90" s="57" t="s">
        <v>7930</v>
      </c>
    </row>
    <row r="91" spans="2:9" ht="13.5" customHeight="1">
      <c r="B91" s="57" t="s">
        <v>7948</v>
      </c>
      <c r="D91" s="57" t="s">
        <v>7949</v>
      </c>
      <c r="F91" s="57">
        <v>5</v>
      </c>
      <c r="G91" s="57" t="s">
        <v>7987</v>
      </c>
      <c r="H91" s="57" t="s">
        <v>7930</v>
      </c>
    </row>
    <row r="92" spans="2:9" ht="13.5" customHeight="1">
      <c r="B92" s="57" t="s">
        <v>7956</v>
      </c>
      <c r="D92" s="57" t="s">
        <v>7957</v>
      </c>
      <c r="F92" s="57">
        <v>5</v>
      </c>
      <c r="G92" s="57" t="s">
        <v>7987</v>
      </c>
      <c r="H92" s="57" t="s">
        <v>7930</v>
      </c>
    </row>
    <row r="93" spans="2:9" ht="13.5" customHeight="1">
      <c r="B93" s="57" t="s">
        <v>7950</v>
      </c>
      <c r="D93" s="57" t="s">
        <v>7951</v>
      </c>
      <c r="F93" s="57">
        <v>5</v>
      </c>
      <c r="G93" s="57" t="s">
        <v>7987</v>
      </c>
      <c r="H93" s="57" t="s">
        <v>7930</v>
      </c>
    </row>
    <row r="94" spans="2:9" ht="13.5" customHeight="1">
      <c r="B94" s="57" t="s">
        <v>7938</v>
      </c>
      <c r="D94" s="57" t="s">
        <v>7939</v>
      </c>
      <c r="F94" s="57">
        <v>5</v>
      </c>
      <c r="G94" s="57" t="s">
        <v>7987</v>
      </c>
      <c r="H94" s="57" t="s">
        <v>7930</v>
      </c>
    </row>
    <row r="95" spans="2:9" ht="13.5" customHeight="1">
      <c r="B95" s="57" t="s">
        <v>7932</v>
      </c>
      <c r="D95" s="57" t="s">
        <v>7933</v>
      </c>
      <c r="F95" s="57">
        <v>5</v>
      </c>
      <c r="G95" s="57" t="s">
        <v>7987</v>
      </c>
      <c r="H95" s="57" t="s">
        <v>7930</v>
      </c>
    </row>
    <row r="96" spans="2:9" ht="13.5" customHeight="1">
      <c r="B96" s="57" t="s">
        <v>7954</v>
      </c>
      <c r="D96" s="57" t="s">
        <v>7955</v>
      </c>
      <c r="F96" s="57">
        <v>5</v>
      </c>
      <c r="G96" s="57" t="s">
        <v>7987</v>
      </c>
      <c r="H96" s="57" t="s">
        <v>7930</v>
      </c>
    </row>
    <row r="97" spans="2:8" ht="13.5" customHeight="1">
      <c r="B97" s="57" t="s">
        <v>7981</v>
      </c>
      <c r="D97" s="57" t="s">
        <v>7982</v>
      </c>
      <c r="F97" s="57">
        <v>5</v>
      </c>
      <c r="G97" s="57" t="s">
        <v>7987</v>
      </c>
      <c r="H97" s="57" t="s">
        <v>7930</v>
      </c>
    </row>
    <row r="98" spans="2:8" ht="13.5" customHeight="1">
      <c r="B98" s="57" t="s">
        <v>7958</v>
      </c>
      <c r="D98" s="57" t="s">
        <v>7959</v>
      </c>
      <c r="F98" s="57">
        <v>5</v>
      </c>
      <c r="G98" s="57" t="s">
        <v>7987</v>
      </c>
      <c r="H98" s="57" t="s">
        <v>7930</v>
      </c>
    </row>
    <row r="99" spans="2:8" ht="13.5" customHeight="1">
      <c r="B99" s="57" t="s">
        <v>7936</v>
      </c>
      <c r="D99" s="57" t="s">
        <v>7937</v>
      </c>
      <c r="F99" s="57">
        <v>6</v>
      </c>
      <c r="G99" s="57" t="s">
        <v>7987</v>
      </c>
      <c r="H99" s="57" t="s">
        <v>7930</v>
      </c>
    </row>
    <row r="100" spans="2:8" ht="13.5" customHeight="1">
      <c r="B100" s="57" t="s">
        <v>7974</v>
      </c>
      <c r="D100" s="57" t="s">
        <v>7975</v>
      </c>
      <c r="F100" s="57">
        <v>8</v>
      </c>
      <c r="G100" s="57" t="s">
        <v>7987</v>
      </c>
      <c r="H100" s="57" t="s">
        <v>7930</v>
      </c>
    </row>
    <row r="101" spans="2:8" ht="13.5" customHeight="1">
      <c r="B101" s="57" t="s">
        <v>7962</v>
      </c>
      <c r="D101" s="57" t="s">
        <v>7963</v>
      </c>
      <c r="F101" s="57">
        <v>8</v>
      </c>
      <c r="G101" s="57" t="s">
        <v>7987</v>
      </c>
      <c r="H101" s="57" t="s">
        <v>7930</v>
      </c>
    </row>
    <row r="102" spans="2:8" ht="13.5" customHeight="1">
      <c r="B102" s="57" t="s">
        <v>7972</v>
      </c>
      <c r="D102" s="57" t="s">
        <v>7973</v>
      </c>
      <c r="F102" s="57">
        <v>9</v>
      </c>
      <c r="G102" s="57" t="s">
        <v>7987</v>
      </c>
      <c r="H102" s="57" t="s">
        <v>7930</v>
      </c>
    </row>
    <row r="103" spans="2:8" ht="13.5" customHeight="1">
      <c r="B103" s="57" t="s">
        <v>7968</v>
      </c>
      <c r="D103" s="57" t="s">
        <v>7969</v>
      </c>
      <c r="F103" s="57">
        <v>9</v>
      </c>
      <c r="G103" s="57" t="s">
        <v>7987</v>
      </c>
      <c r="H103" s="57" t="s">
        <v>7930</v>
      </c>
    </row>
    <row r="104" spans="2:8" ht="13.5" customHeight="1">
      <c r="B104" s="57" t="s">
        <v>7980</v>
      </c>
      <c r="D104" s="57" t="s">
        <v>5898</v>
      </c>
      <c r="F104" s="57">
        <v>14</v>
      </c>
      <c r="G104" s="57" t="s">
        <v>7987</v>
      </c>
      <c r="H104" s="57" t="s">
        <v>7930</v>
      </c>
    </row>
    <row r="105" spans="2:8" ht="13.5" customHeight="1">
      <c r="B105" s="57" t="s">
        <v>7960</v>
      </c>
      <c r="D105" s="57" t="s">
        <v>7961</v>
      </c>
      <c r="F105" s="57">
        <v>14</v>
      </c>
      <c r="G105" s="57" t="s">
        <v>7987</v>
      </c>
      <c r="H105" s="57" t="s">
        <v>7930</v>
      </c>
    </row>
    <row r="106" spans="2:8" ht="13.5" customHeight="1">
      <c r="B106" s="57" t="s">
        <v>7940</v>
      </c>
      <c r="D106" s="57" t="s">
        <v>7941</v>
      </c>
      <c r="F106" s="57">
        <v>15</v>
      </c>
      <c r="G106" s="57" t="s">
        <v>7987</v>
      </c>
      <c r="H106" s="57" t="s">
        <v>7930</v>
      </c>
    </row>
    <row r="107" spans="2:8" ht="13.5" customHeight="1">
      <c r="B107" s="57" t="s">
        <v>7942</v>
      </c>
      <c r="D107" s="57" t="s">
        <v>7943</v>
      </c>
      <c r="F107" s="57">
        <v>18</v>
      </c>
      <c r="G107" s="57" t="s">
        <v>7987</v>
      </c>
      <c r="H107" s="57" t="s">
        <v>7930</v>
      </c>
    </row>
    <row r="108" spans="2:8" ht="13.5" customHeight="1">
      <c r="B108" s="57" t="s">
        <v>7934</v>
      </c>
      <c r="D108" s="57" t="s">
        <v>7935</v>
      </c>
      <c r="F108" s="57">
        <v>25</v>
      </c>
      <c r="G108" s="57" t="s">
        <v>7987</v>
      </c>
      <c r="H108" s="57" t="s">
        <v>7930</v>
      </c>
    </row>
    <row r="109" spans="2:8" ht="13.5" customHeight="1">
      <c r="B109" s="57" t="s">
        <v>7976</v>
      </c>
      <c r="D109" s="57" t="s">
        <v>7977</v>
      </c>
      <c r="F109" s="57">
        <v>50</v>
      </c>
      <c r="G109" s="57" t="s">
        <v>7987</v>
      </c>
      <c r="H109" s="57" t="s">
        <v>7930</v>
      </c>
    </row>
    <row r="110" spans="2:8" ht="13.5" customHeight="1">
      <c r="B110" s="57" t="s">
        <v>7966</v>
      </c>
      <c r="D110" s="57" t="s">
        <v>7967</v>
      </c>
      <c r="F110" s="57">
        <v>88</v>
      </c>
      <c r="G110" s="57" t="s">
        <v>7987</v>
      </c>
      <c r="H110" s="57" t="s">
        <v>7930</v>
      </c>
    </row>
    <row r="111" spans="2:8" ht="13.5" customHeight="1">
      <c r="B111" s="57" t="s">
        <v>7978</v>
      </c>
      <c r="D111" s="57" t="s">
        <v>7979</v>
      </c>
      <c r="F111" s="57">
        <v>95</v>
      </c>
      <c r="G111" s="57" t="s">
        <v>7987</v>
      </c>
      <c r="H111" s="57" t="s">
        <v>7930</v>
      </c>
    </row>
    <row r="112" spans="2:8" ht="13.5" customHeight="1">
      <c r="B112" s="57" t="s">
        <v>7964</v>
      </c>
      <c r="D112" s="57" t="s">
        <v>7965</v>
      </c>
      <c r="F112" s="57">
        <v>96</v>
      </c>
      <c r="G112" s="57" t="s">
        <v>7987</v>
      </c>
      <c r="H112" s="57" t="s">
        <v>7930</v>
      </c>
    </row>
    <row r="113" spans="2:8" ht="13.5" customHeight="1">
      <c r="B113" s="57" t="s">
        <v>7970</v>
      </c>
      <c r="D113" s="57" t="s">
        <v>4485</v>
      </c>
      <c r="F113" s="57">
        <v>1771</v>
      </c>
      <c r="G113" s="57" t="s">
        <v>7987</v>
      </c>
      <c r="H113" s="57" t="s">
        <v>7930</v>
      </c>
    </row>
    <row r="114" spans="2:8" ht="13.5" customHeight="1">
      <c r="B114" s="57" t="s">
        <v>402</v>
      </c>
      <c r="D114" s="57" t="s">
        <v>439</v>
      </c>
      <c r="F114" s="57">
        <v>2</v>
      </c>
      <c r="G114" s="57" t="s">
        <v>468</v>
      </c>
      <c r="H114" s="57" t="s">
        <v>343</v>
      </c>
    </row>
    <row r="115" spans="2:8" ht="13.5" customHeight="1">
      <c r="B115" s="57" t="s">
        <v>427</v>
      </c>
      <c r="D115" s="57" t="s">
        <v>466</v>
      </c>
      <c r="F115" s="57">
        <v>2</v>
      </c>
      <c r="G115" s="57" t="s">
        <v>468</v>
      </c>
      <c r="H115" s="57" t="s">
        <v>343</v>
      </c>
    </row>
    <row r="116" spans="2:8" ht="13.5" customHeight="1">
      <c r="B116" s="57" t="s">
        <v>425</v>
      </c>
      <c r="D116" s="57" t="s">
        <v>464</v>
      </c>
      <c r="F116" s="57">
        <v>3</v>
      </c>
      <c r="G116" s="57" t="s">
        <v>468</v>
      </c>
      <c r="H116" s="57" t="s">
        <v>343</v>
      </c>
    </row>
    <row r="117" spans="2:8" ht="13.5" customHeight="1">
      <c r="B117" s="57" t="s">
        <v>414</v>
      </c>
      <c r="D117" s="57" t="s">
        <v>450</v>
      </c>
      <c r="F117" s="57">
        <v>4</v>
      </c>
      <c r="G117" s="57" t="s">
        <v>468</v>
      </c>
      <c r="H117" s="57" t="s">
        <v>343</v>
      </c>
    </row>
    <row r="118" spans="2:8" ht="13.5" customHeight="1">
      <c r="B118" s="57" t="s">
        <v>426</v>
      </c>
      <c r="D118" s="57" t="s">
        <v>465</v>
      </c>
      <c r="F118" s="57">
        <v>4</v>
      </c>
      <c r="G118" s="57" t="s">
        <v>468</v>
      </c>
      <c r="H118" s="57" t="s">
        <v>343</v>
      </c>
    </row>
    <row r="119" spans="2:8" ht="13.5" customHeight="1">
      <c r="B119" s="57" t="s">
        <v>421</v>
      </c>
      <c r="D119" s="57" t="s">
        <v>460</v>
      </c>
      <c r="F119" s="57">
        <v>4</v>
      </c>
      <c r="G119" s="57" t="s">
        <v>468</v>
      </c>
      <c r="H119" s="57" t="s">
        <v>343</v>
      </c>
    </row>
    <row r="120" spans="2:8" ht="13.5" customHeight="1">
      <c r="B120" s="57" t="s">
        <v>420</v>
      </c>
      <c r="D120" s="57" t="s">
        <v>459</v>
      </c>
      <c r="F120" s="57">
        <v>4</v>
      </c>
      <c r="G120" s="57" t="s">
        <v>468</v>
      </c>
      <c r="H120" s="57" t="s">
        <v>343</v>
      </c>
    </row>
    <row r="121" spans="2:8" ht="13.5" customHeight="1">
      <c r="B121" s="57" t="s">
        <v>410</v>
      </c>
      <c r="D121" s="57">
        <v>475890001</v>
      </c>
      <c r="F121" s="57">
        <v>5</v>
      </c>
      <c r="G121" s="57" t="s">
        <v>468</v>
      </c>
      <c r="H121" s="57" t="s">
        <v>343</v>
      </c>
    </row>
    <row r="122" spans="2:8" ht="13.5" customHeight="1">
      <c r="B122" s="57" t="s">
        <v>411</v>
      </c>
      <c r="D122" s="57">
        <v>74438356022</v>
      </c>
      <c r="F122" s="57">
        <v>5</v>
      </c>
      <c r="G122" s="57" t="s">
        <v>468</v>
      </c>
      <c r="H122" s="57" t="s">
        <v>343</v>
      </c>
    </row>
    <row r="123" spans="2:8" ht="13.5" customHeight="1">
      <c r="B123" s="57" t="s">
        <v>401</v>
      </c>
      <c r="D123" s="57" t="s">
        <v>438</v>
      </c>
      <c r="F123" s="57">
        <v>5</v>
      </c>
      <c r="G123" s="57" t="s">
        <v>468</v>
      </c>
      <c r="H123" s="57" t="s">
        <v>343</v>
      </c>
    </row>
    <row r="124" spans="2:8" ht="13.5" customHeight="1">
      <c r="B124" s="57" t="s">
        <v>393</v>
      </c>
      <c r="D124" s="57" t="s">
        <v>429</v>
      </c>
      <c r="E124" s="57" t="s">
        <v>430</v>
      </c>
      <c r="F124" s="57">
        <v>5</v>
      </c>
      <c r="G124" s="57" t="s">
        <v>468</v>
      </c>
      <c r="H124" s="57" t="s">
        <v>343</v>
      </c>
    </row>
    <row r="125" spans="2:8" ht="13.5" customHeight="1">
      <c r="B125" s="57" t="s">
        <v>394</v>
      </c>
      <c r="D125" s="57" t="s">
        <v>431</v>
      </c>
      <c r="F125" s="57">
        <v>5</v>
      </c>
      <c r="G125" s="57" t="s">
        <v>468</v>
      </c>
      <c r="H125" s="57" t="s">
        <v>343</v>
      </c>
    </row>
    <row r="126" spans="2:8" ht="13.5" customHeight="1">
      <c r="B126" s="57" t="s">
        <v>396</v>
      </c>
      <c r="D126" s="57" t="s">
        <v>433</v>
      </c>
      <c r="F126" s="57">
        <v>9</v>
      </c>
      <c r="G126" s="57" t="s">
        <v>468</v>
      </c>
      <c r="H126" s="57" t="s">
        <v>343</v>
      </c>
    </row>
    <row r="127" spans="2:8" ht="13.5" customHeight="1">
      <c r="B127" s="57" t="s">
        <v>403</v>
      </c>
      <c r="D127" s="57" t="s">
        <v>440</v>
      </c>
      <c r="F127" s="57">
        <v>9</v>
      </c>
      <c r="G127" s="57" t="s">
        <v>468</v>
      </c>
      <c r="H127" s="57" t="s">
        <v>343</v>
      </c>
    </row>
    <row r="128" spans="2:8" ht="13.5" customHeight="1">
      <c r="B128" s="57" t="s">
        <v>412</v>
      </c>
      <c r="D128" s="57" t="s">
        <v>448</v>
      </c>
      <c r="F128" s="57">
        <v>10</v>
      </c>
      <c r="G128" s="57" t="s">
        <v>468</v>
      </c>
      <c r="H128" s="57" t="s">
        <v>343</v>
      </c>
    </row>
    <row r="129" spans="2:8" ht="13.5" customHeight="1">
      <c r="B129" s="57" t="s">
        <v>424</v>
      </c>
      <c r="D129" s="57" t="s">
        <v>463</v>
      </c>
      <c r="F129" s="57">
        <v>10</v>
      </c>
      <c r="G129" s="57" t="s">
        <v>468</v>
      </c>
      <c r="H129" s="57" t="s">
        <v>343</v>
      </c>
    </row>
    <row r="130" spans="2:8" ht="13.5" customHeight="1">
      <c r="B130" s="57" t="s">
        <v>400</v>
      </c>
      <c r="D130" s="57" t="s">
        <v>437</v>
      </c>
      <c r="F130" s="57">
        <v>13</v>
      </c>
      <c r="G130" s="57" t="s">
        <v>468</v>
      </c>
      <c r="H130" s="57" t="s">
        <v>343</v>
      </c>
    </row>
    <row r="131" spans="2:8" ht="13.5" customHeight="1">
      <c r="B131" s="57" t="s">
        <v>227</v>
      </c>
      <c r="D131" s="57" t="s">
        <v>391</v>
      </c>
      <c r="E131" s="57" t="s">
        <v>392</v>
      </c>
      <c r="F131" s="57">
        <v>15</v>
      </c>
      <c r="G131" s="57" t="s">
        <v>468</v>
      </c>
      <c r="H131" s="57" t="s">
        <v>343</v>
      </c>
    </row>
    <row r="132" spans="2:8" ht="13.5" customHeight="1">
      <c r="B132" s="57" t="s">
        <v>399</v>
      </c>
      <c r="D132" s="57" t="s">
        <v>436</v>
      </c>
      <c r="E132" s="57" t="s">
        <v>436</v>
      </c>
      <c r="F132" s="57">
        <v>18</v>
      </c>
      <c r="G132" s="57" t="s">
        <v>468</v>
      </c>
      <c r="H132" s="57" t="s">
        <v>343</v>
      </c>
    </row>
    <row r="133" spans="2:8" ht="13.5" customHeight="1">
      <c r="B133" s="57" t="s">
        <v>395</v>
      </c>
      <c r="D133" s="57" t="s">
        <v>432</v>
      </c>
      <c r="F133" s="57">
        <v>19</v>
      </c>
      <c r="G133" s="57" t="s">
        <v>468</v>
      </c>
      <c r="H133" s="57" t="s">
        <v>343</v>
      </c>
    </row>
    <row r="134" spans="2:8" ht="13.5" customHeight="1">
      <c r="B134" s="57" t="s">
        <v>416</v>
      </c>
      <c r="D134" s="57" t="s">
        <v>452</v>
      </c>
      <c r="F134" s="57">
        <v>53</v>
      </c>
      <c r="G134" s="57" t="s">
        <v>468</v>
      </c>
      <c r="H134" s="57" t="s">
        <v>343</v>
      </c>
    </row>
    <row r="135" spans="2:8" ht="13.5" customHeight="1">
      <c r="B135" s="57" t="s">
        <v>418</v>
      </c>
      <c r="D135" s="57" t="s">
        <v>454</v>
      </c>
      <c r="F135" s="57">
        <v>54</v>
      </c>
      <c r="G135" s="57" t="s">
        <v>468</v>
      </c>
      <c r="H135" s="57" t="s">
        <v>343</v>
      </c>
    </row>
    <row r="136" spans="2:8" ht="19.5" customHeight="1">
      <c r="B136" s="57" t="s">
        <v>413</v>
      </c>
      <c r="D136" s="57" t="s">
        <v>449</v>
      </c>
      <c r="F136" s="57">
        <v>60</v>
      </c>
      <c r="G136" s="57" t="s">
        <v>468</v>
      </c>
      <c r="H136" s="57" t="s">
        <v>343</v>
      </c>
    </row>
    <row r="137" spans="2:8" ht="13.5" customHeight="1">
      <c r="B137" s="57" t="s">
        <v>417</v>
      </c>
      <c r="D137" s="57" t="s">
        <v>453</v>
      </c>
      <c r="F137" s="57">
        <v>60</v>
      </c>
      <c r="G137" s="57" t="s">
        <v>468</v>
      </c>
      <c r="H137" s="57" t="s">
        <v>343</v>
      </c>
    </row>
    <row r="138" spans="2:8" ht="13.5" customHeight="1">
      <c r="B138" s="57" t="s">
        <v>415</v>
      </c>
      <c r="D138" s="57" t="s">
        <v>451</v>
      </c>
      <c r="E138" s="57" t="s">
        <v>451</v>
      </c>
      <c r="F138" s="57">
        <v>86</v>
      </c>
      <c r="G138" s="57" t="s">
        <v>468</v>
      </c>
      <c r="H138" s="57" t="s">
        <v>343</v>
      </c>
    </row>
    <row r="139" spans="2:8" ht="13.5" customHeight="1">
      <c r="B139" s="57" t="s">
        <v>428</v>
      </c>
      <c r="D139" s="57" t="s">
        <v>467</v>
      </c>
      <c r="F139" s="57">
        <v>88</v>
      </c>
      <c r="G139" s="57" t="s">
        <v>468</v>
      </c>
      <c r="H139" s="57" t="s">
        <v>343</v>
      </c>
    </row>
    <row r="140" spans="2:8" ht="13.5" customHeight="1">
      <c r="B140" s="57" t="s">
        <v>423</v>
      </c>
      <c r="D140" s="57" t="s">
        <v>462</v>
      </c>
      <c r="F140" s="57">
        <v>115</v>
      </c>
      <c r="G140" s="57" t="s">
        <v>468</v>
      </c>
      <c r="H140" s="57" t="s">
        <v>343</v>
      </c>
    </row>
    <row r="141" spans="2:8" ht="13.5" customHeight="1">
      <c r="B141" s="57" t="s">
        <v>407</v>
      </c>
      <c r="D141" s="57" t="s">
        <v>445</v>
      </c>
      <c r="F141" s="57">
        <v>5</v>
      </c>
      <c r="G141" s="57" t="s">
        <v>468</v>
      </c>
      <c r="H141" s="57" t="s">
        <v>344</v>
      </c>
    </row>
    <row r="142" spans="2:8" ht="13.5" customHeight="1">
      <c r="B142" s="57" t="s">
        <v>419</v>
      </c>
      <c r="D142" s="57" t="s">
        <v>458</v>
      </c>
      <c r="F142" s="57">
        <v>5</v>
      </c>
      <c r="G142" s="57" t="s">
        <v>468</v>
      </c>
      <c r="H142" s="57" t="s">
        <v>344</v>
      </c>
    </row>
    <row r="143" spans="2:8" ht="13.5" customHeight="1">
      <c r="B143" s="57" t="s">
        <v>419</v>
      </c>
      <c r="D143" s="57" t="s">
        <v>455</v>
      </c>
      <c r="F143" s="57">
        <v>5</v>
      </c>
      <c r="G143" s="57" t="s">
        <v>468</v>
      </c>
      <c r="H143" s="57" t="s">
        <v>344</v>
      </c>
    </row>
    <row r="144" spans="2:8" ht="13.5" customHeight="1">
      <c r="B144" s="57" t="s">
        <v>419</v>
      </c>
      <c r="D144" s="57" t="s">
        <v>456</v>
      </c>
      <c r="E144" s="57" t="s">
        <v>457</v>
      </c>
      <c r="F144" s="57">
        <v>5</v>
      </c>
      <c r="G144" s="57" t="s">
        <v>468</v>
      </c>
      <c r="H144" s="57" t="s">
        <v>344</v>
      </c>
    </row>
    <row r="145" spans="2:8" ht="13.5" customHeight="1">
      <c r="B145" s="57" t="s">
        <v>408</v>
      </c>
      <c r="D145" s="57" t="s">
        <v>446</v>
      </c>
      <c r="F145" s="57">
        <v>5</v>
      </c>
      <c r="G145" s="57" t="s">
        <v>468</v>
      </c>
      <c r="H145" s="57" t="s">
        <v>344</v>
      </c>
    </row>
    <row r="146" spans="2:8" ht="13.5" customHeight="1">
      <c r="B146" s="57" t="s">
        <v>404</v>
      </c>
      <c r="D146" s="57" t="s">
        <v>441</v>
      </c>
      <c r="F146" s="57">
        <v>5</v>
      </c>
      <c r="G146" s="57" t="s">
        <v>468</v>
      </c>
      <c r="H146" s="57" t="s">
        <v>344</v>
      </c>
    </row>
    <row r="147" spans="2:8" ht="13.5" customHeight="1">
      <c r="B147" s="57" t="s">
        <v>422</v>
      </c>
      <c r="D147" s="57" t="s">
        <v>461</v>
      </c>
      <c r="F147" s="57">
        <v>5</v>
      </c>
      <c r="G147" s="57" t="s">
        <v>468</v>
      </c>
      <c r="H147" s="57" t="s">
        <v>344</v>
      </c>
    </row>
    <row r="148" spans="2:8" ht="13.5" customHeight="1">
      <c r="B148" s="57" t="s">
        <v>405</v>
      </c>
      <c r="D148" s="57" t="s">
        <v>442</v>
      </c>
      <c r="E148" s="57" t="s">
        <v>443</v>
      </c>
      <c r="F148" s="57">
        <v>5</v>
      </c>
      <c r="G148" s="57" t="s">
        <v>468</v>
      </c>
      <c r="H148" s="57" t="s">
        <v>344</v>
      </c>
    </row>
    <row r="149" spans="2:8" ht="13.5" customHeight="1">
      <c r="B149" s="57" t="s">
        <v>406</v>
      </c>
      <c r="D149" s="57" t="s">
        <v>444</v>
      </c>
      <c r="E149" s="57" t="s">
        <v>444</v>
      </c>
      <c r="F149" s="57">
        <v>5</v>
      </c>
      <c r="G149" s="57" t="s">
        <v>468</v>
      </c>
      <c r="H149" s="57" t="s">
        <v>344</v>
      </c>
    </row>
    <row r="150" spans="2:8" ht="13.5" customHeight="1">
      <c r="B150" s="57" t="s">
        <v>389</v>
      </c>
      <c r="D150" s="57" t="s">
        <v>390</v>
      </c>
      <c r="F150" s="57">
        <v>10</v>
      </c>
      <c r="G150" s="57" t="s">
        <v>468</v>
      </c>
      <c r="H150" s="57" t="s">
        <v>344</v>
      </c>
    </row>
    <row r="151" spans="2:8" ht="13.5" customHeight="1">
      <c r="B151" s="57" t="s">
        <v>397</v>
      </c>
      <c r="D151" s="57" t="s">
        <v>434</v>
      </c>
      <c r="F151" s="57">
        <v>21</v>
      </c>
      <c r="G151" s="57" t="s">
        <v>468</v>
      </c>
      <c r="H151" s="57" t="s">
        <v>344</v>
      </c>
    </row>
    <row r="152" spans="2:8" ht="13.5" customHeight="1">
      <c r="B152" s="57" t="s">
        <v>409</v>
      </c>
      <c r="D152" s="57" t="s">
        <v>447</v>
      </c>
      <c r="F152" s="57">
        <v>22</v>
      </c>
      <c r="G152" s="57" t="s">
        <v>468</v>
      </c>
      <c r="H152" s="57" t="s">
        <v>344</v>
      </c>
    </row>
    <row r="153" spans="2:8" ht="13.5" customHeight="1">
      <c r="B153" s="57" t="s">
        <v>398</v>
      </c>
      <c r="D153" s="57" t="s">
        <v>435</v>
      </c>
      <c r="F153" s="57">
        <v>40</v>
      </c>
      <c r="G153" s="57" t="s">
        <v>468</v>
      </c>
      <c r="H153" s="57" t="s">
        <v>344</v>
      </c>
    </row>
    <row r="154" spans="2:8" ht="13.5" customHeight="1">
      <c r="B154" s="57" t="s">
        <v>8161</v>
      </c>
      <c r="D154" s="57" t="s">
        <v>489</v>
      </c>
      <c r="F154" s="57">
        <v>2</v>
      </c>
      <c r="G154" s="57" t="s">
        <v>493</v>
      </c>
      <c r="H154" s="57" t="s">
        <v>363</v>
      </c>
    </row>
    <row r="155" spans="2:8" ht="13.5" customHeight="1">
      <c r="D155" s="57" t="s">
        <v>492</v>
      </c>
      <c r="F155" s="57">
        <v>4</v>
      </c>
      <c r="G155" s="57" t="s">
        <v>493</v>
      </c>
      <c r="H155" s="57" t="s">
        <v>363</v>
      </c>
    </row>
    <row r="156" spans="2:8" ht="13.5" customHeight="1">
      <c r="B156" s="57" t="s">
        <v>1506</v>
      </c>
      <c r="D156" s="57" t="s">
        <v>488</v>
      </c>
      <c r="F156" s="57">
        <v>5</v>
      </c>
      <c r="G156" s="57" t="s">
        <v>493</v>
      </c>
      <c r="H156" s="57" t="s">
        <v>363</v>
      </c>
    </row>
    <row r="157" spans="2:8" ht="13.5" customHeight="1">
      <c r="B157" s="57" t="s">
        <v>1506</v>
      </c>
      <c r="D157" s="57" t="s">
        <v>486</v>
      </c>
      <c r="F157" s="57">
        <v>5</v>
      </c>
      <c r="G157" s="57" t="s">
        <v>493</v>
      </c>
      <c r="H157" s="57" t="s">
        <v>363</v>
      </c>
    </row>
    <row r="158" spans="2:8" ht="13.5" customHeight="1">
      <c r="B158" s="57" t="s">
        <v>1505</v>
      </c>
      <c r="D158" s="57" t="s">
        <v>481</v>
      </c>
      <c r="E158" s="57" t="s">
        <v>482</v>
      </c>
      <c r="F158" s="57">
        <v>5</v>
      </c>
      <c r="G158" s="57" t="s">
        <v>493</v>
      </c>
      <c r="H158" s="57" t="s">
        <v>363</v>
      </c>
    </row>
    <row r="159" spans="2:8" ht="13.5" customHeight="1">
      <c r="B159" s="57" t="s">
        <v>1501</v>
      </c>
      <c r="D159" s="57" t="s">
        <v>475</v>
      </c>
      <c r="F159" s="57">
        <v>5</v>
      </c>
      <c r="G159" s="57" t="s">
        <v>493</v>
      </c>
      <c r="H159" s="57" t="s">
        <v>363</v>
      </c>
    </row>
    <row r="160" spans="2:8" ht="13.5" customHeight="1">
      <c r="B160" s="57" t="s">
        <v>1501</v>
      </c>
      <c r="D160" s="57" t="s">
        <v>479</v>
      </c>
      <c r="F160" s="57">
        <v>5</v>
      </c>
      <c r="G160" s="57" t="s">
        <v>493</v>
      </c>
      <c r="H160" s="57" t="s">
        <v>363</v>
      </c>
    </row>
    <row r="161" spans="2:8" ht="13.5" customHeight="1">
      <c r="B161" s="57" t="s">
        <v>1501</v>
      </c>
      <c r="D161" s="57" t="s">
        <v>480</v>
      </c>
      <c r="F161" s="57">
        <v>5</v>
      </c>
      <c r="G161" s="57" t="s">
        <v>493</v>
      </c>
      <c r="H161" s="57" t="s">
        <v>363</v>
      </c>
    </row>
    <row r="162" spans="2:8" ht="13.5" customHeight="1">
      <c r="B162" s="57" t="s">
        <v>1504</v>
      </c>
      <c r="D162" s="57" t="s">
        <v>8159</v>
      </c>
      <c r="F162" s="57">
        <v>10</v>
      </c>
      <c r="G162" s="57" t="s">
        <v>493</v>
      </c>
      <c r="H162" s="57" t="s">
        <v>363</v>
      </c>
    </row>
    <row r="163" spans="2:8" ht="13.5" customHeight="1">
      <c r="B163" s="57" t="s">
        <v>1506</v>
      </c>
      <c r="D163" s="57" t="s">
        <v>485</v>
      </c>
      <c r="F163" s="57">
        <v>10</v>
      </c>
      <c r="G163" s="57" t="s">
        <v>493</v>
      </c>
      <c r="H163" s="57" t="s">
        <v>363</v>
      </c>
    </row>
    <row r="164" spans="2:8" ht="13.5" customHeight="1">
      <c r="B164" s="57" t="s">
        <v>1447</v>
      </c>
      <c r="D164" s="57" t="s">
        <v>477</v>
      </c>
      <c r="E164" s="57" t="s">
        <v>478</v>
      </c>
      <c r="F164" s="57">
        <v>10</v>
      </c>
      <c r="G164" s="57" t="s">
        <v>493</v>
      </c>
      <c r="H164" s="57" t="s">
        <v>363</v>
      </c>
    </row>
    <row r="165" spans="2:8" ht="13.5" customHeight="1">
      <c r="B165" s="57" t="s">
        <v>1505</v>
      </c>
      <c r="D165" s="57" t="s">
        <v>483</v>
      </c>
      <c r="E165" s="57" t="s">
        <v>484</v>
      </c>
      <c r="F165" s="57">
        <v>10</v>
      </c>
      <c r="G165" s="57" t="s">
        <v>493</v>
      </c>
      <c r="H165" s="57" t="s">
        <v>363</v>
      </c>
    </row>
    <row r="166" spans="2:8" ht="13.5" customHeight="1">
      <c r="B166" s="57" t="s">
        <v>1502</v>
      </c>
      <c r="D166" s="57" t="s">
        <v>470</v>
      </c>
      <c r="F166" s="57">
        <v>10</v>
      </c>
      <c r="G166" s="57" t="s">
        <v>493</v>
      </c>
      <c r="H166" s="57" t="s">
        <v>363</v>
      </c>
    </row>
    <row r="167" spans="2:8" ht="13.5" customHeight="1">
      <c r="B167" s="57" t="s">
        <v>1501</v>
      </c>
      <c r="D167" s="57" t="s">
        <v>474</v>
      </c>
      <c r="F167" s="57">
        <v>10</v>
      </c>
      <c r="G167" s="57" t="s">
        <v>493</v>
      </c>
      <c r="H167" s="57" t="s">
        <v>363</v>
      </c>
    </row>
    <row r="168" spans="2:8" ht="13.5" customHeight="1">
      <c r="B168" s="57" t="s">
        <v>1502</v>
      </c>
      <c r="D168" s="57" t="s">
        <v>473</v>
      </c>
      <c r="F168" s="57">
        <v>10</v>
      </c>
      <c r="G168" s="57" t="s">
        <v>493</v>
      </c>
      <c r="H168" s="57" t="s">
        <v>363</v>
      </c>
    </row>
    <row r="169" spans="2:8" ht="13.5" customHeight="1">
      <c r="B169" s="57" t="s">
        <v>366</v>
      </c>
      <c r="D169" s="57" t="s">
        <v>490</v>
      </c>
      <c r="F169" s="57">
        <v>10</v>
      </c>
      <c r="G169" s="57" t="s">
        <v>493</v>
      </c>
      <c r="H169" s="57" t="s">
        <v>363</v>
      </c>
    </row>
    <row r="170" spans="2:8" ht="13.5" customHeight="1">
      <c r="B170" s="57" t="s">
        <v>1503</v>
      </c>
      <c r="D170" s="57" t="s">
        <v>471</v>
      </c>
      <c r="F170" s="57">
        <v>20</v>
      </c>
      <c r="G170" s="57" t="s">
        <v>493</v>
      </c>
      <c r="H170" s="57" t="s">
        <v>363</v>
      </c>
    </row>
    <row r="171" spans="2:8" ht="13.5" customHeight="1">
      <c r="B171" s="57" t="s">
        <v>1507</v>
      </c>
      <c r="D171" s="57" t="s">
        <v>487</v>
      </c>
      <c r="F171" s="57">
        <v>20</v>
      </c>
      <c r="G171" s="57" t="s">
        <v>493</v>
      </c>
      <c r="H171" s="57" t="s">
        <v>363</v>
      </c>
    </row>
    <row r="172" spans="2:8" ht="13.5" customHeight="1">
      <c r="B172" s="57" t="s">
        <v>1501</v>
      </c>
      <c r="D172" s="57" t="s">
        <v>472</v>
      </c>
      <c r="F172" s="57">
        <v>22</v>
      </c>
      <c r="G172" s="57" t="s">
        <v>493</v>
      </c>
      <c r="H172" s="57" t="s">
        <v>363</v>
      </c>
    </row>
    <row r="173" spans="2:8" ht="13.5" customHeight="1">
      <c r="B173" s="57" t="s">
        <v>1501</v>
      </c>
      <c r="D173" s="57" t="s">
        <v>469</v>
      </c>
      <c r="F173" s="57">
        <v>30</v>
      </c>
      <c r="G173" s="57" t="s">
        <v>493</v>
      </c>
      <c r="H173" s="57" t="s">
        <v>363</v>
      </c>
    </row>
    <row r="174" spans="2:8" ht="13.5" customHeight="1">
      <c r="B174" s="57" t="s">
        <v>491</v>
      </c>
      <c r="D174" s="57" t="s">
        <v>8160</v>
      </c>
      <c r="F174" s="57">
        <v>100</v>
      </c>
      <c r="G174" s="57" t="s">
        <v>493</v>
      </c>
      <c r="H174" s="57" t="s">
        <v>363</v>
      </c>
    </row>
    <row r="175" spans="2:8" ht="13.5" customHeight="1">
      <c r="B175" s="160" t="s">
        <v>8924</v>
      </c>
      <c r="D175" s="160" t="s">
        <v>8924</v>
      </c>
      <c r="F175" s="57">
        <v>8</v>
      </c>
      <c r="G175" s="57" t="s">
        <v>500</v>
      </c>
      <c r="H175" s="81" t="s">
        <v>1116</v>
      </c>
    </row>
    <row r="176" spans="2:8" ht="13.5" customHeight="1">
      <c r="B176" s="97" t="s">
        <v>8926</v>
      </c>
      <c r="D176" s="97" t="s">
        <v>8926</v>
      </c>
      <c r="F176" s="57">
        <v>14</v>
      </c>
      <c r="G176" s="57" t="s">
        <v>500</v>
      </c>
      <c r="H176" s="81" t="s">
        <v>1116</v>
      </c>
    </row>
    <row r="177" spans="2:8" ht="13.5" customHeight="1">
      <c r="B177" s="69" t="s">
        <v>8925</v>
      </c>
      <c r="D177" s="69" t="s">
        <v>8925</v>
      </c>
      <c r="F177" s="57">
        <v>4451</v>
      </c>
      <c r="G177" s="57" t="s">
        <v>500</v>
      </c>
      <c r="H177" s="81" t="s">
        <v>1116</v>
      </c>
    </row>
    <row r="178" spans="2:8" ht="13.5" customHeight="1">
      <c r="B178" s="84" t="s">
        <v>1508</v>
      </c>
      <c r="D178" s="84" t="s">
        <v>1509</v>
      </c>
      <c r="E178" s="84"/>
      <c r="F178" s="76">
        <v>1</v>
      </c>
      <c r="G178" s="57" t="s">
        <v>500</v>
      </c>
      <c r="H178" s="57" t="s">
        <v>343</v>
      </c>
    </row>
    <row r="179" spans="2:8" ht="13.5" customHeight="1">
      <c r="B179" s="169" t="s">
        <v>8515</v>
      </c>
      <c r="C179" s="169"/>
      <c r="D179" s="169" t="s">
        <v>8516</v>
      </c>
      <c r="F179" s="76">
        <v>1</v>
      </c>
      <c r="G179" s="57" t="s">
        <v>500</v>
      </c>
      <c r="H179" s="57" t="s">
        <v>343</v>
      </c>
    </row>
    <row r="180" spans="2:8" ht="13.5" customHeight="1">
      <c r="B180" s="82" t="s">
        <v>1524</v>
      </c>
      <c r="D180" s="87" t="s">
        <v>1525</v>
      </c>
      <c r="E180" s="82"/>
      <c r="F180" s="76">
        <v>2</v>
      </c>
      <c r="G180" s="57" t="s">
        <v>500</v>
      </c>
      <c r="H180" s="57" t="s">
        <v>343</v>
      </c>
    </row>
    <row r="181" spans="2:8" ht="13.5" customHeight="1">
      <c r="B181" s="83" t="s">
        <v>1556</v>
      </c>
      <c r="D181" s="83" t="s">
        <v>1557</v>
      </c>
      <c r="E181" s="83"/>
      <c r="F181" s="76">
        <v>2</v>
      </c>
      <c r="G181" s="57" t="s">
        <v>500</v>
      </c>
      <c r="H181" s="57" t="s">
        <v>343</v>
      </c>
    </row>
    <row r="182" spans="2:8" ht="13.5" customHeight="1">
      <c r="B182" s="84" t="s">
        <v>1510</v>
      </c>
      <c r="D182" s="84" t="s">
        <v>1511</v>
      </c>
      <c r="E182" s="84"/>
      <c r="F182" s="76">
        <v>3</v>
      </c>
      <c r="G182" s="57" t="s">
        <v>500</v>
      </c>
      <c r="H182" s="57" t="s">
        <v>343</v>
      </c>
    </row>
    <row r="183" spans="2:8" ht="13.5" customHeight="1">
      <c r="B183" s="83" t="s">
        <v>1512</v>
      </c>
      <c r="D183" s="83" t="s">
        <v>1513</v>
      </c>
      <c r="E183" s="83"/>
      <c r="F183" s="76">
        <v>4</v>
      </c>
      <c r="G183" s="57" t="s">
        <v>500</v>
      </c>
      <c r="H183" s="57" t="s">
        <v>343</v>
      </c>
    </row>
    <row r="184" spans="2:8" ht="13.5" customHeight="1">
      <c r="B184" s="82" t="s">
        <v>1526</v>
      </c>
      <c r="D184" s="82" t="s">
        <v>1527</v>
      </c>
      <c r="E184" s="82"/>
      <c r="F184" s="76">
        <v>4</v>
      </c>
      <c r="G184" s="57" t="s">
        <v>500</v>
      </c>
      <c r="H184" s="57" t="s">
        <v>343</v>
      </c>
    </row>
    <row r="185" spans="2:8" ht="13.5" customHeight="1">
      <c r="B185" s="84" t="s">
        <v>1515</v>
      </c>
      <c r="D185" s="84" t="s">
        <v>1516</v>
      </c>
      <c r="E185" s="84"/>
      <c r="F185" s="76">
        <v>5</v>
      </c>
      <c r="G185" s="57" t="s">
        <v>500</v>
      </c>
      <c r="H185" s="57" t="s">
        <v>343</v>
      </c>
    </row>
    <row r="186" spans="2:8" ht="13.5" customHeight="1">
      <c r="B186" s="84" t="s">
        <v>1517</v>
      </c>
      <c r="D186" s="84" t="s">
        <v>1518</v>
      </c>
      <c r="E186" s="84"/>
      <c r="F186" s="76">
        <v>9</v>
      </c>
      <c r="G186" s="57" t="s">
        <v>500</v>
      </c>
      <c r="H186" s="57" t="s">
        <v>343</v>
      </c>
    </row>
    <row r="187" spans="2:8" ht="13.5" customHeight="1">
      <c r="B187" s="84" t="s">
        <v>1529</v>
      </c>
      <c r="D187" s="84" t="s">
        <v>1530</v>
      </c>
      <c r="E187" s="84"/>
      <c r="F187" s="76">
        <v>51</v>
      </c>
      <c r="G187" s="57" t="s">
        <v>500</v>
      </c>
      <c r="H187" s="57" t="s">
        <v>343</v>
      </c>
    </row>
    <row r="188" spans="2:8" ht="13.5" customHeight="1">
      <c r="B188" s="90" t="s">
        <v>1540</v>
      </c>
      <c r="D188" s="90" t="s">
        <v>1541</v>
      </c>
      <c r="E188" s="69"/>
      <c r="F188" s="76">
        <v>51</v>
      </c>
      <c r="G188" s="57" t="s">
        <v>500</v>
      </c>
      <c r="H188" s="57" t="s">
        <v>343</v>
      </c>
    </row>
    <row r="189" spans="2:8" ht="13.5" customHeight="1">
      <c r="B189" s="85" t="s">
        <v>1533</v>
      </c>
      <c r="D189" s="85" t="s">
        <v>499</v>
      </c>
      <c r="E189" s="85"/>
      <c r="F189" s="76">
        <v>90</v>
      </c>
      <c r="G189" s="57" t="s">
        <v>500</v>
      </c>
      <c r="H189" s="57" t="s">
        <v>343</v>
      </c>
    </row>
    <row r="190" spans="2:8" ht="13.5" customHeight="1">
      <c r="B190" s="90" t="s">
        <v>1544</v>
      </c>
      <c r="D190" s="90" t="s">
        <v>1545</v>
      </c>
      <c r="E190" s="69"/>
      <c r="F190" s="76">
        <v>98</v>
      </c>
      <c r="G190" s="57" t="s">
        <v>500</v>
      </c>
      <c r="H190" s="57" t="s">
        <v>343</v>
      </c>
    </row>
    <row r="191" spans="2:8" ht="13.5" customHeight="1">
      <c r="B191" s="90" t="s">
        <v>1546</v>
      </c>
      <c r="D191" s="90" t="s">
        <v>1547</v>
      </c>
      <c r="E191" s="69"/>
      <c r="F191" s="76">
        <v>140</v>
      </c>
      <c r="G191" s="57" t="s">
        <v>500</v>
      </c>
      <c r="H191" s="57" t="s">
        <v>343</v>
      </c>
    </row>
    <row r="192" spans="2:8" ht="13.5" customHeight="1">
      <c r="B192" s="90" t="s">
        <v>281</v>
      </c>
      <c r="D192" s="90" t="s">
        <v>1423</v>
      </c>
      <c r="E192" s="69"/>
      <c r="F192" s="76">
        <v>148</v>
      </c>
      <c r="G192" s="57" t="s">
        <v>500</v>
      </c>
      <c r="H192" s="57" t="s">
        <v>343</v>
      </c>
    </row>
    <row r="193" spans="2:8" ht="13.5" customHeight="1">
      <c r="B193" s="90" t="s">
        <v>1548</v>
      </c>
      <c r="D193" s="90" t="s">
        <v>1549</v>
      </c>
      <c r="E193" s="69"/>
      <c r="F193" s="76">
        <v>150</v>
      </c>
      <c r="G193" s="57" t="s">
        <v>500</v>
      </c>
      <c r="H193" s="57" t="s">
        <v>343</v>
      </c>
    </row>
    <row r="194" spans="2:8" ht="13.5" customHeight="1">
      <c r="B194" s="82" t="s">
        <v>1519</v>
      </c>
      <c r="D194" s="82" t="s">
        <v>1520</v>
      </c>
      <c r="E194" s="82"/>
      <c r="F194" s="76">
        <v>152</v>
      </c>
      <c r="G194" s="57" t="s">
        <v>500</v>
      </c>
      <c r="H194" s="57" t="s">
        <v>343</v>
      </c>
    </row>
    <row r="195" spans="2:8" ht="13.5" customHeight="1">
      <c r="B195" s="85" t="s">
        <v>1521</v>
      </c>
      <c r="D195" s="85" t="s">
        <v>1522</v>
      </c>
      <c r="E195" s="85"/>
      <c r="F195" s="76">
        <v>158</v>
      </c>
      <c r="G195" s="57" t="s">
        <v>500</v>
      </c>
      <c r="H195" s="57" t="s">
        <v>343</v>
      </c>
    </row>
    <row r="196" spans="2:8" ht="13.5" customHeight="1">
      <c r="B196" s="90" t="s">
        <v>1550</v>
      </c>
      <c r="D196" s="90" t="s">
        <v>1551</v>
      </c>
      <c r="E196" s="69"/>
      <c r="F196" s="76">
        <v>558</v>
      </c>
      <c r="G196" s="57" t="s">
        <v>500</v>
      </c>
      <c r="H196" s="57" t="s">
        <v>343</v>
      </c>
    </row>
    <row r="197" spans="2:8" ht="13.5" customHeight="1">
      <c r="B197" s="84" t="s">
        <v>1523</v>
      </c>
      <c r="D197" s="84" t="s">
        <v>1523</v>
      </c>
      <c r="E197" s="86"/>
      <c r="F197" s="76">
        <v>1</v>
      </c>
      <c r="G197" s="57" t="s">
        <v>500</v>
      </c>
      <c r="H197" s="57" t="s">
        <v>344</v>
      </c>
    </row>
    <row r="198" spans="2:8" ht="13.5" customHeight="1">
      <c r="B198" s="85" t="s">
        <v>8505</v>
      </c>
      <c r="D198" s="85" t="s">
        <v>8506</v>
      </c>
      <c r="F198" s="57">
        <v>3</v>
      </c>
      <c r="G198" s="57" t="s">
        <v>500</v>
      </c>
      <c r="H198" s="81" t="s">
        <v>344</v>
      </c>
    </row>
    <row r="199" spans="2:8" ht="13.5" customHeight="1">
      <c r="B199" s="85" t="s">
        <v>498</v>
      </c>
      <c r="D199" s="85" t="s">
        <v>1552</v>
      </c>
      <c r="F199" s="57">
        <v>4</v>
      </c>
      <c r="G199" s="57" t="s">
        <v>500</v>
      </c>
      <c r="H199" s="81" t="s">
        <v>344</v>
      </c>
    </row>
    <row r="200" spans="2:8" ht="13.5" customHeight="1">
      <c r="B200" s="64" t="s">
        <v>1558</v>
      </c>
      <c r="D200" s="64" t="s">
        <v>1558</v>
      </c>
      <c r="E200" s="64"/>
      <c r="F200" s="76">
        <v>7</v>
      </c>
      <c r="G200" s="57" t="s">
        <v>500</v>
      </c>
      <c r="H200" s="57" t="s">
        <v>344</v>
      </c>
    </row>
    <row r="201" spans="2:8" ht="13.5" customHeight="1">
      <c r="B201" s="59" t="s">
        <v>1534</v>
      </c>
      <c r="D201" s="59" t="s">
        <v>1535</v>
      </c>
      <c r="E201" s="69"/>
      <c r="F201" s="76">
        <v>50</v>
      </c>
      <c r="G201" s="57" t="s">
        <v>500</v>
      </c>
      <c r="H201" s="57" t="s">
        <v>344</v>
      </c>
    </row>
    <row r="202" spans="2:8" ht="13.5" customHeight="1">
      <c r="B202" s="57" t="s">
        <v>8511</v>
      </c>
      <c r="D202" s="57" t="s">
        <v>8511</v>
      </c>
      <c r="F202" s="76">
        <v>50</v>
      </c>
      <c r="G202" s="57" t="s">
        <v>500</v>
      </c>
      <c r="H202" s="57" t="s">
        <v>344</v>
      </c>
    </row>
    <row r="203" spans="2:8" ht="13.5" customHeight="1">
      <c r="B203" s="69" t="s">
        <v>1531</v>
      </c>
      <c r="D203" s="69" t="s">
        <v>1531</v>
      </c>
      <c r="E203" s="69"/>
      <c r="F203" s="76">
        <v>53</v>
      </c>
      <c r="G203" s="57" t="s">
        <v>500</v>
      </c>
      <c r="H203" s="57" t="s">
        <v>344</v>
      </c>
    </row>
    <row r="204" spans="2:8" ht="13.5" customHeight="1">
      <c r="B204" s="69" t="s">
        <v>1532</v>
      </c>
      <c r="D204" s="69" t="s">
        <v>1532</v>
      </c>
      <c r="E204" s="69"/>
      <c r="F204" s="76">
        <v>53</v>
      </c>
      <c r="G204" s="57" t="s">
        <v>500</v>
      </c>
      <c r="H204" s="57" t="s">
        <v>344</v>
      </c>
    </row>
    <row r="205" spans="2:8" ht="13.5" customHeight="1">
      <c r="B205" s="91" t="s">
        <v>8474</v>
      </c>
      <c r="D205" s="91" t="s">
        <v>8474</v>
      </c>
      <c r="F205" s="76">
        <v>83</v>
      </c>
      <c r="G205" s="57" t="s">
        <v>500</v>
      </c>
      <c r="H205" s="57" t="s">
        <v>344</v>
      </c>
    </row>
    <row r="206" spans="2:8" ht="13.5" customHeight="1">
      <c r="B206" s="192" t="s">
        <v>1536</v>
      </c>
      <c r="D206" s="192" t="s">
        <v>1536</v>
      </c>
      <c r="E206" s="69"/>
      <c r="F206" s="76">
        <v>754</v>
      </c>
      <c r="G206" s="57" t="s">
        <v>500</v>
      </c>
      <c r="H206" s="57" t="s">
        <v>344</v>
      </c>
    </row>
    <row r="207" spans="2:8" ht="13.5" customHeight="1">
      <c r="B207" s="81" t="s">
        <v>8226</v>
      </c>
      <c r="D207" s="81" t="s">
        <v>8227</v>
      </c>
      <c r="F207" s="76">
        <v>1</v>
      </c>
      <c r="G207" s="57" t="s">
        <v>500</v>
      </c>
      <c r="H207" s="57" t="s">
        <v>345</v>
      </c>
    </row>
    <row r="208" spans="2:8" ht="13.5" customHeight="1">
      <c r="B208" s="82" t="s">
        <v>8485</v>
      </c>
      <c r="C208" s="82"/>
      <c r="D208" s="82" t="s">
        <v>8486</v>
      </c>
      <c r="F208" s="76">
        <v>2</v>
      </c>
      <c r="G208" s="57" t="s">
        <v>500</v>
      </c>
      <c r="H208" s="57" t="s">
        <v>345</v>
      </c>
    </row>
    <row r="209" spans="2:8" ht="13.5" customHeight="1">
      <c r="B209" s="82" t="s">
        <v>8487</v>
      </c>
      <c r="C209" s="82"/>
      <c r="D209" s="82" t="s">
        <v>8488</v>
      </c>
      <c r="F209" s="76">
        <v>2</v>
      </c>
      <c r="G209" s="57" t="s">
        <v>500</v>
      </c>
      <c r="H209" s="57" t="s">
        <v>345</v>
      </c>
    </row>
    <row r="210" spans="2:8" ht="13.5" customHeight="1">
      <c r="B210" s="90" t="s">
        <v>8489</v>
      </c>
      <c r="C210" s="90"/>
      <c r="D210" s="90" t="s">
        <v>8490</v>
      </c>
      <c r="F210" s="76">
        <v>7</v>
      </c>
      <c r="G210" s="57" t="s">
        <v>500</v>
      </c>
      <c r="H210" s="57" t="s">
        <v>345</v>
      </c>
    </row>
    <row r="211" spans="2:8" ht="13.5" customHeight="1">
      <c r="B211" s="81" t="s">
        <v>498</v>
      </c>
      <c r="D211" s="81" t="s">
        <v>8225</v>
      </c>
      <c r="F211" s="76">
        <v>16</v>
      </c>
      <c r="G211" s="57" t="s">
        <v>500</v>
      </c>
      <c r="H211" s="57" t="s">
        <v>345</v>
      </c>
    </row>
    <row r="212" spans="2:8" ht="13.5" customHeight="1">
      <c r="B212" s="81" t="s">
        <v>8202</v>
      </c>
      <c r="D212" s="81" t="s">
        <v>8203</v>
      </c>
      <c r="F212" s="76">
        <v>18</v>
      </c>
      <c r="G212" s="57" t="s">
        <v>500</v>
      </c>
      <c r="H212" s="57" t="s">
        <v>345</v>
      </c>
    </row>
    <row r="213" spans="2:8" ht="13.5" customHeight="1">
      <c r="B213" s="90" t="s">
        <v>1528</v>
      </c>
      <c r="D213" s="66">
        <v>885012107018</v>
      </c>
      <c r="E213" s="69"/>
      <c r="F213" s="76">
        <v>21</v>
      </c>
      <c r="G213" s="57" t="s">
        <v>500</v>
      </c>
      <c r="H213" s="57" t="s">
        <v>345</v>
      </c>
    </row>
    <row r="214" spans="2:8" ht="13.5" customHeight="1">
      <c r="B214" s="90" t="s">
        <v>1553</v>
      </c>
      <c r="D214" s="90" t="s">
        <v>1554</v>
      </c>
      <c r="E214" s="69"/>
      <c r="F214" s="76">
        <v>35</v>
      </c>
      <c r="G214" s="57" t="s">
        <v>500</v>
      </c>
      <c r="H214" s="57" t="s">
        <v>345</v>
      </c>
    </row>
    <row r="215" spans="2:8" ht="13.5" customHeight="1">
      <c r="B215" s="90" t="s">
        <v>8491</v>
      </c>
      <c r="C215" s="90"/>
      <c r="D215" s="90" t="s">
        <v>8492</v>
      </c>
      <c r="F215" s="76">
        <v>47</v>
      </c>
      <c r="G215" s="57" t="s">
        <v>500</v>
      </c>
      <c r="H215" s="57" t="s">
        <v>345</v>
      </c>
    </row>
    <row r="216" spans="2:8" ht="13.5" customHeight="1">
      <c r="B216" s="90" t="s">
        <v>8475</v>
      </c>
      <c r="C216" s="90"/>
      <c r="D216" s="90" t="s">
        <v>8476</v>
      </c>
      <c r="F216" s="76">
        <v>63</v>
      </c>
      <c r="G216" s="57" t="s">
        <v>500</v>
      </c>
      <c r="H216" s="57" t="s">
        <v>345</v>
      </c>
    </row>
    <row r="217" spans="2:8" ht="13.5" customHeight="1">
      <c r="B217" s="90" t="s">
        <v>8493</v>
      </c>
      <c r="C217" s="90"/>
      <c r="D217" s="90" t="s">
        <v>8494</v>
      </c>
      <c r="F217" s="76">
        <v>65</v>
      </c>
      <c r="G217" s="57" t="s">
        <v>500</v>
      </c>
      <c r="H217" s="57" t="s">
        <v>345</v>
      </c>
    </row>
    <row r="218" spans="2:8" ht="13.5" customHeight="1">
      <c r="B218" s="90" t="s">
        <v>8477</v>
      </c>
      <c r="C218" s="90"/>
      <c r="D218" s="90" t="s">
        <v>8478</v>
      </c>
      <c r="F218" s="76">
        <v>68</v>
      </c>
      <c r="G218" s="57" t="s">
        <v>500</v>
      </c>
      <c r="H218" s="57" t="s">
        <v>345</v>
      </c>
    </row>
    <row r="219" spans="2:8" ht="13.5" customHeight="1">
      <c r="B219" s="81" t="s">
        <v>8266</v>
      </c>
      <c r="D219" s="81" t="s">
        <v>8267</v>
      </c>
      <c r="F219" s="76">
        <v>75</v>
      </c>
      <c r="G219" s="57" t="s">
        <v>500</v>
      </c>
      <c r="H219" s="57" t="s">
        <v>345</v>
      </c>
    </row>
    <row r="220" spans="2:8" ht="13.5" customHeight="1">
      <c r="B220" s="90" t="s">
        <v>8479</v>
      </c>
      <c r="C220" s="90"/>
      <c r="D220" s="90" t="s">
        <v>8480</v>
      </c>
      <c r="F220" s="76">
        <v>75</v>
      </c>
      <c r="G220" s="57" t="s">
        <v>500</v>
      </c>
      <c r="H220" s="57" t="s">
        <v>345</v>
      </c>
    </row>
    <row r="221" spans="2:8" ht="13.5" customHeight="1">
      <c r="B221" s="90" t="s">
        <v>8495</v>
      </c>
      <c r="C221" s="90"/>
      <c r="D221" s="90" t="s">
        <v>8496</v>
      </c>
      <c r="F221" s="76">
        <v>80</v>
      </c>
      <c r="G221" s="57" t="s">
        <v>500</v>
      </c>
      <c r="H221" s="57" t="s">
        <v>345</v>
      </c>
    </row>
    <row r="222" spans="2:8" ht="13.5" customHeight="1">
      <c r="B222" s="90" t="s">
        <v>494</v>
      </c>
      <c r="C222" s="90"/>
      <c r="D222" s="66">
        <v>885012105008</v>
      </c>
      <c r="F222" s="76">
        <v>82</v>
      </c>
      <c r="G222" s="57" t="s">
        <v>500</v>
      </c>
      <c r="H222" s="57" t="s">
        <v>345</v>
      </c>
    </row>
    <row r="223" spans="2:8" ht="13.5" customHeight="1">
      <c r="B223" s="90" t="s">
        <v>1555</v>
      </c>
      <c r="C223" s="90"/>
      <c r="D223" s="90" t="s">
        <v>8497</v>
      </c>
      <c r="F223" s="76">
        <v>83</v>
      </c>
      <c r="G223" s="57" t="s">
        <v>500</v>
      </c>
      <c r="H223" s="57" t="s">
        <v>345</v>
      </c>
    </row>
    <row r="224" spans="2:8" ht="13.5" customHeight="1">
      <c r="B224" s="90" t="s">
        <v>8481</v>
      </c>
      <c r="C224" s="90"/>
      <c r="D224" s="90" t="s">
        <v>8482</v>
      </c>
      <c r="F224" s="76">
        <v>92</v>
      </c>
      <c r="G224" s="57" t="s">
        <v>500</v>
      </c>
      <c r="H224" s="57" t="s">
        <v>345</v>
      </c>
    </row>
    <row r="225" spans="2:8" ht="13.5" customHeight="1">
      <c r="B225" s="90" t="s">
        <v>8483</v>
      </c>
      <c r="C225" s="90"/>
      <c r="D225" s="90" t="s">
        <v>8484</v>
      </c>
      <c r="F225" s="76">
        <v>104</v>
      </c>
      <c r="G225" s="57" t="s">
        <v>500</v>
      </c>
      <c r="H225" s="57" t="s">
        <v>345</v>
      </c>
    </row>
    <row r="226" spans="2:8" ht="13.5" customHeight="1">
      <c r="B226" s="90" t="s">
        <v>8498</v>
      </c>
      <c r="C226" s="90"/>
      <c r="D226" s="90" t="s">
        <v>8499</v>
      </c>
      <c r="F226" s="76">
        <v>1390</v>
      </c>
      <c r="G226" s="57" t="s">
        <v>500</v>
      </c>
      <c r="H226" s="57" t="s">
        <v>345</v>
      </c>
    </row>
    <row r="227" spans="2:8" ht="13.5" customHeight="1">
      <c r="B227" s="88" t="s">
        <v>1537</v>
      </c>
      <c r="D227" s="88" t="s">
        <v>1537</v>
      </c>
      <c r="E227" s="69"/>
      <c r="F227" s="76">
        <v>5</v>
      </c>
      <c r="G227" s="57" t="s">
        <v>500</v>
      </c>
      <c r="H227" s="57" t="s">
        <v>919</v>
      </c>
    </row>
    <row r="228" spans="2:8" ht="13.5" customHeight="1">
      <c r="B228" s="88" t="s">
        <v>1538</v>
      </c>
      <c r="D228" s="88" t="s">
        <v>1538</v>
      </c>
      <c r="E228" s="69"/>
      <c r="F228" s="76">
        <v>10</v>
      </c>
      <c r="G228" s="57" t="s">
        <v>500</v>
      </c>
      <c r="H228" s="57" t="s">
        <v>919</v>
      </c>
    </row>
    <row r="229" spans="2:8" ht="13.5" customHeight="1">
      <c r="B229" s="89" t="s">
        <v>1539</v>
      </c>
      <c r="D229" s="89" t="s">
        <v>1539</v>
      </c>
      <c r="E229" s="89"/>
      <c r="F229" s="76">
        <v>18</v>
      </c>
      <c r="G229" s="57" t="s">
        <v>500</v>
      </c>
      <c r="H229" s="57" t="s">
        <v>919</v>
      </c>
    </row>
    <row r="230" spans="2:8" ht="13.5" customHeight="1">
      <c r="B230" s="85" t="s">
        <v>498</v>
      </c>
      <c r="D230" s="85" t="s">
        <v>8192</v>
      </c>
      <c r="F230" s="57">
        <v>2</v>
      </c>
      <c r="G230" s="57" t="s">
        <v>500</v>
      </c>
      <c r="H230" s="91" t="s">
        <v>918</v>
      </c>
    </row>
    <row r="231" spans="2:8" ht="13.5" customHeight="1">
      <c r="B231" s="85" t="s">
        <v>8915</v>
      </c>
      <c r="D231" s="85" t="s">
        <v>8917</v>
      </c>
      <c r="F231" s="57">
        <v>2</v>
      </c>
      <c r="G231" s="57" t="s">
        <v>500</v>
      </c>
      <c r="H231" s="91" t="s">
        <v>918</v>
      </c>
    </row>
    <row r="232" spans="2:8" ht="13.5" customHeight="1">
      <c r="B232" s="85" t="s">
        <v>8916</v>
      </c>
      <c r="D232" s="85" t="s">
        <v>8918</v>
      </c>
      <c r="F232" s="57">
        <v>2</v>
      </c>
      <c r="G232" s="57" t="s">
        <v>500</v>
      </c>
      <c r="H232" s="91" t="s">
        <v>918</v>
      </c>
    </row>
    <row r="233" spans="2:8" ht="13.5" customHeight="1">
      <c r="B233" s="85" t="s">
        <v>8264</v>
      </c>
      <c r="D233" s="85" t="s">
        <v>8265</v>
      </c>
      <c r="F233" s="57">
        <v>2</v>
      </c>
      <c r="G233" s="57" t="s">
        <v>500</v>
      </c>
      <c r="H233" s="91" t="s">
        <v>918</v>
      </c>
    </row>
    <row r="234" spans="2:8" ht="13.5" customHeight="1">
      <c r="B234" s="85" t="s">
        <v>498</v>
      </c>
      <c r="D234" s="85" t="s">
        <v>8268</v>
      </c>
      <c r="F234" s="57">
        <v>2</v>
      </c>
      <c r="G234" s="57" t="s">
        <v>500</v>
      </c>
      <c r="H234" s="91" t="s">
        <v>918</v>
      </c>
    </row>
    <row r="235" spans="2:8" ht="13.5" customHeight="1">
      <c r="B235" s="85" t="s">
        <v>498</v>
      </c>
      <c r="D235" s="85" t="s">
        <v>39</v>
      </c>
      <c r="F235" s="57">
        <v>4</v>
      </c>
      <c r="G235" s="57" t="s">
        <v>500</v>
      </c>
      <c r="H235" s="91" t="s">
        <v>918</v>
      </c>
    </row>
    <row r="236" spans="2:8" ht="13.5" customHeight="1">
      <c r="B236" s="85" t="s">
        <v>1512</v>
      </c>
      <c r="D236" s="85" t="s">
        <v>8919</v>
      </c>
      <c r="F236" s="57">
        <v>4</v>
      </c>
      <c r="G236" s="57" t="s">
        <v>500</v>
      </c>
      <c r="H236" s="91" t="s">
        <v>918</v>
      </c>
    </row>
    <row r="237" spans="2:8" ht="13.5" customHeight="1">
      <c r="B237" s="85" t="s">
        <v>8193</v>
      </c>
      <c r="D237" s="85" t="s">
        <v>8194</v>
      </c>
      <c r="F237" s="57">
        <v>5</v>
      </c>
      <c r="G237" s="57" t="s">
        <v>500</v>
      </c>
      <c r="H237" s="91" t="s">
        <v>918</v>
      </c>
    </row>
    <row r="238" spans="2:8" ht="13.5" customHeight="1">
      <c r="B238" s="172" t="s">
        <v>8950</v>
      </c>
      <c r="C238" s="177" t="s">
        <v>8379</v>
      </c>
      <c r="D238" s="97" t="s">
        <v>8951</v>
      </c>
      <c r="F238" s="57">
        <v>5</v>
      </c>
      <c r="G238" s="57" t="s">
        <v>500</v>
      </c>
      <c r="H238" s="57" t="s">
        <v>918</v>
      </c>
    </row>
    <row r="239" spans="2:8" ht="13.5" customHeight="1">
      <c r="B239" s="85" t="s">
        <v>3968</v>
      </c>
      <c r="D239" s="85" t="s">
        <v>8214</v>
      </c>
      <c r="F239" s="57">
        <v>6</v>
      </c>
      <c r="G239" s="57" t="s">
        <v>500</v>
      </c>
      <c r="H239" s="91" t="s">
        <v>918</v>
      </c>
    </row>
    <row r="240" spans="2:8" ht="13.5" customHeight="1">
      <c r="B240" s="85" t="s">
        <v>5315</v>
      </c>
      <c r="D240" s="85" t="s">
        <v>8215</v>
      </c>
      <c r="F240" s="57">
        <v>8</v>
      </c>
      <c r="G240" s="57" t="s">
        <v>500</v>
      </c>
      <c r="H240" s="91" t="s">
        <v>918</v>
      </c>
    </row>
    <row r="241" spans="2:8" ht="13.5" customHeight="1">
      <c r="B241" s="85" t="s">
        <v>8218</v>
      </c>
      <c r="D241" s="85" t="s">
        <v>8219</v>
      </c>
      <c r="F241" s="57">
        <v>10</v>
      </c>
      <c r="G241" s="57" t="s">
        <v>500</v>
      </c>
      <c r="H241" s="91" t="s">
        <v>918</v>
      </c>
    </row>
    <row r="242" spans="2:8" ht="13.5" customHeight="1">
      <c r="B242" s="85" t="s">
        <v>8920</v>
      </c>
      <c r="D242" s="69" t="s">
        <v>1072</v>
      </c>
      <c r="F242" s="57">
        <v>12</v>
      </c>
      <c r="G242" s="57" t="s">
        <v>500</v>
      </c>
      <c r="H242" s="91" t="s">
        <v>918</v>
      </c>
    </row>
    <row r="243" spans="2:8" ht="13.5" customHeight="1">
      <c r="B243" s="85" t="s">
        <v>8232</v>
      </c>
      <c r="D243" s="85" t="s">
        <v>8172</v>
      </c>
      <c r="F243" s="57">
        <v>19</v>
      </c>
      <c r="G243" s="57" t="s">
        <v>500</v>
      </c>
      <c r="H243" s="91" t="s">
        <v>918</v>
      </c>
    </row>
    <row r="244" spans="2:8" ht="13.5" customHeight="1">
      <c r="B244" s="85" t="s">
        <v>8235</v>
      </c>
      <c r="D244" s="85" t="s">
        <v>8236</v>
      </c>
      <c r="F244" s="57">
        <v>25</v>
      </c>
      <c r="G244" s="57" t="s">
        <v>500</v>
      </c>
      <c r="H244" s="91" t="s">
        <v>918</v>
      </c>
    </row>
    <row r="245" spans="2:8" ht="13.5" customHeight="1">
      <c r="B245" s="85" t="s">
        <v>1519</v>
      </c>
      <c r="D245" s="85" t="s">
        <v>8208</v>
      </c>
      <c r="F245" s="57">
        <v>26</v>
      </c>
      <c r="G245" s="57" t="s">
        <v>500</v>
      </c>
      <c r="H245" s="91" t="s">
        <v>918</v>
      </c>
    </row>
    <row r="246" spans="2:8" ht="13.5" customHeight="1">
      <c r="B246" s="85" t="s">
        <v>8198</v>
      </c>
      <c r="D246" s="85" t="s">
        <v>8199</v>
      </c>
      <c r="F246" s="57">
        <v>30</v>
      </c>
      <c r="G246" s="57" t="s">
        <v>500</v>
      </c>
      <c r="H246" s="91" t="s">
        <v>918</v>
      </c>
    </row>
    <row r="247" spans="2:8" ht="13.5" customHeight="1">
      <c r="B247" s="85" t="s">
        <v>8210</v>
      </c>
      <c r="D247" s="85" t="s">
        <v>7592</v>
      </c>
      <c r="F247" s="57">
        <v>32</v>
      </c>
      <c r="G247" s="57" t="s">
        <v>500</v>
      </c>
      <c r="H247" s="91" t="s">
        <v>918</v>
      </c>
    </row>
    <row r="248" spans="2:8" ht="13.5" customHeight="1">
      <c r="B248" s="85" t="s">
        <v>8242</v>
      </c>
      <c r="D248" s="85" t="s">
        <v>8243</v>
      </c>
      <c r="F248" s="57">
        <v>32</v>
      </c>
      <c r="G248" s="57" t="s">
        <v>500</v>
      </c>
      <c r="H248" s="91" t="s">
        <v>918</v>
      </c>
    </row>
    <row r="249" spans="2:8" ht="13.5" customHeight="1">
      <c r="B249" s="85" t="s">
        <v>7419</v>
      </c>
      <c r="D249" s="85" t="s">
        <v>8197</v>
      </c>
      <c r="F249" s="57">
        <v>35</v>
      </c>
      <c r="G249" s="57" t="s">
        <v>500</v>
      </c>
      <c r="H249" s="91" t="s">
        <v>918</v>
      </c>
    </row>
    <row r="250" spans="2:8" ht="13.5" customHeight="1">
      <c r="B250" s="85" t="s">
        <v>8502</v>
      </c>
      <c r="D250" s="85" t="s">
        <v>497</v>
      </c>
      <c r="F250" s="57">
        <v>35</v>
      </c>
      <c r="G250" s="57" t="s">
        <v>500</v>
      </c>
      <c r="H250" s="91" t="s">
        <v>918</v>
      </c>
    </row>
    <row r="251" spans="2:8" ht="13.5" customHeight="1">
      <c r="B251" s="85" t="s">
        <v>8259</v>
      </c>
      <c r="D251" s="85" t="s">
        <v>8260</v>
      </c>
      <c r="F251" s="57">
        <v>37</v>
      </c>
      <c r="G251" s="57" t="s">
        <v>500</v>
      </c>
      <c r="H251" s="91" t="s">
        <v>918</v>
      </c>
    </row>
    <row r="252" spans="2:8" ht="13.5" customHeight="1">
      <c r="B252" s="85" t="s">
        <v>8257</v>
      </c>
      <c r="D252" s="85" t="s">
        <v>8258</v>
      </c>
      <c r="F252" s="57">
        <v>38</v>
      </c>
      <c r="G252" s="57" t="s">
        <v>500</v>
      </c>
      <c r="H252" s="91" t="s">
        <v>918</v>
      </c>
    </row>
    <row r="253" spans="2:8" ht="13.5" customHeight="1">
      <c r="B253" s="85" t="s">
        <v>8263</v>
      </c>
      <c r="D253" s="85" t="s">
        <v>8921</v>
      </c>
      <c r="F253" s="57">
        <v>38</v>
      </c>
      <c r="G253" s="57" t="s">
        <v>500</v>
      </c>
      <c r="H253" s="91" t="s">
        <v>918</v>
      </c>
    </row>
    <row r="254" spans="2:8" ht="13.5" customHeight="1">
      <c r="B254" s="85" t="s">
        <v>1514</v>
      </c>
      <c r="D254" s="85" t="s">
        <v>8473</v>
      </c>
      <c r="F254" s="57">
        <v>40</v>
      </c>
      <c r="G254" s="57" t="s">
        <v>500</v>
      </c>
      <c r="H254" s="91" t="s">
        <v>918</v>
      </c>
    </row>
    <row r="255" spans="2:8" ht="13.5" customHeight="1">
      <c r="B255" s="85" t="s">
        <v>8206</v>
      </c>
      <c r="D255" s="85" t="s">
        <v>8207</v>
      </c>
      <c r="F255" s="57">
        <v>62</v>
      </c>
      <c r="G255" s="57" t="s">
        <v>500</v>
      </c>
      <c r="H255" s="91" t="s">
        <v>918</v>
      </c>
    </row>
    <row r="256" spans="2:8" ht="13.5" customHeight="1">
      <c r="B256" s="85" t="s">
        <v>8188</v>
      </c>
      <c r="D256" s="85" t="s">
        <v>8189</v>
      </c>
      <c r="F256" s="57">
        <v>80</v>
      </c>
      <c r="G256" s="57" t="s">
        <v>500</v>
      </c>
      <c r="H256" s="91" t="s">
        <v>918</v>
      </c>
    </row>
    <row r="257" spans="2:8" ht="13.5" customHeight="1">
      <c r="B257" s="85" t="s">
        <v>8239</v>
      </c>
      <c r="D257" s="85" t="s">
        <v>8240</v>
      </c>
      <c r="F257" s="57">
        <v>80</v>
      </c>
      <c r="G257" s="57" t="s">
        <v>500</v>
      </c>
      <c r="H257" s="91" t="s">
        <v>918</v>
      </c>
    </row>
    <row r="258" spans="2:8" ht="13.5" customHeight="1">
      <c r="B258" s="85" t="s">
        <v>2717</v>
      </c>
      <c r="D258" s="85" t="s">
        <v>3203</v>
      </c>
      <c r="F258" s="57">
        <v>102</v>
      </c>
      <c r="G258" s="57" t="s">
        <v>500</v>
      </c>
      <c r="H258" s="91" t="s">
        <v>918</v>
      </c>
    </row>
    <row r="259" spans="2:8" ht="13.5" customHeight="1">
      <c r="B259" s="85" t="s">
        <v>8255</v>
      </c>
      <c r="D259" s="85" t="s">
        <v>8256</v>
      </c>
      <c r="F259" s="57">
        <v>102</v>
      </c>
      <c r="G259" s="57" t="s">
        <v>500</v>
      </c>
      <c r="H259" s="91" t="s">
        <v>918</v>
      </c>
    </row>
    <row r="260" spans="2:8" ht="13.5" customHeight="1">
      <c r="B260" s="85" t="s">
        <v>495</v>
      </c>
      <c r="D260" s="85" t="s">
        <v>496</v>
      </c>
      <c r="F260" s="57">
        <v>3575</v>
      </c>
      <c r="G260" s="57" t="s">
        <v>500</v>
      </c>
      <c r="H260" s="91" t="s">
        <v>918</v>
      </c>
    </row>
    <row r="261" spans="2:8" ht="13.5" customHeight="1">
      <c r="B261" s="85" t="s">
        <v>8248</v>
      </c>
      <c r="D261" s="85" t="s">
        <v>8168</v>
      </c>
      <c r="F261" s="57">
        <v>6870</v>
      </c>
      <c r="G261" s="57" t="s">
        <v>500</v>
      </c>
      <c r="H261" s="91" t="s">
        <v>918</v>
      </c>
    </row>
    <row r="262" spans="2:8" ht="13.5" customHeight="1">
      <c r="B262" s="85" t="s">
        <v>8224</v>
      </c>
      <c r="D262" s="85" t="s">
        <v>5553</v>
      </c>
      <c r="F262" s="57">
        <v>2</v>
      </c>
      <c r="G262" s="57" t="s">
        <v>500</v>
      </c>
      <c r="H262" s="91" t="s">
        <v>1114</v>
      </c>
    </row>
    <row r="263" spans="2:8" ht="13.5" customHeight="1">
      <c r="B263" s="85" t="s">
        <v>8922</v>
      </c>
      <c r="D263" s="85" t="s">
        <v>8923</v>
      </c>
      <c r="F263" s="57">
        <v>2</v>
      </c>
      <c r="G263" s="57" t="s">
        <v>500</v>
      </c>
      <c r="H263" s="91" t="s">
        <v>1114</v>
      </c>
    </row>
    <row r="264" spans="2:8" ht="13.5" customHeight="1">
      <c r="B264" s="85" t="s">
        <v>8508</v>
      </c>
      <c r="D264" s="85" t="s">
        <v>8509</v>
      </c>
      <c r="F264" s="57">
        <v>3</v>
      </c>
      <c r="G264" s="57" t="s">
        <v>500</v>
      </c>
      <c r="H264" s="91" t="s">
        <v>1114</v>
      </c>
    </row>
    <row r="265" spans="2:8" ht="13.5" customHeight="1">
      <c r="B265" s="85" t="s">
        <v>8190</v>
      </c>
      <c r="D265" s="85" t="s">
        <v>8191</v>
      </c>
      <c r="F265" s="57">
        <v>6</v>
      </c>
      <c r="G265" s="57" t="s">
        <v>500</v>
      </c>
      <c r="H265" s="91" t="s">
        <v>1114</v>
      </c>
    </row>
    <row r="266" spans="2:8" ht="13.5" customHeight="1">
      <c r="B266" s="85" t="s">
        <v>8220</v>
      </c>
      <c r="D266" s="85" t="s">
        <v>8221</v>
      </c>
      <c r="F266" s="57">
        <v>6</v>
      </c>
      <c r="G266" s="57" t="s">
        <v>500</v>
      </c>
      <c r="H266" s="91" t="s">
        <v>1114</v>
      </c>
    </row>
    <row r="267" spans="2:8" ht="13.5" customHeight="1">
      <c r="B267" s="85" t="s">
        <v>8216</v>
      </c>
      <c r="D267" s="85" t="s">
        <v>8217</v>
      </c>
      <c r="F267" s="57">
        <v>8</v>
      </c>
      <c r="G267" s="57" t="s">
        <v>500</v>
      </c>
      <c r="H267" s="91" t="s">
        <v>1114</v>
      </c>
    </row>
    <row r="268" spans="2:8" ht="13.5" customHeight="1">
      <c r="B268" s="85" t="s">
        <v>8228</v>
      </c>
      <c r="D268" s="85" t="s">
        <v>8229</v>
      </c>
      <c r="F268" s="57">
        <v>8</v>
      </c>
      <c r="G268" s="57" t="s">
        <v>500</v>
      </c>
      <c r="H268" s="91" t="s">
        <v>1114</v>
      </c>
    </row>
    <row r="269" spans="2:8" ht="13.5" customHeight="1">
      <c r="B269" s="85" t="s">
        <v>8222</v>
      </c>
      <c r="D269" s="85" t="s">
        <v>8223</v>
      </c>
      <c r="F269" s="57">
        <v>9</v>
      </c>
      <c r="G269" s="57" t="s">
        <v>500</v>
      </c>
      <c r="H269" s="91" t="s">
        <v>1114</v>
      </c>
    </row>
    <row r="270" spans="2:8" ht="13.5" customHeight="1">
      <c r="B270" s="85" t="s">
        <v>8204</v>
      </c>
      <c r="D270" s="85" t="s">
        <v>8205</v>
      </c>
      <c r="F270" s="57">
        <v>10</v>
      </c>
      <c r="G270" s="57" t="s">
        <v>500</v>
      </c>
      <c r="H270" s="91" t="s">
        <v>1114</v>
      </c>
    </row>
    <row r="271" spans="2:8" ht="13.5" customHeight="1">
      <c r="B271" s="85" t="s">
        <v>8503</v>
      </c>
      <c r="D271" s="85" t="s">
        <v>8504</v>
      </c>
      <c r="F271" s="57">
        <v>10</v>
      </c>
      <c r="G271" s="57" t="s">
        <v>500</v>
      </c>
      <c r="H271" s="91" t="s">
        <v>1114</v>
      </c>
    </row>
    <row r="272" spans="2:8" ht="13.5" customHeight="1">
      <c r="B272" s="85" t="s">
        <v>6416</v>
      </c>
      <c r="D272" s="85" t="s">
        <v>8241</v>
      </c>
      <c r="F272" s="57">
        <v>10</v>
      </c>
      <c r="G272" s="57" t="s">
        <v>500</v>
      </c>
      <c r="H272" s="91" t="s">
        <v>1114</v>
      </c>
    </row>
    <row r="273" spans="2:8" ht="13.5" customHeight="1">
      <c r="B273" s="85" t="s">
        <v>8195</v>
      </c>
      <c r="D273" s="85" t="s">
        <v>8196</v>
      </c>
      <c r="F273" s="57">
        <v>12</v>
      </c>
      <c r="G273" s="57" t="s">
        <v>500</v>
      </c>
      <c r="H273" s="91" t="s">
        <v>1114</v>
      </c>
    </row>
    <row r="274" spans="2:8" ht="13.5" customHeight="1">
      <c r="B274" s="85" t="s">
        <v>8230</v>
      </c>
      <c r="D274" s="85" t="s">
        <v>8231</v>
      </c>
      <c r="F274" s="57">
        <v>12</v>
      </c>
      <c r="G274" s="57" t="s">
        <v>500</v>
      </c>
      <c r="H274" s="91" t="s">
        <v>1114</v>
      </c>
    </row>
    <row r="275" spans="2:8" ht="13.5" customHeight="1">
      <c r="B275" s="85" t="s">
        <v>3560</v>
      </c>
      <c r="D275" s="85" t="s">
        <v>8211</v>
      </c>
      <c r="F275" s="57">
        <v>23</v>
      </c>
      <c r="G275" s="57" t="s">
        <v>500</v>
      </c>
      <c r="H275" s="91" t="s">
        <v>1114</v>
      </c>
    </row>
    <row r="276" spans="2:8" ht="13.5" customHeight="1">
      <c r="B276" s="85" t="s">
        <v>8202</v>
      </c>
      <c r="D276" s="85" t="s">
        <v>8203</v>
      </c>
      <c r="F276" s="57">
        <v>25</v>
      </c>
      <c r="G276" s="57" t="s">
        <v>500</v>
      </c>
      <c r="H276" s="91" t="s">
        <v>1114</v>
      </c>
    </row>
    <row r="277" spans="2:8" ht="13.5" customHeight="1">
      <c r="B277" s="85" t="s">
        <v>8261</v>
      </c>
      <c r="D277" s="85" t="s">
        <v>8262</v>
      </c>
      <c r="F277" s="57">
        <v>28</v>
      </c>
      <c r="G277" s="57" t="s">
        <v>500</v>
      </c>
      <c r="H277" s="91" t="s">
        <v>1114</v>
      </c>
    </row>
    <row r="278" spans="2:8" ht="13.5" customHeight="1">
      <c r="B278" s="85" t="s">
        <v>8237</v>
      </c>
      <c r="D278" s="85" t="s">
        <v>8238</v>
      </c>
      <c r="F278" s="57">
        <v>33</v>
      </c>
      <c r="G278" s="57" t="s">
        <v>500</v>
      </c>
      <c r="H278" s="91" t="s">
        <v>1114</v>
      </c>
    </row>
    <row r="279" spans="2:8" ht="13.5" customHeight="1">
      <c r="B279" s="85" t="s">
        <v>8500</v>
      </c>
      <c r="D279" s="85" t="s">
        <v>8501</v>
      </c>
      <c r="F279" s="57">
        <v>35</v>
      </c>
      <c r="G279" s="57" t="s">
        <v>500</v>
      </c>
      <c r="H279" s="91" t="s">
        <v>1114</v>
      </c>
    </row>
    <row r="280" spans="2:8" ht="13.5" customHeight="1">
      <c r="B280" s="85" t="s">
        <v>5211</v>
      </c>
      <c r="D280" s="85" t="s">
        <v>2267</v>
      </c>
      <c r="F280" s="57">
        <v>35</v>
      </c>
      <c r="G280" s="57" t="s">
        <v>500</v>
      </c>
      <c r="H280" s="91" t="s">
        <v>1114</v>
      </c>
    </row>
    <row r="281" spans="2:8" ht="13.5" customHeight="1">
      <c r="B281" s="85" t="s">
        <v>8244</v>
      </c>
      <c r="D281" s="85" t="s">
        <v>8245</v>
      </c>
      <c r="F281" s="57">
        <v>35</v>
      </c>
      <c r="G281" s="57" t="s">
        <v>500</v>
      </c>
      <c r="H281" s="91" t="s">
        <v>1114</v>
      </c>
    </row>
    <row r="282" spans="2:8" ht="13.5" customHeight="1">
      <c r="B282" s="85" t="s">
        <v>8253</v>
      </c>
      <c r="D282" s="85" t="s">
        <v>8254</v>
      </c>
      <c r="F282" s="57">
        <v>36</v>
      </c>
      <c r="G282" s="57" t="s">
        <v>500</v>
      </c>
      <c r="H282" s="91" t="s">
        <v>1114</v>
      </c>
    </row>
    <row r="283" spans="2:8" ht="13.5" customHeight="1">
      <c r="B283" s="85" t="s">
        <v>8233</v>
      </c>
      <c r="D283" s="85" t="s">
        <v>8234</v>
      </c>
      <c r="F283" s="57">
        <v>37</v>
      </c>
      <c r="G283" s="57" t="s">
        <v>500</v>
      </c>
      <c r="H283" s="91" t="s">
        <v>1114</v>
      </c>
    </row>
    <row r="284" spans="2:8" ht="13.5" customHeight="1">
      <c r="B284" s="85" t="s">
        <v>8251</v>
      </c>
      <c r="D284" s="85" t="s">
        <v>8252</v>
      </c>
      <c r="F284" s="57">
        <v>60</v>
      </c>
      <c r="G284" s="57" t="s">
        <v>500</v>
      </c>
      <c r="H284" s="91" t="s">
        <v>1114</v>
      </c>
    </row>
    <row r="285" spans="2:8" ht="13.5" customHeight="1">
      <c r="B285" s="85" t="s">
        <v>683</v>
      </c>
      <c r="D285" s="85" t="s">
        <v>8507</v>
      </c>
      <c r="F285" s="57">
        <v>62</v>
      </c>
      <c r="G285" s="57" t="s">
        <v>500</v>
      </c>
      <c r="H285" s="91" t="s">
        <v>1114</v>
      </c>
    </row>
    <row r="286" spans="2:8" ht="13.5" customHeight="1">
      <c r="B286" s="85" t="s">
        <v>8200</v>
      </c>
      <c r="D286" s="85" t="s">
        <v>8201</v>
      </c>
      <c r="F286" s="57">
        <v>85</v>
      </c>
      <c r="G286" s="57" t="s">
        <v>500</v>
      </c>
      <c r="H286" s="91" t="s">
        <v>1114</v>
      </c>
    </row>
    <row r="287" spans="2:8" ht="13.5" customHeight="1">
      <c r="B287" s="85" t="s">
        <v>8212</v>
      </c>
      <c r="D287" s="85" t="s">
        <v>8213</v>
      </c>
      <c r="F287" s="57">
        <v>90</v>
      </c>
      <c r="G287" s="57" t="s">
        <v>500</v>
      </c>
      <c r="H287" s="91" t="s">
        <v>1114</v>
      </c>
    </row>
    <row r="288" spans="2:8" ht="13.5" customHeight="1">
      <c r="B288" s="85" t="s">
        <v>8209</v>
      </c>
      <c r="D288" s="85" t="s">
        <v>1109</v>
      </c>
      <c r="F288" s="57">
        <v>105</v>
      </c>
      <c r="G288" s="57" t="s">
        <v>500</v>
      </c>
      <c r="H288" s="91" t="s">
        <v>1114</v>
      </c>
    </row>
    <row r="289" spans="2:8" ht="13.5" customHeight="1">
      <c r="B289" s="85" t="s">
        <v>8246</v>
      </c>
      <c r="D289" s="85" t="s">
        <v>8247</v>
      </c>
      <c r="F289" s="57">
        <v>114</v>
      </c>
      <c r="G289" s="57" t="s">
        <v>500</v>
      </c>
      <c r="H289" s="91" t="s">
        <v>1114</v>
      </c>
    </row>
    <row r="290" spans="2:8" ht="13.5" customHeight="1">
      <c r="B290" s="85" t="s">
        <v>1542</v>
      </c>
      <c r="D290" s="85" t="s">
        <v>1543</v>
      </c>
      <c r="F290" s="57">
        <v>127</v>
      </c>
      <c r="G290" s="57" t="s">
        <v>500</v>
      </c>
      <c r="H290" s="91" t="s">
        <v>1114</v>
      </c>
    </row>
    <row r="291" spans="2:8" ht="13.5" customHeight="1">
      <c r="B291" s="85" t="s">
        <v>8249</v>
      </c>
      <c r="D291" s="85" t="s">
        <v>8250</v>
      </c>
      <c r="F291" s="57">
        <v>406</v>
      </c>
      <c r="G291" s="57" t="s">
        <v>500</v>
      </c>
      <c r="H291" s="91" t="s">
        <v>1114</v>
      </c>
    </row>
    <row r="292" spans="2:8" ht="13.5" customHeight="1">
      <c r="B292" s="57" t="s">
        <v>8163</v>
      </c>
      <c r="D292" s="57" t="s">
        <v>8164</v>
      </c>
      <c r="F292" s="57">
        <v>7000</v>
      </c>
      <c r="G292" s="57" t="s">
        <v>8165</v>
      </c>
      <c r="H292" s="57" t="s">
        <v>2791</v>
      </c>
    </row>
    <row r="293" spans="2:8" ht="13.5" customHeight="1">
      <c r="B293" s="57" t="s">
        <v>1573</v>
      </c>
      <c r="D293" s="57" t="s">
        <v>1574</v>
      </c>
      <c r="F293" s="57">
        <v>1</v>
      </c>
      <c r="G293" s="57" t="s">
        <v>535</v>
      </c>
      <c r="H293" s="57" t="s">
        <v>363</v>
      </c>
    </row>
    <row r="294" spans="2:8" ht="13.5" customHeight="1">
      <c r="B294" s="57" t="s">
        <v>1567</v>
      </c>
      <c r="D294" s="57" t="s">
        <v>1568</v>
      </c>
      <c r="F294" s="57">
        <v>1</v>
      </c>
      <c r="G294" s="57" t="s">
        <v>535</v>
      </c>
      <c r="H294" s="57" t="s">
        <v>363</v>
      </c>
    </row>
    <row r="295" spans="2:8" ht="13.5" customHeight="1">
      <c r="B295" s="57" t="s">
        <v>1569</v>
      </c>
      <c r="D295" s="57" t="s">
        <v>1570</v>
      </c>
      <c r="F295" s="57">
        <v>1</v>
      </c>
      <c r="G295" s="57" t="s">
        <v>535</v>
      </c>
      <c r="H295" s="57" t="s">
        <v>363</v>
      </c>
    </row>
    <row r="296" spans="2:8" ht="13.5" customHeight="1">
      <c r="B296" s="57" t="s">
        <v>1575</v>
      </c>
      <c r="D296" s="57" t="s">
        <v>1576</v>
      </c>
      <c r="F296" s="57">
        <v>1</v>
      </c>
      <c r="G296" s="57" t="s">
        <v>535</v>
      </c>
      <c r="H296" s="57" t="s">
        <v>363</v>
      </c>
    </row>
    <row r="297" spans="2:8" ht="13.5" customHeight="1">
      <c r="B297" s="57" t="s">
        <v>1565</v>
      </c>
      <c r="D297" s="57" t="s">
        <v>1566</v>
      </c>
      <c r="F297" s="57">
        <v>1</v>
      </c>
      <c r="G297" s="57" t="s">
        <v>535</v>
      </c>
      <c r="H297" s="57" t="s">
        <v>363</v>
      </c>
    </row>
    <row r="298" spans="2:8" ht="13.5" customHeight="1">
      <c r="B298" s="57" t="s">
        <v>1571</v>
      </c>
      <c r="D298" s="57" t="s">
        <v>1572</v>
      </c>
      <c r="F298" s="57">
        <v>1</v>
      </c>
      <c r="G298" s="57" t="s">
        <v>535</v>
      </c>
      <c r="H298" s="57" t="s">
        <v>363</v>
      </c>
    </row>
    <row r="299" spans="2:8" ht="13.5" customHeight="1">
      <c r="B299" s="57" t="s">
        <v>503</v>
      </c>
      <c r="D299" s="57" t="s">
        <v>504</v>
      </c>
      <c r="F299" s="57">
        <v>2</v>
      </c>
      <c r="G299" s="57" t="s">
        <v>535</v>
      </c>
      <c r="H299" s="57" t="s">
        <v>363</v>
      </c>
    </row>
    <row r="300" spans="2:8" ht="13.5" customHeight="1">
      <c r="B300" s="57" t="s">
        <v>1563</v>
      </c>
      <c r="D300" s="57" t="s">
        <v>1564</v>
      </c>
      <c r="F300" s="57">
        <v>2</v>
      </c>
      <c r="G300" s="57" t="s">
        <v>535</v>
      </c>
      <c r="H300" s="57" t="s">
        <v>363</v>
      </c>
    </row>
    <row r="301" spans="2:8" ht="13.5" customHeight="1">
      <c r="B301" s="57" t="s">
        <v>532</v>
      </c>
      <c r="D301" s="57" t="s">
        <v>533</v>
      </c>
      <c r="F301" s="57">
        <v>5</v>
      </c>
      <c r="G301" s="57" t="s">
        <v>535</v>
      </c>
      <c r="H301" s="57" t="s">
        <v>363</v>
      </c>
    </row>
    <row r="302" spans="2:8" ht="13.5" customHeight="1">
      <c r="B302" s="57" t="s">
        <v>513</v>
      </c>
      <c r="D302" s="57" t="s">
        <v>514</v>
      </c>
      <c r="F302" s="57">
        <v>5</v>
      </c>
      <c r="G302" s="57" t="s">
        <v>535</v>
      </c>
      <c r="H302" s="57" t="s">
        <v>363</v>
      </c>
    </row>
    <row r="303" spans="2:8" ht="13.5" customHeight="1">
      <c r="B303" s="57" t="s">
        <v>519</v>
      </c>
      <c r="D303" s="57" t="s">
        <v>520</v>
      </c>
      <c r="F303" s="57">
        <v>5</v>
      </c>
      <c r="G303" s="57" t="s">
        <v>535</v>
      </c>
      <c r="H303" s="57" t="s">
        <v>363</v>
      </c>
    </row>
    <row r="304" spans="2:8" ht="13.5" customHeight="1">
      <c r="B304" s="57" t="s">
        <v>517</v>
      </c>
      <c r="D304" s="57" t="s">
        <v>518</v>
      </c>
      <c r="F304" s="57">
        <v>5</v>
      </c>
      <c r="G304" s="57" t="s">
        <v>535</v>
      </c>
      <c r="H304" s="57" t="s">
        <v>363</v>
      </c>
    </row>
    <row r="305" spans="2:9" ht="13.5" customHeight="1">
      <c r="B305" s="57" t="s">
        <v>505</v>
      </c>
      <c r="D305" s="57" t="s">
        <v>506</v>
      </c>
      <c r="F305" s="57">
        <v>5</v>
      </c>
      <c r="G305" s="57" t="s">
        <v>535</v>
      </c>
      <c r="H305" s="57" t="s">
        <v>363</v>
      </c>
    </row>
    <row r="306" spans="2:9" ht="13.5" customHeight="1">
      <c r="B306" s="57" t="s">
        <v>521</v>
      </c>
      <c r="D306" s="57" t="s">
        <v>522</v>
      </c>
      <c r="F306" s="57">
        <v>5</v>
      </c>
      <c r="G306" s="57" t="s">
        <v>535</v>
      </c>
      <c r="H306" s="57" t="s">
        <v>363</v>
      </c>
    </row>
    <row r="307" spans="2:9" ht="13.5" customHeight="1">
      <c r="B307" s="57" t="s">
        <v>507</v>
      </c>
      <c r="D307" s="57" t="s">
        <v>508</v>
      </c>
      <c r="F307" s="57">
        <v>5</v>
      </c>
      <c r="G307" s="57" t="s">
        <v>535</v>
      </c>
      <c r="H307" s="57" t="s">
        <v>363</v>
      </c>
    </row>
    <row r="308" spans="2:9" ht="13.5" customHeight="1">
      <c r="D308" s="57" t="s">
        <v>534</v>
      </c>
      <c r="F308" s="57">
        <v>8</v>
      </c>
      <c r="G308" s="57" t="s">
        <v>535</v>
      </c>
      <c r="H308" s="57" t="s">
        <v>363</v>
      </c>
    </row>
    <row r="309" spans="2:9" ht="13.5" customHeight="1">
      <c r="B309" s="57" t="s">
        <v>501</v>
      </c>
      <c r="D309" s="57" t="s">
        <v>502</v>
      </c>
      <c r="F309" s="57">
        <v>10</v>
      </c>
      <c r="G309" s="57" t="s">
        <v>535</v>
      </c>
      <c r="H309" s="57" t="s">
        <v>363</v>
      </c>
    </row>
    <row r="310" spans="2:9" ht="13.5" customHeight="1">
      <c r="B310" s="57" t="s">
        <v>525</v>
      </c>
      <c r="D310" s="57" t="s">
        <v>8150</v>
      </c>
      <c r="F310" s="57">
        <v>10</v>
      </c>
      <c r="G310" s="57" t="s">
        <v>535</v>
      </c>
      <c r="H310" s="57" t="s">
        <v>363</v>
      </c>
    </row>
    <row r="311" spans="2:9" ht="13.5" customHeight="1">
      <c r="B311" s="57" t="s">
        <v>511</v>
      </c>
      <c r="D311" s="57" t="s">
        <v>512</v>
      </c>
      <c r="F311" s="57">
        <v>15</v>
      </c>
      <c r="G311" s="57" t="s">
        <v>535</v>
      </c>
      <c r="H311" s="57" t="s">
        <v>363</v>
      </c>
    </row>
    <row r="312" spans="2:9" ht="13.5" customHeight="1">
      <c r="B312" s="57" t="s">
        <v>509</v>
      </c>
      <c r="D312" s="57" t="s">
        <v>510</v>
      </c>
      <c r="F312" s="57">
        <v>20</v>
      </c>
      <c r="G312" s="57" t="s">
        <v>535</v>
      </c>
      <c r="H312" s="57" t="s">
        <v>363</v>
      </c>
    </row>
    <row r="313" spans="2:9" ht="13.5" customHeight="1">
      <c r="B313" s="57" t="s">
        <v>530</v>
      </c>
      <c r="D313" s="57" t="s">
        <v>531</v>
      </c>
      <c r="F313" s="57">
        <v>34</v>
      </c>
      <c r="G313" s="57" t="s">
        <v>535</v>
      </c>
      <c r="H313" s="57" t="s">
        <v>363</v>
      </c>
    </row>
    <row r="314" spans="2:9" ht="13.5" customHeight="1">
      <c r="B314" s="57" t="s">
        <v>526</v>
      </c>
      <c r="D314" s="57" t="s">
        <v>527</v>
      </c>
      <c r="F314" s="57">
        <v>49</v>
      </c>
      <c r="G314" s="57" t="s">
        <v>535</v>
      </c>
      <c r="H314" s="57" t="s">
        <v>363</v>
      </c>
    </row>
    <row r="315" spans="2:9" ht="13.5" customHeight="1">
      <c r="B315" s="57" t="s">
        <v>528</v>
      </c>
      <c r="D315" s="57" t="s">
        <v>529</v>
      </c>
      <c r="F315" s="57">
        <v>60</v>
      </c>
      <c r="G315" s="57" t="s">
        <v>535</v>
      </c>
      <c r="H315" s="57" t="s">
        <v>363</v>
      </c>
    </row>
    <row r="316" spans="2:9" ht="13.5" customHeight="1">
      <c r="B316" s="57" t="s">
        <v>1559</v>
      </c>
      <c r="D316" s="57" t="s">
        <v>1560</v>
      </c>
      <c r="F316" s="57">
        <v>90</v>
      </c>
      <c r="G316" s="57" t="s">
        <v>535</v>
      </c>
      <c r="H316" s="57" t="s">
        <v>363</v>
      </c>
    </row>
    <row r="317" spans="2:9" ht="13.5" customHeight="1">
      <c r="B317" s="57" t="s">
        <v>1561</v>
      </c>
      <c r="D317" s="57" t="s">
        <v>1562</v>
      </c>
      <c r="F317" s="57">
        <v>99</v>
      </c>
      <c r="G317" s="57" t="s">
        <v>535</v>
      </c>
      <c r="H317" s="57" t="s">
        <v>363</v>
      </c>
    </row>
    <row r="318" spans="2:9" ht="13.5" customHeight="1">
      <c r="B318" s="57" t="s">
        <v>523</v>
      </c>
      <c r="D318" s="57" t="s">
        <v>524</v>
      </c>
      <c r="F318" s="57">
        <v>240</v>
      </c>
      <c r="G318" s="57" t="s">
        <v>535</v>
      </c>
      <c r="H318" s="57" t="s">
        <v>363</v>
      </c>
    </row>
    <row r="319" spans="2:9" ht="13.5" customHeight="1">
      <c r="B319" s="57" t="s">
        <v>761</v>
      </c>
      <c r="D319" s="57" t="s">
        <v>762</v>
      </c>
      <c r="F319" s="57">
        <v>2</v>
      </c>
      <c r="G319" s="57" t="s">
        <v>920</v>
      </c>
      <c r="H319" s="57" t="s">
        <v>343</v>
      </c>
    </row>
    <row r="320" spans="2:9" ht="13.5" customHeight="1">
      <c r="B320" s="57" t="s">
        <v>756</v>
      </c>
      <c r="D320" s="57" t="s">
        <v>757</v>
      </c>
      <c r="F320" s="57">
        <v>2</v>
      </c>
      <c r="G320" s="57" t="s">
        <v>920</v>
      </c>
      <c r="H320" s="57" t="s">
        <v>343</v>
      </c>
      <c r="I320" s="57" t="s">
        <v>758</v>
      </c>
    </row>
    <row r="321" spans="2:9" ht="13.5" customHeight="1">
      <c r="B321" s="57" t="s">
        <v>754</v>
      </c>
      <c r="D321" s="57" t="s">
        <v>755</v>
      </c>
      <c r="F321" s="57">
        <v>2</v>
      </c>
      <c r="G321" s="57" t="s">
        <v>920</v>
      </c>
      <c r="H321" s="57" t="s">
        <v>343</v>
      </c>
    </row>
    <row r="322" spans="2:9" ht="13.5" customHeight="1">
      <c r="B322" s="57" t="s">
        <v>763</v>
      </c>
      <c r="D322" s="57" t="s">
        <v>764</v>
      </c>
      <c r="F322" s="57">
        <v>2</v>
      </c>
      <c r="G322" s="57" t="s">
        <v>920</v>
      </c>
      <c r="H322" s="57" t="s">
        <v>343</v>
      </c>
    </row>
    <row r="323" spans="2:9" ht="13.5" customHeight="1">
      <c r="B323" s="57" t="s">
        <v>788</v>
      </c>
      <c r="D323" s="57" t="s">
        <v>789</v>
      </c>
      <c r="F323" s="57">
        <v>5</v>
      </c>
      <c r="G323" s="57" t="s">
        <v>920</v>
      </c>
      <c r="H323" s="57" t="s">
        <v>343</v>
      </c>
    </row>
    <row r="324" spans="2:9" ht="13.5" customHeight="1">
      <c r="B324" s="57" t="s">
        <v>790</v>
      </c>
      <c r="D324" s="57" t="s">
        <v>791</v>
      </c>
      <c r="F324" s="57">
        <v>5</v>
      </c>
      <c r="G324" s="57" t="s">
        <v>920</v>
      </c>
      <c r="H324" s="57" t="s">
        <v>343</v>
      </c>
    </row>
    <row r="325" spans="2:9" ht="13.5" customHeight="1">
      <c r="B325" s="57" t="s">
        <v>778</v>
      </c>
      <c r="D325" s="57" t="s">
        <v>779</v>
      </c>
      <c r="F325" s="57">
        <v>5</v>
      </c>
      <c r="G325" s="57" t="s">
        <v>920</v>
      </c>
      <c r="H325" s="57" t="s">
        <v>343</v>
      </c>
    </row>
    <row r="326" spans="2:9" ht="13.5" customHeight="1">
      <c r="B326" s="57" t="s">
        <v>767</v>
      </c>
      <c r="D326" s="57" t="s">
        <v>768</v>
      </c>
      <c r="F326" s="57">
        <v>5</v>
      </c>
      <c r="G326" s="57" t="s">
        <v>920</v>
      </c>
      <c r="H326" s="57" t="s">
        <v>343</v>
      </c>
      <c r="I326" s="57" t="s">
        <v>769</v>
      </c>
    </row>
    <row r="327" spans="2:9" ht="13.5" customHeight="1">
      <c r="B327" s="57" t="s">
        <v>723</v>
      </c>
      <c r="D327" s="57" t="s">
        <v>724</v>
      </c>
      <c r="F327" s="57">
        <v>6</v>
      </c>
      <c r="G327" s="57" t="s">
        <v>920</v>
      </c>
      <c r="H327" s="57" t="s">
        <v>343</v>
      </c>
    </row>
    <row r="328" spans="2:9" ht="13.5" customHeight="1">
      <c r="B328" s="57" t="s">
        <v>748</v>
      </c>
      <c r="D328" s="57" t="s">
        <v>749</v>
      </c>
      <c r="F328" s="57">
        <v>6</v>
      </c>
      <c r="G328" s="57" t="s">
        <v>920</v>
      </c>
      <c r="H328" s="57" t="s">
        <v>343</v>
      </c>
    </row>
    <row r="329" spans="2:9" ht="13.5" customHeight="1">
      <c r="B329" s="57" t="s">
        <v>715</v>
      </c>
      <c r="D329" s="57" t="s">
        <v>716</v>
      </c>
      <c r="F329" s="57">
        <v>6</v>
      </c>
      <c r="G329" s="57" t="s">
        <v>920</v>
      </c>
      <c r="H329" s="57" t="s">
        <v>343</v>
      </c>
    </row>
    <row r="330" spans="2:9" ht="13.5" customHeight="1">
      <c r="B330" s="57" t="s">
        <v>738</v>
      </c>
      <c r="D330" s="57" t="s">
        <v>739</v>
      </c>
      <c r="F330" s="57">
        <v>7</v>
      </c>
      <c r="G330" s="57" t="s">
        <v>920</v>
      </c>
      <c r="H330" s="57" t="s">
        <v>343</v>
      </c>
    </row>
    <row r="331" spans="2:9" ht="13.5" customHeight="1">
      <c r="B331" s="57" t="s">
        <v>742</v>
      </c>
      <c r="D331" s="57" t="s">
        <v>743</v>
      </c>
      <c r="F331" s="57">
        <v>8</v>
      </c>
      <c r="G331" s="57" t="s">
        <v>920</v>
      </c>
      <c r="H331" s="57" t="s">
        <v>343</v>
      </c>
    </row>
    <row r="332" spans="2:9" ht="13.5" customHeight="1">
      <c r="B332" s="57" t="s">
        <v>725</v>
      </c>
      <c r="D332" s="57" t="s">
        <v>726</v>
      </c>
      <c r="F332" s="57">
        <v>9</v>
      </c>
      <c r="G332" s="57" t="s">
        <v>920</v>
      </c>
      <c r="H332" s="57" t="s">
        <v>343</v>
      </c>
    </row>
    <row r="333" spans="2:9" ht="13.5" customHeight="1">
      <c r="B333" s="57" t="s">
        <v>780</v>
      </c>
      <c r="D333" s="57" t="s">
        <v>781</v>
      </c>
      <c r="F333" s="57">
        <v>10</v>
      </c>
      <c r="G333" s="57" t="s">
        <v>920</v>
      </c>
      <c r="H333" s="57" t="s">
        <v>343</v>
      </c>
    </row>
    <row r="334" spans="2:9" ht="13.5" customHeight="1">
      <c r="B334" s="57" t="s">
        <v>732</v>
      </c>
      <c r="D334" s="57" t="s">
        <v>733</v>
      </c>
      <c r="F334" s="57">
        <v>10</v>
      </c>
      <c r="G334" s="57" t="s">
        <v>920</v>
      </c>
      <c r="H334" s="57" t="s">
        <v>343</v>
      </c>
    </row>
    <row r="335" spans="2:9" ht="13.5" customHeight="1">
      <c r="B335" s="57" t="s">
        <v>728</v>
      </c>
      <c r="D335" s="57" t="s">
        <v>729</v>
      </c>
      <c r="F335" s="57">
        <v>10</v>
      </c>
      <c r="G335" s="57" t="s">
        <v>920</v>
      </c>
      <c r="H335" s="57" t="s">
        <v>343</v>
      </c>
    </row>
    <row r="336" spans="2:9" ht="13.5" customHeight="1">
      <c r="B336" s="57" t="s">
        <v>734</v>
      </c>
      <c r="D336" s="57" t="s">
        <v>735</v>
      </c>
      <c r="F336" s="57">
        <v>10</v>
      </c>
      <c r="G336" s="57" t="s">
        <v>920</v>
      </c>
      <c r="H336" s="57" t="s">
        <v>343</v>
      </c>
    </row>
    <row r="337" spans="2:8" ht="13.5" customHeight="1">
      <c r="B337" s="57" t="s">
        <v>730</v>
      </c>
      <c r="D337" s="57" t="s">
        <v>731</v>
      </c>
      <c r="F337" s="57">
        <v>10</v>
      </c>
      <c r="G337" s="57" t="s">
        <v>920</v>
      </c>
      <c r="H337" s="57" t="s">
        <v>343</v>
      </c>
    </row>
    <row r="338" spans="2:8" ht="13.5" customHeight="1">
      <c r="B338" s="57" t="s">
        <v>736</v>
      </c>
      <c r="D338" s="57" t="s">
        <v>737</v>
      </c>
      <c r="F338" s="57">
        <v>10</v>
      </c>
      <c r="G338" s="57" t="s">
        <v>920</v>
      </c>
      <c r="H338" s="57" t="s">
        <v>343</v>
      </c>
    </row>
    <row r="339" spans="2:8" ht="13.5" customHeight="1">
      <c r="B339" s="57" t="s">
        <v>750</v>
      </c>
      <c r="D339" s="57" t="s">
        <v>751</v>
      </c>
      <c r="F339" s="57">
        <v>10</v>
      </c>
      <c r="G339" s="57" t="s">
        <v>920</v>
      </c>
      <c r="H339" s="57" t="s">
        <v>343</v>
      </c>
    </row>
    <row r="340" spans="2:8" ht="13.5" customHeight="1">
      <c r="B340" s="57" t="s">
        <v>744</v>
      </c>
      <c r="D340" s="57" t="s">
        <v>745</v>
      </c>
      <c r="F340" s="57">
        <v>10</v>
      </c>
      <c r="G340" s="57" t="s">
        <v>920</v>
      </c>
      <c r="H340" s="57" t="s">
        <v>343</v>
      </c>
    </row>
    <row r="341" spans="2:8" ht="13.5" customHeight="1">
      <c r="B341" s="57" t="s">
        <v>782</v>
      </c>
      <c r="D341" s="57" t="s">
        <v>783</v>
      </c>
      <c r="F341" s="57">
        <v>10</v>
      </c>
      <c r="G341" s="57" t="s">
        <v>920</v>
      </c>
      <c r="H341" s="57" t="s">
        <v>343</v>
      </c>
    </row>
    <row r="342" spans="2:8" ht="13.5" customHeight="1">
      <c r="B342" s="57" t="s">
        <v>786</v>
      </c>
      <c r="D342" s="57" t="s">
        <v>787</v>
      </c>
      <c r="F342" s="57">
        <v>10</v>
      </c>
      <c r="G342" s="57" t="s">
        <v>920</v>
      </c>
      <c r="H342" s="57" t="s">
        <v>343</v>
      </c>
    </row>
    <row r="343" spans="2:8" ht="13.5" customHeight="1">
      <c r="B343" s="57" t="s">
        <v>719</v>
      </c>
      <c r="D343" s="57" t="s">
        <v>720</v>
      </c>
      <c r="F343" s="57">
        <v>10</v>
      </c>
      <c r="G343" s="57" t="s">
        <v>920</v>
      </c>
      <c r="H343" s="57" t="s">
        <v>343</v>
      </c>
    </row>
    <row r="344" spans="2:8" ht="13.5" customHeight="1">
      <c r="B344" s="57" t="s">
        <v>752</v>
      </c>
      <c r="D344" s="57" t="s">
        <v>753</v>
      </c>
      <c r="F344" s="57">
        <v>11</v>
      </c>
      <c r="G344" s="57" t="s">
        <v>920</v>
      </c>
      <c r="H344" s="57" t="s">
        <v>343</v>
      </c>
    </row>
    <row r="345" spans="2:8" ht="13.5" customHeight="1">
      <c r="B345" s="57" t="s">
        <v>776</v>
      </c>
      <c r="D345" s="57" t="s">
        <v>777</v>
      </c>
      <c r="F345" s="57">
        <v>12</v>
      </c>
      <c r="G345" s="57" t="s">
        <v>920</v>
      </c>
      <c r="H345" s="57" t="s">
        <v>343</v>
      </c>
    </row>
    <row r="346" spans="2:8" ht="13.5" customHeight="1">
      <c r="B346" s="57" t="s">
        <v>700</v>
      </c>
      <c r="D346" s="57" t="s">
        <v>701</v>
      </c>
      <c r="F346" s="57">
        <v>19</v>
      </c>
      <c r="G346" s="57" t="s">
        <v>920</v>
      </c>
      <c r="H346" s="57" t="s">
        <v>343</v>
      </c>
    </row>
    <row r="347" spans="2:8" ht="13.5" customHeight="1">
      <c r="B347" s="57" t="s">
        <v>784</v>
      </c>
      <c r="D347" s="57" t="s">
        <v>785</v>
      </c>
      <c r="F347" s="57">
        <v>20</v>
      </c>
      <c r="G347" s="57" t="s">
        <v>920</v>
      </c>
      <c r="H347" s="57" t="s">
        <v>343</v>
      </c>
    </row>
    <row r="348" spans="2:8" ht="13.5" customHeight="1">
      <c r="B348" s="57" t="s">
        <v>698</v>
      </c>
      <c r="D348" s="57" t="s">
        <v>699</v>
      </c>
      <c r="F348" s="57">
        <v>20</v>
      </c>
      <c r="G348" s="57" t="s">
        <v>920</v>
      </c>
      <c r="H348" s="57" t="s">
        <v>343</v>
      </c>
    </row>
    <row r="349" spans="2:8" ht="13.5" customHeight="1">
      <c r="B349" s="57" t="s">
        <v>721</v>
      </c>
      <c r="D349" s="57" t="s">
        <v>722</v>
      </c>
      <c r="F349" s="57">
        <v>20</v>
      </c>
      <c r="G349" s="57" t="s">
        <v>920</v>
      </c>
      <c r="H349" s="57" t="s">
        <v>343</v>
      </c>
    </row>
    <row r="350" spans="2:8" ht="13.5" customHeight="1">
      <c r="B350" s="57" t="s">
        <v>709</v>
      </c>
      <c r="D350" s="57" t="s">
        <v>710</v>
      </c>
      <c r="F350" s="57">
        <v>20</v>
      </c>
      <c r="G350" s="57" t="s">
        <v>920</v>
      </c>
      <c r="H350" s="57" t="s">
        <v>343</v>
      </c>
    </row>
    <row r="351" spans="2:8" ht="13.5" customHeight="1">
      <c r="B351" s="57" t="s">
        <v>711</v>
      </c>
      <c r="D351" s="57" t="s">
        <v>712</v>
      </c>
      <c r="F351" s="57">
        <v>20</v>
      </c>
      <c r="G351" s="57" t="s">
        <v>920</v>
      </c>
      <c r="H351" s="57" t="s">
        <v>343</v>
      </c>
    </row>
    <row r="352" spans="2:8" ht="13.5" customHeight="1">
      <c r="B352" s="57" t="s">
        <v>713</v>
      </c>
      <c r="D352" s="57" t="s">
        <v>714</v>
      </c>
      <c r="F352" s="57">
        <v>20</v>
      </c>
      <c r="G352" s="57" t="s">
        <v>920</v>
      </c>
      <c r="H352" s="57" t="s">
        <v>343</v>
      </c>
    </row>
    <row r="353" spans="2:8" ht="13.5" customHeight="1">
      <c r="B353" s="57" t="s">
        <v>795</v>
      </c>
      <c r="D353" s="57" t="s">
        <v>796</v>
      </c>
      <c r="F353" s="57">
        <v>20</v>
      </c>
      <c r="G353" s="57" t="s">
        <v>920</v>
      </c>
      <c r="H353" s="57" t="s">
        <v>343</v>
      </c>
    </row>
    <row r="354" spans="2:8" ht="13.5" customHeight="1">
      <c r="B354" s="57" t="s">
        <v>746</v>
      </c>
      <c r="D354" s="57" t="s">
        <v>747</v>
      </c>
      <c r="F354" s="57">
        <v>20</v>
      </c>
      <c r="G354" s="57" t="s">
        <v>920</v>
      </c>
      <c r="H354" s="57" t="s">
        <v>343</v>
      </c>
    </row>
    <row r="355" spans="2:8" ht="13.5" customHeight="1">
      <c r="B355" s="57" t="s">
        <v>797</v>
      </c>
      <c r="D355" s="57" t="s">
        <v>798</v>
      </c>
      <c r="F355" s="57">
        <v>20</v>
      </c>
      <c r="G355" s="57" t="s">
        <v>920</v>
      </c>
      <c r="H355" s="57" t="s">
        <v>343</v>
      </c>
    </row>
    <row r="356" spans="2:8" ht="13.5" customHeight="1">
      <c r="B356" s="57" t="s">
        <v>661</v>
      </c>
      <c r="D356" s="57" t="s">
        <v>662</v>
      </c>
      <c r="F356" s="57">
        <v>29</v>
      </c>
      <c r="G356" s="57" t="s">
        <v>920</v>
      </c>
      <c r="H356" s="57" t="s">
        <v>343</v>
      </c>
    </row>
    <row r="357" spans="2:8" ht="13.5" customHeight="1">
      <c r="B357" s="57" t="s">
        <v>669</v>
      </c>
      <c r="D357" s="57" t="s">
        <v>670</v>
      </c>
      <c r="F357" s="57">
        <v>2</v>
      </c>
      <c r="G357" s="57" t="s">
        <v>920</v>
      </c>
      <c r="H357" s="57" t="s">
        <v>344</v>
      </c>
    </row>
    <row r="358" spans="2:8" ht="13.5" customHeight="1">
      <c r="B358" s="57" t="s">
        <v>686</v>
      </c>
      <c r="D358" s="57" t="s">
        <v>687</v>
      </c>
      <c r="F358" s="57">
        <v>3</v>
      </c>
      <c r="G358" s="57" t="s">
        <v>920</v>
      </c>
      <c r="H358" s="57" t="s">
        <v>344</v>
      </c>
    </row>
    <row r="359" spans="2:8" ht="13.5" customHeight="1">
      <c r="B359" s="57" t="s">
        <v>907</v>
      </c>
      <c r="D359" s="57" t="s">
        <v>908</v>
      </c>
      <c r="F359" s="57">
        <v>4</v>
      </c>
      <c r="G359" s="57" t="s">
        <v>920</v>
      </c>
      <c r="H359" s="57" t="s">
        <v>344</v>
      </c>
    </row>
    <row r="360" spans="2:8" ht="13.5" customHeight="1">
      <c r="B360" s="57" t="s">
        <v>667</v>
      </c>
      <c r="D360" s="57" t="s">
        <v>668</v>
      </c>
      <c r="F360" s="57">
        <v>4</v>
      </c>
      <c r="G360" s="57" t="s">
        <v>920</v>
      </c>
      <c r="H360" s="57" t="s">
        <v>344</v>
      </c>
    </row>
    <row r="361" spans="2:8" ht="13.5" customHeight="1">
      <c r="B361" s="57" t="s">
        <v>793</v>
      </c>
      <c r="D361" s="57" t="s">
        <v>794</v>
      </c>
      <c r="F361" s="57">
        <v>4</v>
      </c>
      <c r="G361" s="57" t="s">
        <v>920</v>
      </c>
      <c r="H361" s="57" t="s">
        <v>344</v>
      </c>
    </row>
    <row r="362" spans="2:8" ht="13.5" customHeight="1">
      <c r="B362" s="57" t="s">
        <v>677</v>
      </c>
      <c r="D362" s="57" t="s">
        <v>678</v>
      </c>
      <c r="F362" s="57">
        <v>4</v>
      </c>
      <c r="G362" s="57" t="s">
        <v>920</v>
      </c>
      <c r="H362" s="57" t="s">
        <v>344</v>
      </c>
    </row>
    <row r="363" spans="2:8" ht="13.5" customHeight="1">
      <c r="B363" s="57" t="s">
        <v>887</v>
      </c>
      <c r="D363" s="57" t="s">
        <v>888</v>
      </c>
      <c r="F363" s="57">
        <v>7</v>
      </c>
      <c r="G363" s="57" t="s">
        <v>920</v>
      </c>
      <c r="H363" s="57" t="s">
        <v>344</v>
      </c>
    </row>
    <row r="364" spans="2:8" ht="13.5" customHeight="1">
      <c r="B364" s="57" t="s">
        <v>862</v>
      </c>
      <c r="D364" s="57" t="s">
        <v>863</v>
      </c>
      <c r="F364" s="57">
        <v>8</v>
      </c>
      <c r="G364" s="57" t="s">
        <v>920</v>
      </c>
      <c r="H364" s="57" t="s">
        <v>344</v>
      </c>
    </row>
    <row r="365" spans="2:8" ht="13.5" customHeight="1">
      <c r="B365" s="57" t="s">
        <v>864</v>
      </c>
      <c r="D365" s="57" t="s">
        <v>865</v>
      </c>
      <c r="F365" s="57">
        <v>8</v>
      </c>
      <c r="G365" s="57" t="s">
        <v>920</v>
      </c>
      <c r="H365" s="57" t="s">
        <v>344</v>
      </c>
    </row>
    <row r="366" spans="2:8" ht="13.5" customHeight="1">
      <c r="B366" s="57" t="s">
        <v>860</v>
      </c>
      <c r="D366" s="57" t="s">
        <v>861</v>
      </c>
      <c r="F366" s="57">
        <v>9</v>
      </c>
      <c r="G366" s="57" t="s">
        <v>920</v>
      </c>
      <c r="H366" s="57" t="s">
        <v>344</v>
      </c>
    </row>
    <row r="367" spans="2:8" ht="13.5" customHeight="1">
      <c r="B367" s="57" t="s">
        <v>916</v>
      </c>
      <c r="D367" s="57" t="s">
        <v>917</v>
      </c>
      <c r="F367" s="57">
        <v>9</v>
      </c>
      <c r="G367" s="57" t="s">
        <v>920</v>
      </c>
      <c r="H367" s="57" t="s">
        <v>344</v>
      </c>
    </row>
    <row r="368" spans="2:8" ht="13.5" customHeight="1">
      <c r="B368" s="57" t="s">
        <v>823</v>
      </c>
      <c r="D368" s="57" t="s">
        <v>915</v>
      </c>
      <c r="F368" s="57">
        <v>9</v>
      </c>
      <c r="G368" s="57" t="s">
        <v>920</v>
      </c>
      <c r="H368" s="57" t="s">
        <v>344</v>
      </c>
    </row>
    <row r="369" spans="2:8" ht="13.5" customHeight="1">
      <c r="B369" s="57" t="s">
        <v>688</v>
      </c>
      <c r="D369" s="57" t="s">
        <v>689</v>
      </c>
      <c r="F369" s="57">
        <v>9</v>
      </c>
      <c r="G369" s="57" t="s">
        <v>920</v>
      </c>
      <c r="H369" s="57" t="s">
        <v>344</v>
      </c>
    </row>
    <row r="370" spans="2:8" ht="13.5" customHeight="1">
      <c r="B370" s="57" t="s">
        <v>889</v>
      </c>
      <c r="D370" s="57" t="s">
        <v>890</v>
      </c>
      <c r="F370" s="57">
        <v>9</v>
      </c>
      <c r="G370" s="57" t="s">
        <v>920</v>
      </c>
      <c r="H370" s="57" t="s">
        <v>344</v>
      </c>
    </row>
    <row r="371" spans="2:8" ht="13.5" customHeight="1">
      <c r="B371" s="57" t="s">
        <v>891</v>
      </c>
      <c r="D371" s="57" t="s">
        <v>892</v>
      </c>
      <c r="F371" s="57">
        <v>9</v>
      </c>
      <c r="G371" s="57" t="s">
        <v>920</v>
      </c>
      <c r="H371" s="57" t="s">
        <v>344</v>
      </c>
    </row>
    <row r="372" spans="2:8" ht="13.5" customHeight="1">
      <c r="B372" s="57" t="s">
        <v>697</v>
      </c>
      <c r="D372" s="57" t="s">
        <v>696</v>
      </c>
      <c r="F372" s="57">
        <v>10</v>
      </c>
      <c r="G372" s="57" t="s">
        <v>920</v>
      </c>
      <c r="H372" s="57" t="s">
        <v>344</v>
      </c>
    </row>
    <row r="373" spans="2:8" ht="13.5" customHeight="1">
      <c r="B373" s="57" t="s">
        <v>856</v>
      </c>
      <c r="D373" s="57" t="s">
        <v>857</v>
      </c>
      <c r="F373" s="57">
        <v>10</v>
      </c>
      <c r="G373" s="57" t="s">
        <v>920</v>
      </c>
      <c r="H373" s="57" t="s">
        <v>344</v>
      </c>
    </row>
    <row r="374" spans="2:8" ht="13.5" customHeight="1">
      <c r="B374" s="57" t="s">
        <v>495</v>
      </c>
      <c r="D374" s="57" t="s">
        <v>496</v>
      </c>
      <c r="F374" s="57">
        <v>10</v>
      </c>
      <c r="G374" s="57" t="s">
        <v>920</v>
      </c>
      <c r="H374" s="57" t="s">
        <v>344</v>
      </c>
    </row>
    <row r="375" spans="2:8" ht="13.5" customHeight="1">
      <c r="B375" s="57" t="s">
        <v>376</v>
      </c>
      <c r="D375" s="57" t="s">
        <v>911</v>
      </c>
      <c r="F375" s="57">
        <v>10</v>
      </c>
      <c r="G375" s="57" t="s">
        <v>920</v>
      </c>
      <c r="H375" s="57" t="s">
        <v>344</v>
      </c>
    </row>
    <row r="376" spans="2:8" ht="13.5" customHeight="1">
      <c r="B376" s="57" t="s">
        <v>893</v>
      </c>
      <c r="D376" s="57" t="s">
        <v>894</v>
      </c>
      <c r="F376" s="57">
        <v>10</v>
      </c>
      <c r="G376" s="57" t="s">
        <v>920</v>
      </c>
      <c r="H376" s="57" t="s">
        <v>344</v>
      </c>
    </row>
    <row r="377" spans="2:8" ht="13.5" customHeight="1">
      <c r="B377" s="57" t="s">
        <v>872</v>
      </c>
      <c r="D377" s="57" t="s">
        <v>873</v>
      </c>
      <c r="F377" s="57">
        <v>10</v>
      </c>
      <c r="G377" s="57" t="s">
        <v>920</v>
      </c>
      <c r="H377" s="57" t="s">
        <v>344</v>
      </c>
    </row>
    <row r="378" spans="2:8" ht="13.5" customHeight="1">
      <c r="B378" s="57" t="s">
        <v>692</v>
      </c>
      <c r="D378" s="57" t="s">
        <v>693</v>
      </c>
      <c r="F378" s="57">
        <v>12</v>
      </c>
      <c r="G378" s="57" t="s">
        <v>920</v>
      </c>
      <c r="H378" s="57" t="s">
        <v>344</v>
      </c>
    </row>
    <row r="379" spans="2:8" ht="13.5" customHeight="1">
      <c r="B379" s="57" t="s">
        <v>690</v>
      </c>
      <c r="D379" s="57" t="s">
        <v>691</v>
      </c>
      <c r="F379" s="57">
        <v>12</v>
      </c>
      <c r="G379" s="57" t="s">
        <v>920</v>
      </c>
      <c r="H379" s="57" t="s">
        <v>344</v>
      </c>
    </row>
    <row r="380" spans="2:8" ht="13.5" customHeight="1">
      <c r="B380" s="57" t="s">
        <v>663</v>
      </c>
      <c r="D380" s="57" t="s">
        <v>664</v>
      </c>
      <c r="F380" s="57">
        <v>14</v>
      </c>
      <c r="G380" s="57" t="s">
        <v>920</v>
      </c>
      <c r="H380" s="57" t="s">
        <v>344</v>
      </c>
    </row>
    <row r="381" spans="2:8" ht="13.5" customHeight="1">
      <c r="B381" s="57" t="s">
        <v>881</v>
      </c>
      <c r="D381" s="57" t="s">
        <v>882</v>
      </c>
      <c r="F381" s="57">
        <v>17</v>
      </c>
      <c r="G381" s="57" t="s">
        <v>920</v>
      </c>
      <c r="H381" s="57" t="s">
        <v>344</v>
      </c>
    </row>
    <row r="382" spans="2:8" ht="13.5" customHeight="1">
      <c r="B382" s="57" t="s">
        <v>673</v>
      </c>
      <c r="D382" s="57" t="s">
        <v>674</v>
      </c>
      <c r="F382" s="57">
        <v>18</v>
      </c>
      <c r="G382" s="57" t="s">
        <v>920</v>
      </c>
      <c r="H382" s="57" t="s">
        <v>344</v>
      </c>
    </row>
    <row r="383" spans="2:8" ht="13.5" customHeight="1">
      <c r="B383" s="57" t="s">
        <v>679</v>
      </c>
      <c r="D383" s="57" t="s">
        <v>680</v>
      </c>
      <c r="F383" s="57">
        <v>20</v>
      </c>
      <c r="G383" s="57" t="s">
        <v>920</v>
      </c>
      <c r="H383" s="57" t="s">
        <v>344</v>
      </c>
    </row>
    <row r="384" spans="2:8" ht="13.5" customHeight="1">
      <c r="B384" s="57" t="s">
        <v>665</v>
      </c>
      <c r="D384" s="57" t="s">
        <v>666</v>
      </c>
      <c r="F384" s="57">
        <v>25</v>
      </c>
      <c r="G384" s="57" t="s">
        <v>920</v>
      </c>
      <c r="H384" s="57" t="s">
        <v>344</v>
      </c>
    </row>
    <row r="385" spans="2:8" ht="13.5" customHeight="1">
      <c r="B385" s="57" t="s">
        <v>683</v>
      </c>
      <c r="D385" s="57" t="s">
        <v>684</v>
      </c>
      <c r="F385" s="57">
        <v>26</v>
      </c>
      <c r="G385" s="57" t="s">
        <v>920</v>
      </c>
      <c r="H385" s="57" t="s">
        <v>344</v>
      </c>
    </row>
    <row r="386" spans="2:8" ht="13.5" customHeight="1">
      <c r="B386" s="57" t="s">
        <v>675</v>
      </c>
      <c r="D386" s="57" t="s">
        <v>676</v>
      </c>
      <c r="F386" s="57">
        <v>28</v>
      </c>
      <c r="G386" s="57" t="s">
        <v>920</v>
      </c>
      <c r="H386" s="57" t="s">
        <v>344</v>
      </c>
    </row>
    <row r="387" spans="2:8" ht="13.5" customHeight="1">
      <c r="B387" s="57" t="s">
        <v>671</v>
      </c>
      <c r="D387" s="57" t="s">
        <v>672</v>
      </c>
      <c r="F387" s="57">
        <v>29</v>
      </c>
      <c r="G387" s="57" t="s">
        <v>920</v>
      </c>
      <c r="H387" s="57" t="s">
        <v>344</v>
      </c>
    </row>
    <row r="388" spans="2:8" ht="13.5" customHeight="1">
      <c r="B388" s="57" t="s">
        <v>681</v>
      </c>
      <c r="D388" s="57" t="s">
        <v>682</v>
      </c>
      <c r="F388" s="57">
        <v>35</v>
      </c>
      <c r="G388" s="57" t="s">
        <v>920</v>
      </c>
      <c r="H388" s="57" t="s">
        <v>344</v>
      </c>
    </row>
    <row r="389" spans="2:8" ht="13.5" customHeight="1">
      <c r="B389" s="57" t="s">
        <v>659</v>
      </c>
      <c r="D389" s="57" t="s">
        <v>660</v>
      </c>
      <c r="F389" s="57">
        <v>35</v>
      </c>
      <c r="G389" s="57" t="s">
        <v>920</v>
      </c>
      <c r="H389" s="57" t="s">
        <v>344</v>
      </c>
    </row>
    <row r="390" spans="2:8" ht="13.5" customHeight="1">
      <c r="B390" s="57" t="s">
        <v>428</v>
      </c>
      <c r="D390" s="57" t="s">
        <v>685</v>
      </c>
      <c r="F390" s="57">
        <v>39</v>
      </c>
      <c r="G390" s="57" t="s">
        <v>920</v>
      </c>
      <c r="H390" s="57" t="s">
        <v>344</v>
      </c>
    </row>
    <row r="391" spans="2:8" ht="13.5" customHeight="1">
      <c r="B391" s="68" t="s">
        <v>858</v>
      </c>
      <c r="D391" s="57" t="s">
        <v>859</v>
      </c>
      <c r="F391" s="57">
        <v>1</v>
      </c>
      <c r="G391" s="57" t="s">
        <v>920</v>
      </c>
      <c r="H391" s="57" t="s">
        <v>345</v>
      </c>
    </row>
    <row r="392" spans="2:8" ht="13.5" customHeight="1">
      <c r="B392" s="57" t="s">
        <v>657</v>
      </c>
      <c r="D392" s="57" t="s">
        <v>658</v>
      </c>
      <c r="F392" s="57">
        <v>2</v>
      </c>
      <c r="G392" s="57" t="s">
        <v>920</v>
      </c>
      <c r="H392" s="57" t="s">
        <v>345</v>
      </c>
    </row>
    <row r="393" spans="2:8" ht="13.5" customHeight="1">
      <c r="B393" s="57" t="s">
        <v>694</v>
      </c>
      <c r="D393" s="57" t="s">
        <v>695</v>
      </c>
      <c r="E393" s="57" t="s">
        <v>696</v>
      </c>
      <c r="F393" s="57">
        <v>2</v>
      </c>
      <c r="G393" s="57" t="s">
        <v>920</v>
      </c>
      <c r="H393" s="57" t="s">
        <v>345</v>
      </c>
    </row>
    <row r="394" spans="2:8" ht="13.5" customHeight="1">
      <c r="B394" s="57" t="s">
        <v>902</v>
      </c>
      <c r="D394" s="57" t="s">
        <v>903</v>
      </c>
      <c r="F394" s="57">
        <v>3</v>
      </c>
      <c r="G394" s="57" t="s">
        <v>920</v>
      </c>
      <c r="H394" s="57" t="s">
        <v>345</v>
      </c>
    </row>
    <row r="395" spans="2:8" ht="13.5" customHeight="1">
      <c r="B395" s="57" t="s">
        <v>885</v>
      </c>
      <c r="D395" s="57" t="s">
        <v>886</v>
      </c>
      <c r="F395" s="57">
        <v>5</v>
      </c>
      <c r="G395" s="57" t="s">
        <v>920</v>
      </c>
      <c r="H395" s="57" t="s">
        <v>345</v>
      </c>
    </row>
    <row r="396" spans="2:8" ht="13.5" customHeight="1">
      <c r="B396" s="57" t="s">
        <v>900</v>
      </c>
      <c r="D396" s="57" t="s">
        <v>901</v>
      </c>
      <c r="F396" s="57">
        <v>5</v>
      </c>
      <c r="G396" s="57" t="s">
        <v>920</v>
      </c>
      <c r="H396" s="57" t="s">
        <v>345</v>
      </c>
    </row>
    <row r="397" spans="2:8" ht="13.5" customHeight="1">
      <c r="B397" s="57" t="s">
        <v>898</v>
      </c>
      <c r="D397" s="57" t="s">
        <v>899</v>
      </c>
      <c r="F397" s="57">
        <v>5</v>
      </c>
      <c r="G397" s="57" t="s">
        <v>920</v>
      </c>
      <c r="H397" s="57" t="s">
        <v>345</v>
      </c>
    </row>
    <row r="398" spans="2:8" ht="13.5" customHeight="1">
      <c r="B398" s="57" t="s">
        <v>883</v>
      </c>
      <c r="D398" s="57" t="s">
        <v>884</v>
      </c>
      <c r="F398" s="57">
        <v>5</v>
      </c>
      <c r="G398" s="57" t="s">
        <v>920</v>
      </c>
      <c r="H398" s="57" t="s">
        <v>345</v>
      </c>
    </row>
    <row r="399" spans="2:8" ht="13.5" customHeight="1">
      <c r="B399" s="57" t="s">
        <v>905</v>
      </c>
      <c r="D399" s="57" t="s">
        <v>906</v>
      </c>
      <c r="F399" s="57">
        <v>5</v>
      </c>
      <c r="G399" s="57" t="s">
        <v>920</v>
      </c>
      <c r="H399" s="57" t="s">
        <v>345</v>
      </c>
    </row>
    <row r="400" spans="2:8" ht="13.5" customHeight="1">
      <c r="B400" s="57" t="s">
        <v>876</v>
      </c>
      <c r="D400" s="57" t="s">
        <v>877</v>
      </c>
      <c r="F400" s="57">
        <v>7</v>
      </c>
      <c r="G400" s="57" t="s">
        <v>920</v>
      </c>
      <c r="H400" s="57" t="s">
        <v>345</v>
      </c>
    </row>
    <row r="401" spans="2:8" ht="13.5" customHeight="1">
      <c r="B401" s="57" t="s">
        <v>868</v>
      </c>
      <c r="D401" s="57" t="s">
        <v>869</v>
      </c>
      <c r="F401" s="57">
        <v>8</v>
      </c>
      <c r="G401" s="57" t="s">
        <v>920</v>
      </c>
      <c r="H401" s="57" t="s">
        <v>345</v>
      </c>
    </row>
    <row r="402" spans="2:8" ht="13.5" customHeight="1">
      <c r="B402" s="57" t="s">
        <v>815</v>
      </c>
      <c r="D402" s="57" t="s">
        <v>816</v>
      </c>
      <c r="F402" s="57">
        <v>9</v>
      </c>
      <c r="G402" s="57" t="s">
        <v>920</v>
      </c>
      <c r="H402" s="57" t="s">
        <v>345</v>
      </c>
    </row>
    <row r="403" spans="2:8" ht="13.5" customHeight="1">
      <c r="B403" s="57" t="s">
        <v>866</v>
      </c>
      <c r="D403" s="57" t="s">
        <v>867</v>
      </c>
      <c r="F403" s="57">
        <v>9</v>
      </c>
      <c r="G403" s="57" t="s">
        <v>920</v>
      </c>
      <c r="H403" s="57" t="s">
        <v>345</v>
      </c>
    </row>
    <row r="404" spans="2:8" ht="13.5" customHeight="1">
      <c r="B404" s="57" t="s">
        <v>870</v>
      </c>
      <c r="D404" s="57" t="s">
        <v>871</v>
      </c>
      <c r="F404" s="57">
        <v>9</v>
      </c>
      <c r="G404" s="57" t="s">
        <v>920</v>
      </c>
      <c r="H404" s="57" t="s">
        <v>345</v>
      </c>
    </row>
    <row r="405" spans="2:8" ht="13.5" customHeight="1">
      <c r="B405" s="57" t="s">
        <v>912</v>
      </c>
      <c r="D405" s="57" t="s">
        <v>913</v>
      </c>
      <c r="F405" s="57">
        <v>9</v>
      </c>
      <c r="G405" s="57" t="s">
        <v>920</v>
      </c>
      <c r="H405" s="57" t="s">
        <v>345</v>
      </c>
    </row>
    <row r="406" spans="2:8" ht="13.5" customHeight="1">
      <c r="B406" s="57" t="s">
        <v>909</v>
      </c>
      <c r="D406" s="57" t="s">
        <v>910</v>
      </c>
      <c r="F406" s="57">
        <v>9</v>
      </c>
      <c r="G406" s="57" t="s">
        <v>920</v>
      </c>
      <c r="H406" s="57" t="s">
        <v>345</v>
      </c>
    </row>
    <row r="407" spans="2:8" ht="13.5" customHeight="1">
      <c r="B407" s="57" t="s">
        <v>366</v>
      </c>
      <c r="D407" s="57" t="s">
        <v>880</v>
      </c>
      <c r="F407" s="57">
        <v>10</v>
      </c>
      <c r="G407" s="57" t="s">
        <v>920</v>
      </c>
      <c r="H407" s="57" t="s">
        <v>345</v>
      </c>
    </row>
    <row r="408" spans="2:8" ht="13.5" customHeight="1">
      <c r="B408" s="57" t="s">
        <v>874</v>
      </c>
      <c r="D408" s="57" t="s">
        <v>875</v>
      </c>
      <c r="F408" s="57">
        <v>10</v>
      </c>
      <c r="G408" s="57" t="s">
        <v>920</v>
      </c>
      <c r="H408" s="57" t="s">
        <v>345</v>
      </c>
    </row>
    <row r="409" spans="2:8" ht="13.5" customHeight="1">
      <c r="B409" s="57" t="s">
        <v>819</v>
      </c>
      <c r="D409" s="57" t="s">
        <v>820</v>
      </c>
      <c r="F409" s="57">
        <v>10</v>
      </c>
      <c r="G409" s="57" t="s">
        <v>920</v>
      </c>
      <c r="H409" s="57" t="s">
        <v>345</v>
      </c>
    </row>
    <row r="410" spans="2:8" ht="13.5" customHeight="1">
      <c r="B410" s="57" t="s">
        <v>878</v>
      </c>
      <c r="D410" s="57" t="s">
        <v>879</v>
      </c>
      <c r="F410" s="57">
        <v>10</v>
      </c>
      <c r="G410" s="57" t="s">
        <v>920</v>
      </c>
      <c r="H410" s="57" t="s">
        <v>345</v>
      </c>
    </row>
    <row r="411" spans="2:8" ht="13.5" customHeight="1">
      <c r="B411" s="57" t="s">
        <v>817</v>
      </c>
      <c r="D411" s="57" t="s">
        <v>818</v>
      </c>
      <c r="F411" s="57">
        <v>18</v>
      </c>
      <c r="G411" s="57" t="s">
        <v>920</v>
      </c>
      <c r="H411" s="57" t="s">
        <v>345</v>
      </c>
    </row>
    <row r="412" spans="2:8" ht="13.5" customHeight="1">
      <c r="B412" s="57" t="s">
        <v>799</v>
      </c>
      <c r="D412" s="57" t="s">
        <v>800</v>
      </c>
      <c r="F412" s="57">
        <v>20</v>
      </c>
      <c r="G412" s="57" t="s">
        <v>920</v>
      </c>
      <c r="H412" s="57" t="s">
        <v>345</v>
      </c>
    </row>
    <row r="413" spans="2:8" ht="13.5" customHeight="1">
      <c r="B413" s="57" t="s">
        <v>914</v>
      </c>
      <c r="F413" s="57">
        <v>31</v>
      </c>
      <c r="G413" s="57" t="s">
        <v>920</v>
      </c>
      <c r="H413" s="57" t="s">
        <v>345</v>
      </c>
    </row>
    <row r="414" spans="2:8" ht="13.5" customHeight="1">
      <c r="B414" s="57" t="s">
        <v>653</v>
      </c>
      <c r="D414" s="57" t="s">
        <v>655</v>
      </c>
      <c r="F414" s="57">
        <v>46</v>
      </c>
      <c r="G414" s="57" t="s">
        <v>920</v>
      </c>
      <c r="H414" s="57" t="s">
        <v>345</v>
      </c>
    </row>
    <row r="415" spans="2:8" ht="13.5" customHeight="1">
      <c r="B415" s="57" t="s">
        <v>807</v>
      </c>
      <c r="D415" s="57" t="s">
        <v>808</v>
      </c>
      <c r="F415" s="57">
        <v>2</v>
      </c>
      <c r="G415" s="57" t="s">
        <v>920</v>
      </c>
      <c r="H415" s="57" t="s">
        <v>919</v>
      </c>
    </row>
    <row r="416" spans="2:8" ht="13.5" customHeight="1">
      <c r="B416" s="57" t="s">
        <v>830</v>
      </c>
      <c r="D416" s="57" t="s">
        <v>831</v>
      </c>
      <c r="F416" s="57">
        <v>3</v>
      </c>
      <c r="G416" s="57" t="s">
        <v>920</v>
      </c>
      <c r="H416" s="57" t="s">
        <v>919</v>
      </c>
    </row>
    <row r="417" spans="2:8" ht="13.5" customHeight="1">
      <c r="B417" s="57" t="s">
        <v>811</v>
      </c>
      <c r="D417" s="57" t="s">
        <v>812</v>
      </c>
      <c r="F417" s="57">
        <v>3</v>
      </c>
      <c r="G417" s="57" t="s">
        <v>920</v>
      </c>
      <c r="H417" s="57" t="s">
        <v>919</v>
      </c>
    </row>
    <row r="418" spans="2:8" ht="13.5" customHeight="1">
      <c r="B418" s="57" t="s">
        <v>828</v>
      </c>
      <c r="D418" s="57" t="s">
        <v>829</v>
      </c>
      <c r="F418" s="57">
        <v>3</v>
      </c>
      <c r="G418" s="57" t="s">
        <v>920</v>
      </c>
      <c r="H418" s="57" t="s">
        <v>919</v>
      </c>
    </row>
    <row r="419" spans="2:8" ht="13.5" customHeight="1">
      <c r="B419" s="57" t="s">
        <v>832</v>
      </c>
      <c r="D419" s="57" t="s">
        <v>833</v>
      </c>
      <c r="F419" s="57">
        <v>3</v>
      </c>
      <c r="G419" s="57" t="s">
        <v>920</v>
      </c>
      <c r="H419" s="57" t="s">
        <v>919</v>
      </c>
    </row>
    <row r="420" spans="2:8" ht="13.5" customHeight="1">
      <c r="B420" s="57" t="s">
        <v>836</v>
      </c>
      <c r="D420" s="57" t="s">
        <v>837</v>
      </c>
      <c r="F420" s="57">
        <v>3</v>
      </c>
      <c r="G420" s="57" t="s">
        <v>920</v>
      </c>
      <c r="H420" s="57" t="s">
        <v>919</v>
      </c>
    </row>
    <row r="421" spans="2:8" ht="13.5" customHeight="1">
      <c r="B421" s="57" t="s">
        <v>845</v>
      </c>
      <c r="D421" s="57" t="s">
        <v>846</v>
      </c>
      <c r="F421" s="57">
        <v>3</v>
      </c>
      <c r="G421" s="57" t="s">
        <v>920</v>
      </c>
      <c r="H421" s="57" t="s">
        <v>919</v>
      </c>
    </row>
    <row r="422" spans="2:8" ht="13.5" customHeight="1">
      <c r="B422" s="57" t="s">
        <v>813</v>
      </c>
      <c r="D422" s="57" t="s">
        <v>814</v>
      </c>
      <c r="F422" s="57">
        <v>3</v>
      </c>
      <c r="G422" s="57" t="s">
        <v>920</v>
      </c>
      <c r="H422" s="57" t="s">
        <v>919</v>
      </c>
    </row>
    <row r="423" spans="2:8" ht="13.5" customHeight="1">
      <c r="B423" s="57" t="s">
        <v>838</v>
      </c>
      <c r="D423" s="57" t="s">
        <v>839</v>
      </c>
      <c r="F423" s="57">
        <v>4</v>
      </c>
      <c r="G423" s="57" t="s">
        <v>920</v>
      </c>
      <c r="H423" s="57" t="s">
        <v>919</v>
      </c>
    </row>
    <row r="424" spans="2:8" ht="13.5" customHeight="1">
      <c r="B424" s="57" t="s">
        <v>237</v>
      </c>
      <c r="D424" s="57" t="s">
        <v>844</v>
      </c>
      <c r="F424" s="57">
        <v>4</v>
      </c>
      <c r="G424" s="57" t="s">
        <v>920</v>
      </c>
      <c r="H424" s="57" t="s">
        <v>919</v>
      </c>
    </row>
    <row r="425" spans="2:8" ht="13.5" customHeight="1">
      <c r="B425" s="57" t="s">
        <v>740</v>
      </c>
      <c r="D425" s="57" t="s">
        <v>741</v>
      </c>
      <c r="F425" s="57">
        <v>5</v>
      </c>
      <c r="G425" s="57" t="s">
        <v>920</v>
      </c>
      <c r="H425" s="57" t="s">
        <v>919</v>
      </c>
    </row>
    <row r="426" spans="2:8" ht="13.5" customHeight="1">
      <c r="B426" s="57" t="s">
        <v>834</v>
      </c>
      <c r="D426" s="57" t="s">
        <v>835</v>
      </c>
      <c r="F426" s="57">
        <v>7</v>
      </c>
      <c r="G426" s="57" t="s">
        <v>920</v>
      </c>
      <c r="H426" s="57" t="s">
        <v>919</v>
      </c>
    </row>
    <row r="427" spans="2:8" ht="13.5" customHeight="1">
      <c r="B427" s="57" t="s">
        <v>821</v>
      </c>
      <c r="D427" s="57" t="s">
        <v>822</v>
      </c>
      <c r="F427" s="57">
        <v>9</v>
      </c>
      <c r="G427" s="57" t="s">
        <v>920</v>
      </c>
      <c r="H427" s="57" t="s">
        <v>919</v>
      </c>
    </row>
    <row r="428" spans="2:8" ht="13.5" customHeight="1">
      <c r="B428" s="57" t="s">
        <v>825</v>
      </c>
      <c r="D428" s="57" t="s">
        <v>826</v>
      </c>
      <c r="F428" s="57">
        <v>9</v>
      </c>
      <c r="G428" s="57" t="s">
        <v>920</v>
      </c>
      <c r="H428" s="57" t="s">
        <v>919</v>
      </c>
    </row>
    <row r="429" spans="2:8" ht="13.5" customHeight="1">
      <c r="B429" s="57" t="s">
        <v>803</v>
      </c>
      <c r="D429" s="57" t="s">
        <v>804</v>
      </c>
      <c r="F429" s="57">
        <v>9</v>
      </c>
      <c r="G429" s="57" t="s">
        <v>920</v>
      </c>
      <c r="H429" s="57" t="s">
        <v>919</v>
      </c>
    </row>
    <row r="430" spans="2:8" ht="13.5" customHeight="1">
      <c r="B430" s="57" t="s">
        <v>823</v>
      </c>
      <c r="D430" s="57" t="s">
        <v>824</v>
      </c>
      <c r="F430" s="57">
        <v>9</v>
      </c>
      <c r="G430" s="57" t="s">
        <v>920</v>
      </c>
      <c r="H430" s="57" t="s">
        <v>919</v>
      </c>
    </row>
    <row r="431" spans="2:8" ht="13.5" customHeight="1">
      <c r="B431" s="57" t="s">
        <v>896</v>
      </c>
      <c r="F431" s="57">
        <v>10</v>
      </c>
      <c r="G431" s="57" t="s">
        <v>920</v>
      </c>
      <c r="H431" s="57" t="s">
        <v>919</v>
      </c>
    </row>
    <row r="432" spans="2:8" ht="13.5" customHeight="1">
      <c r="B432" s="57" t="s">
        <v>651</v>
      </c>
      <c r="D432" s="57" t="s">
        <v>652</v>
      </c>
      <c r="F432" s="57">
        <v>10</v>
      </c>
      <c r="G432" s="57" t="s">
        <v>920</v>
      </c>
      <c r="H432" s="57" t="s">
        <v>919</v>
      </c>
    </row>
    <row r="433" spans="2:8" ht="13.5" customHeight="1">
      <c r="B433" s="57" t="s">
        <v>842</v>
      </c>
      <c r="D433" s="57" t="s">
        <v>843</v>
      </c>
      <c r="F433" s="57">
        <v>10</v>
      </c>
      <c r="G433" s="57" t="s">
        <v>920</v>
      </c>
      <c r="H433" s="57" t="s">
        <v>919</v>
      </c>
    </row>
    <row r="434" spans="2:8" ht="13.5" customHeight="1">
      <c r="B434" s="57" t="s">
        <v>809</v>
      </c>
      <c r="D434" s="57" t="s">
        <v>810</v>
      </c>
      <c r="F434" s="57">
        <v>10</v>
      </c>
      <c r="G434" s="57" t="s">
        <v>920</v>
      </c>
      <c r="H434" s="57" t="s">
        <v>919</v>
      </c>
    </row>
    <row r="435" spans="2:8" ht="13.5" customHeight="1">
      <c r="B435" s="57" t="s">
        <v>801</v>
      </c>
      <c r="D435" s="57" t="s">
        <v>802</v>
      </c>
      <c r="F435" s="57">
        <v>10</v>
      </c>
      <c r="G435" s="57" t="s">
        <v>920</v>
      </c>
      <c r="H435" s="57" t="s">
        <v>919</v>
      </c>
    </row>
    <row r="436" spans="2:8" ht="13.5" customHeight="1">
      <c r="B436" s="57" t="s">
        <v>805</v>
      </c>
      <c r="D436" s="57" t="s">
        <v>806</v>
      </c>
      <c r="F436" s="57">
        <v>10</v>
      </c>
      <c r="G436" s="57" t="s">
        <v>920</v>
      </c>
      <c r="H436" s="57" t="s">
        <v>919</v>
      </c>
    </row>
    <row r="437" spans="2:8" ht="13.5" customHeight="1">
      <c r="B437" s="57" t="s">
        <v>827</v>
      </c>
      <c r="D437" s="57" t="s">
        <v>270</v>
      </c>
      <c r="F437" s="57">
        <v>15</v>
      </c>
      <c r="G437" s="57" t="s">
        <v>920</v>
      </c>
      <c r="H437" s="57" t="s">
        <v>919</v>
      </c>
    </row>
    <row r="438" spans="2:8" ht="13.5" customHeight="1">
      <c r="B438" s="57" t="s">
        <v>847</v>
      </c>
      <c r="D438" s="57" t="s">
        <v>848</v>
      </c>
      <c r="F438" s="57">
        <v>21</v>
      </c>
      <c r="G438" s="57" t="s">
        <v>920</v>
      </c>
      <c r="H438" s="57" t="s">
        <v>919</v>
      </c>
    </row>
    <row r="439" spans="2:8" ht="13.5" customHeight="1">
      <c r="B439" s="57" t="s">
        <v>653</v>
      </c>
      <c r="D439" s="57" t="s">
        <v>656</v>
      </c>
      <c r="F439" s="57">
        <v>49</v>
      </c>
      <c r="G439" s="57" t="s">
        <v>920</v>
      </c>
      <c r="H439" s="57" t="s">
        <v>919</v>
      </c>
    </row>
    <row r="440" spans="2:8" ht="13.5" customHeight="1">
      <c r="B440" s="57" t="s">
        <v>653</v>
      </c>
      <c r="D440" s="57" t="s">
        <v>654</v>
      </c>
      <c r="F440" s="57">
        <v>50</v>
      </c>
      <c r="G440" s="57" t="s">
        <v>920</v>
      </c>
      <c r="H440" s="57" t="s">
        <v>919</v>
      </c>
    </row>
    <row r="441" spans="2:8" ht="13.5" customHeight="1">
      <c r="B441" s="57" t="s">
        <v>840</v>
      </c>
      <c r="D441" s="57" t="s">
        <v>841</v>
      </c>
      <c r="F441" s="57">
        <v>96</v>
      </c>
      <c r="G441" s="57" t="s">
        <v>920</v>
      </c>
      <c r="H441" s="57" t="s">
        <v>919</v>
      </c>
    </row>
    <row r="442" spans="2:8" ht="13.5" customHeight="1">
      <c r="B442" s="57" t="s">
        <v>792</v>
      </c>
      <c r="D442" s="57" t="s">
        <v>792</v>
      </c>
      <c r="F442" s="57">
        <v>1</v>
      </c>
      <c r="G442" s="57" t="s">
        <v>920</v>
      </c>
      <c r="H442" s="57" t="s">
        <v>918</v>
      </c>
    </row>
    <row r="443" spans="2:8" ht="13.5" customHeight="1">
      <c r="B443" s="57" t="s">
        <v>702</v>
      </c>
      <c r="D443" s="57" t="s">
        <v>703</v>
      </c>
      <c r="F443" s="57">
        <v>2</v>
      </c>
      <c r="G443" s="57" t="s">
        <v>920</v>
      </c>
      <c r="H443" s="57" t="s">
        <v>918</v>
      </c>
    </row>
    <row r="444" spans="2:8" ht="13.5" customHeight="1">
      <c r="B444" s="57" t="s">
        <v>778</v>
      </c>
      <c r="D444" s="57" t="s">
        <v>849</v>
      </c>
      <c r="F444" s="57">
        <v>2</v>
      </c>
      <c r="G444" s="57" t="s">
        <v>920</v>
      </c>
      <c r="H444" s="57" t="s">
        <v>918</v>
      </c>
    </row>
    <row r="445" spans="2:8" ht="13.5" customHeight="1">
      <c r="B445" s="57" t="s">
        <v>765</v>
      </c>
      <c r="D445" s="57" t="s">
        <v>766</v>
      </c>
      <c r="F445" s="57">
        <v>2</v>
      </c>
      <c r="G445" s="57" t="s">
        <v>920</v>
      </c>
      <c r="H445" s="57" t="s">
        <v>918</v>
      </c>
    </row>
    <row r="446" spans="2:8" ht="13.5" customHeight="1">
      <c r="D446" s="57" t="s">
        <v>853</v>
      </c>
      <c r="F446" s="57">
        <v>4</v>
      </c>
      <c r="G446" s="57" t="s">
        <v>920</v>
      </c>
      <c r="H446" s="57" t="s">
        <v>918</v>
      </c>
    </row>
    <row r="447" spans="2:8" ht="13.5" customHeight="1">
      <c r="D447" s="57" t="s">
        <v>904</v>
      </c>
      <c r="F447" s="57">
        <v>4</v>
      </c>
      <c r="G447" s="57" t="s">
        <v>920</v>
      </c>
      <c r="H447" s="57" t="s">
        <v>918</v>
      </c>
    </row>
    <row r="448" spans="2:8" ht="13.5" customHeight="1">
      <c r="B448" s="57" t="s">
        <v>772</v>
      </c>
      <c r="D448" s="57" t="s">
        <v>773</v>
      </c>
      <c r="F448" s="57">
        <v>5</v>
      </c>
      <c r="G448" s="57" t="s">
        <v>920</v>
      </c>
      <c r="H448" s="57" t="s">
        <v>918</v>
      </c>
    </row>
    <row r="449" spans="2:8" ht="13.5" customHeight="1">
      <c r="B449" s="57" t="s">
        <v>774</v>
      </c>
      <c r="D449" s="57" t="s">
        <v>775</v>
      </c>
      <c r="F449" s="57">
        <v>7</v>
      </c>
      <c r="G449" s="57" t="s">
        <v>920</v>
      </c>
      <c r="H449" s="57" t="s">
        <v>918</v>
      </c>
    </row>
    <row r="450" spans="2:8" ht="13.5" customHeight="1">
      <c r="B450" s="57" t="s">
        <v>704</v>
      </c>
      <c r="D450" s="57" t="s">
        <v>705</v>
      </c>
      <c r="E450" s="57" t="s">
        <v>706</v>
      </c>
      <c r="F450" s="57">
        <v>7</v>
      </c>
      <c r="G450" s="57" t="s">
        <v>920</v>
      </c>
      <c r="H450" s="57" t="s">
        <v>918</v>
      </c>
    </row>
    <row r="451" spans="2:8" ht="13.5" customHeight="1">
      <c r="B451" s="57" t="s">
        <v>854</v>
      </c>
      <c r="D451" s="57" t="s">
        <v>855</v>
      </c>
      <c r="F451" s="57">
        <v>10</v>
      </c>
      <c r="G451" s="57" t="s">
        <v>920</v>
      </c>
      <c r="H451" s="57" t="s">
        <v>918</v>
      </c>
    </row>
    <row r="452" spans="2:8" ht="13.5" customHeight="1">
      <c r="B452" s="57" t="s">
        <v>717</v>
      </c>
      <c r="D452" s="57" t="s">
        <v>718</v>
      </c>
      <c r="F452" s="57">
        <v>10</v>
      </c>
      <c r="G452" s="57" t="s">
        <v>920</v>
      </c>
      <c r="H452" s="57" t="s">
        <v>918</v>
      </c>
    </row>
    <row r="453" spans="2:8" ht="13.5" customHeight="1">
      <c r="B453" s="57" t="s">
        <v>895</v>
      </c>
      <c r="F453" s="57">
        <v>10</v>
      </c>
      <c r="G453" s="57" t="s">
        <v>920</v>
      </c>
      <c r="H453" s="57" t="s">
        <v>918</v>
      </c>
    </row>
    <row r="454" spans="2:8" ht="13.5" customHeight="1">
      <c r="B454" s="57" t="s">
        <v>649</v>
      </c>
      <c r="D454" s="57" t="s">
        <v>650</v>
      </c>
      <c r="F454" s="57">
        <v>11</v>
      </c>
      <c r="G454" s="57" t="s">
        <v>920</v>
      </c>
      <c r="H454" s="57" t="s">
        <v>918</v>
      </c>
    </row>
    <row r="455" spans="2:8" ht="13.5" customHeight="1">
      <c r="B455" s="57" t="s">
        <v>759</v>
      </c>
      <c r="D455" s="57" t="s">
        <v>760</v>
      </c>
      <c r="F455" s="57">
        <v>16</v>
      </c>
      <c r="G455" s="57" t="s">
        <v>920</v>
      </c>
      <c r="H455" s="57" t="s">
        <v>918</v>
      </c>
    </row>
    <row r="456" spans="2:8" ht="13.5" customHeight="1">
      <c r="B456" s="57" t="s">
        <v>851</v>
      </c>
      <c r="D456" s="57" t="s">
        <v>851</v>
      </c>
      <c r="F456" s="57">
        <v>16</v>
      </c>
      <c r="G456" s="57" t="s">
        <v>920</v>
      </c>
      <c r="H456" s="57" t="s">
        <v>918</v>
      </c>
    </row>
    <row r="457" spans="2:8" ht="13.5" customHeight="1">
      <c r="D457" s="57" t="s">
        <v>852</v>
      </c>
      <c r="F457" s="57">
        <v>16</v>
      </c>
      <c r="G457" s="57" t="s">
        <v>920</v>
      </c>
      <c r="H457" s="57" t="s">
        <v>918</v>
      </c>
    </row>
    <row r="458" spans="2:8" ht="13.5" customHeight="1">
      <c r="D458" s="57" t="s">
        <v>850</v>
      </c>
      <c r="F458" s="57">
        <v>20</v>
      </c>
      <c r="G458" s="57" t="s">
        <v>920</v>
      </c>
      <c r="H458" s="57" t="s">
        <v>918</v>
      </c>
    </row>
    <row r="459" spans="2:8" ht="13.5" customHeight="1">
      <c r="B459" s="57" t="s">
        <v>707</v>
      </c>
      <c r="D459" s="57" t="s">
        <v>708</v>
      </c>
      <c r="F459" s="57">
        <v>2455</v>
      </c>
      <c r="G459" s="57" t="s">
        <v>920</v>
      </c>
      <c r="H459" s="57" t="s">
        <v>918</v>
      </c>
    </row>
    <row r="460" spans="2:8" ht="13.5" customHeight="1">
      <c r="B460" s="57" t="s">
        <v>1089</v>
      </c>
      <c r="D460" s="57" t="s">
        <v>1089</v>
      </c>
      <c r="F460" s="57">
        <v>24</v>
      </c>
      <c r="G460" s="57" t="s">
        <v>1119</v>
      </c>
      <c r="H460" s="57" t="s">
        <v>1116</v>
      </c>
    </row>
    <row r="461" spans="2:8" ht="13.5" customHeight="1">
      <c r="B461" s="57" t="s">
        <v>970</v>
      </c>
      <c r="D461" s="68" t="s">
        <v>971</v>
      </c>
      <c r="F461" s="57">
        <v>2</v>
      </c>
      <c r="G461" s="57" t="s">
        <v>1119</v>
      </c>
      <c r="H461" s="57" t="s">
        <v>343</v>
      </c>
    </row>
    <row r="462" spans="2:8" ht="13.5" customHeight="1">
      <c r="B462" s="57" t="s">
        <v>1030</v>
      </c>
      <c r="D462" s="57" t="s">
        <v>1031</v>
      </c>
      <c r="F462" s="57">
        <v>2</v>
      </c>
      <c r="G462" s="57" t="s">
        <v>1119</v>
      </c>
      <c r="H462" s="57" t="s">
        <v>343</v>
      </c>
    </row>
    <row r="463" spans="2:8" ht="13.5" customHeight="1">
      <c r="B463" s="57" t="s">
        <v>1026</v>
      </c>
      <c r="D463" s="57" t="s">
        <v>1027</v>
      </c>
      <c r="F463" s="57">
        <v>7</v>
      </c>
      <c r="G463" s="57" t="s">
        <v>1119</v>
      </c>
      <c r="H463" s="57" t="s">
        <v>343</v>
      </c>
    </row>
    <row r="464" spans="2:8" ht="13.5" customHeight="1">
      <c r="B464" s="57" t="s">
        <v>1010</v>
      </c>
      <c r="D464" s="57" t="s">
        <v>1011</v>
      </c>
      <c r="F464" s="57">
        <v>7</v>
      </c>
      <c r="G464" s="57" t="s">
        <v>1119</v>
      </c>
      <c r="H464" s="57" t="s">
        <v>343</v>
      </c>
    </row>
    <row r="465" spans="2:8" ht="13.5" customHeight="1">
      <c r="B465" s="57" t="s">
        <v>938</v>
      </c>
      <c r="D465" s="57" t="s">
        <v>939</v>
      </c>
      <c r="F465" s="57">
        <v>9</v>
      </c>
      <c r="G465" s="57" t="s">
        <v>1119</v>
      </c>
      <c r="H465" s="57" t="s">
        <v>343</v>
      </c>
    </row>
    <row r="466" spans="2:8" ht="13.5" customHeight="1">
      <c r="B466" s="57" t="s">
        <v>958</v>
      </c>
      <c r="D466" s="57" t="s">
        <v>1038</v>
      </c>
      <c r="F466" s="57">
        <v>13</v>
      </c>
      <c r="G466" s="57" t="s">
        <v>1119</v>
      </c>
      <c r="H466" s="57" t="s">
        <v>343</v>
      </c>
    </row>
    <row r="467" spans="2:8" ht="13.5" customHeight="1">
      <c r="B467" s="57" t="s">
        <v>998</v>
      </c>
      <c r="D467" s="57" t="s">
        <v>999</v>
      </c>
      <c r="F467" s="57">
        <v>15</v>
      </c>
      <c r="G467" s="57" t="s">
        <v>1119</v>
      </c>
      <c r="H467" s="57" t="s">
        <v>343</v>
      </c>
    </row>
    <row r="468" spans="2:8" ht="13.5" customHeight="1">
      <c r="B468" s="57" t="s">
        <v>958</v>
      </c>
      <c r="D468" s="57" t="s">
        <v>959</v>
      </c>
      <c r="E468" s="57" t="s">
        <v>1102</v>
      </c>
      <c r="F468" s="57">
        <v>18</v>
      </c>
      <c r="G468" s="57" t="s">
        <v>1119</v>
      </c>
      <c r="H468" s="57" t="s">
        <v>343</v>
      </c>
    </row>
    <row r="469" spans="2:8" ht="13.5" customHeight="1">
      <c r="B469" s="57" t="s">
        <v>929</v>
      </c>
      <c r="D469" s="57" t="s">
        <v>930</v>
      </c>
      <c r="F469" s="57">
        <v>28</v>
      </c>
      <c r="G469" s="57" t="s">
        <v>1119</v>
      </c>
      <c r="H469" s="57" t="s">
        <v>343</v>
      </c>
    </row>
    <row r="470" spans="2:8" ht="13.5" customHeight="1">
      <c r="B470" s="57" t="s">
        <v>925</v>
      </c>
      <c r="D470" s="57" t="s">
        <v>926</v>
      </c>
      <c r="F470" s="57">
        <v>29</v>
      </c>
      <c r="G470" s="57" t="s">
        <v>1119</v>
      </c>
      <c r="H470" s="57" t="s">
        <v>343</v>
      </c>
    </row>
    <row r="471" spans="2:8" ht="13.5" customHeight="1">
      <c r="B471" s="57" t="s">
        <v>934</v>
      </c>
      <c r="D471" s="57" t="s">
        <v>935</v>
      </c>
      <c r="F471" s="57">
        <v>41</v>
      </c>
      <c r="G471" s="57" t="s">
        <v>1119</v>
      </c>
      <c r="H471" s="57" t="s">
        <v>343</v>
      </c>
    </row>
    <row r="472" spans="2:8" ht="13.5" customHeight="1">
      <c r="B472" s="57" t="s">
        <v>964</v>
      </c>
      <c r="D472" s="57" t="s">
        <v>965</v>
      </c>
      <c r="F472" s="57">
        <v>116</v>
      </c>
      <c r="G472" s="57" t="s">
        <v>1119</v>
      </c>
      <c r="H472" s="57" t="s">
        <v>343</v>
      </c>
    </row>
    <row r="473" spans="2:8" ht="13.5" customHeight="1">
      <c r="B473" s="57" t="s">
        <v>1002</v>
      </c>
      <c r="D473" s="57" t="s">
        <v>1003</v>
      </c>
      <c r="F473" s="57">
        <v>579</v>
      </c>
      <c r="G473" s="57" t="s">
        <v>1119</v>
      </c>
      <c r="H473" s="57" t="s">
        <v>343</v>
      </c>
    </row>
    <row r="474" spans="2:8" ht="13.5" customHeight="1">
      <c r="B474" s="57" t="s">
        <v>1024</v>
      </c>
      <c r="D474" s="57" t="s">
        <v>1025</v>
      </c>
      <c r="F474" s="57">
        <v>1</v>
      </c>
      <c r="G474" s="57" t="s">
        <v>1119</v>
      </c>
      <c r="H474" s="57" t="s">
        <v>344</v>
      </c>
    </row>
    <row r="475" spans="2:8" ht="13.5" customHeight="1">
      <c r="B475" s="57" t="s">
        <v>1018</v>
      </c>
      <c r="D475" s="57" t="s">
        <v>1019</v>
      </c>
      <c r="F475" s="57">
        <v>2</v>
      </c>
      <c r="G475" s="57" t="s">
        <v>1119</v>
      </c>
      <c r="H475" s="57" t="s">
        <v>344</v>
      </c>
    </row>
    <row r="476" spans="2:8" ht="13.5" customHeight="1">
      <c r="B476" s="57" t="s">
        <v>1014</v>
      </c>
      <c r="D476" s="57" t="s">
        <v>1015</v>
      </c>
      <c r="F476" s="57">
        <v>2</v>
      </c>
      <c r="G476" s="57" t="s">
        <v>1119</v>
      </c>
      <c r="H476" s="57" t="s">
        <v>344</v>
      </c>
    </row>
    <row r="477" spans="2:8" ht="13.5" customHeight="1">
      <c r="B477" s="57" t="s">
        <v>1006</v>
      </c>
      <c r="D477" s="57" t="s">
        <v>1007</v>
      </c>
      <c r="F477" s="57">
        <v>6</v>
      </c>
      <c r="G477" s="57" t="s">
        <v>1119</v>
      </c>
      <c r="H477" s="57" t="s">
        <v>344</v>
      </c>
    </row>
    <row r="478" spans="2:8" ht="13.5" customHeight="1">
      <c r="B478" s="57" t="s">
        <v>921</v>
      </c>
      <c r="D478" s="57" t="s">
        <v>922</v>
      </c>
      <c r="E478" s="57" t="s">
        <v>931</v>
      </c>
      <c r="F478" s="57">
        <v>6</v>
      </c>
      <c r="G478" s="57" t="s">
        <v>1119</v>
      </c>
      <c r="H478" s="57" t="s">
        <v>344</v>
      </c>
    </row>
    <row r="479" spans="2:8" ht="13.5" customHeight="1">
      <c r="B479" s="57" t="s">
        <v>954</v>
      </c>
      <c r="D479" s="57" t="s">
        <v>955</v>
      </c>
      <c r="F479" s="57">
        <v>8</v>
      </c>
      <c r="G479" s="57" t="s">
        <v>1119</v>
      </c>
      <c r="H479" s="57" t="s">
        <v>344</v>
      </c>
    </row>
    <row r="480" spans="2:8" ht="13.5" customHeight="1">
      <c r="B480" s="57" t="s">
        <v>990</v>
      </c>
      <c r="D480" s="57" t="s">
        <v>991</v>
      </c>
      <c r="F480" s="57">
        <v>40</v>
      </c>
      <c r="G480" s="57" t="s">
        <v>1119</v>
      </c>
      <c r="H480" s="57" t="s">
        <v>344</v>
      </c>
    </row>
    <row r="481" spans="2:8" ht="13.5" customHeight="1">
      <c r="B481" s="57" t="s">
        <v>984</v>
      </c>
      <c r="D481" s="57" t="s">
        <v>985</v>
      </c>
      <c r="F481" s="57">
        <v>44</v>
      </c>
      <c r="G481" s="57" t="s">
        <v>1119</v>
      </c>
      <c r="H481" s="57" t="s">
        <v>344</v>
      </c>
    </row>
    <row r="482" spans="2:8" ht="13.5" customHeight="1">
      <c r="B482" s="57" t="s">
        <v>978</v>
      </c>
      <c r="D482" s="57" t="s">
        <v>979</v>
      </c>
      <c r="E482" s="57" t="s">
        <v>1104</v>
      </c>
      <c r="F482" s="57">
        <v>55</v>
      </c>
      <c r="G482" s="57" t="s">
        <v>1119</v>
      </c>
      <c r="H482" s="57" t="s">
        <v>344</v>
      </c>
    </row>
    <row r="483" spans="2:8" ht="13.5" customHeight="1">
      <c r="B483" s="57" t="s">
        <v>956</v>
      </c>
      <c r="D483" s="57" t="s">
        <v>957</v>
      </c>
      <c r="F483" s="57">
        <v>63</v>
      </c>
      <c r="G483" s="57" t="s">
        <v>1119</v>
      </c>
      <c r="H483" s="57" t="s">
        <v>344</v>
      </c>
    </row>
    <row r="484" spans="2:8" ht="14.25" customHeight="1">
      <c r="B484" s="57" t="s">
        <v>1036</v>
      </c>
      <c r="D484" s="57" t="s">
        <v>1037</v>
      </c>
      <c r="F484" s="57">
        <v>80</v>
      </c>
      <c r="G484" s="57" t="s">
        <v>1119</v>
      </c>
      <c r="H484" s="57" t="s">
        <v>344</v>
      </c>
    </row>
    <row r="485" spans="2:8" ht="13.5" customHeight="1">
      <c r="B485" s="57" t="s">
        <v>986</v>
      </c>
      <c r="D485" s="57" t="s">
        <v>987</v>
      </c>
      <c r="F485" s="57">
        <v>80</v>
      </c>
      <c r="G485" s="57" t="s">
        <v>1119</v>
      </c>
      <c r="H485" s="57" t="s">
        <v>344</v>
      </c>
    </row>
    <row r="486" spans="2:8" ht="12.75" customHeight="1">
      <c r="B486" s="57" t="s">
        <v>923</v>
      </c>
      <c r="D486" s="57" t="s">
        <v>924</v>
      </c>
      <c r="F486" s="57">
        <v>82</v>
      </c>
      <c r="G486" s="57" t="s">
        <v>1119</v>
      </c>
      <c r="H486" s="57" t="s">
        <v>344</v>
      </c>
    </row>
    <row r="487" spans="2:8" ht="13.5" customHeight="1">
      <c r="B487" s="57" t="s">
        <v>966</v>
      </c>
      <c r="D487" s="57" t="s">
        <v>967</v>
      </c>
      <c r="F487" s="57">
        <v>126</v>
      </c>
      <c r="G487" s="57" t="s">
        <v>1119</v>
      </c>
      <c r="H487" s="57" t="s">
        <v>344</v>
      </c>
    </row>
    <row r="488" spans="2:8" ht="13.5" customHeight="1">
      <c r="B488" s="57" t="s">
        <v>976</v>
      </c>
      <c r="D488" s="57" t="s">
        <v>977</v>
      </c>
      <c r="E488" s="57" t="s">
        <v>1103</v>
      </c>
      <c r="F488" s="57">
        <v>2784</v>
      </c>
      <c r="G488" s="57" t="s">
        <v>1119</v>
      </c>
      <c r="H488" s="57" t="s">
        <v>344</v>
      </c>
    </row>
    <row r="489" spans="2:8" ht="13.5" customHeight="1">
      <c r="B489" s="57" t="s">
        <v>992</v>
      </c>
      <c r="D489" s="57" t="s">
        <v>993</v>
      </c>
      <c r="E489" s="57" t="s">
        <v>1105</v>
      </c>
      <c r="F489" s="57">
        <v>2</v>
      </c>
      <c r="G489" s="57" t="s">
        <v>1119</v>
      </c>
      <c r="H489" s="57" t="s">
        <v>345</v>
      </c>
    </row>
    <row r="490" spans="2:8" ht="13.5" customHeight="1">
      <c r="B490" s="57" t="s">
        <v>968</v>
      </c>
      <c r="D490" s="57" t="s">
        <v>969</v>
      </c>
      <c r="F490" s="57">
        <v>3</v>
      </c>
      <c r="G490" s="57" t="s">
        <v>1119</v>
      </c>
      <c r="H490" s="57" t="s">
        <v>345</v>
      </c>
    </row>
    <row r="491" spans="2:8" ht="13.5" customHeight="1">
      <c r="B491" s="57" t="s">
        <v>927</v>
      </c>
      <c r="D491" s="57" t="s">
        <v>928</v>
      </c>
      <c r="F491" s="57">
        <v>6</v>
      </c>
      <c r="G491" s="57" t="s">
        <v>1119</v>
      </c>
      <c r="H491" s="57" t="s">
        <v>345</v>
      </c>
    </row>
    <row r="492" spans="2:8" ht="13.5" customHeight="1">
      <c r="B492" s="57" t="s">
        <v>988</v>
      </c>
      <c r="D492" s="57" t="s">
        <v>989</v>
      </c>
      <c r="F492" s="57">
        <v>8</v>
      </c>
      <c r="G492" s="57" t="s">
        <v>1119</v>
      </c>
      <c r="H492" s="57" t="s">
        <v>345</v>
      </c>
    </row>
    <row r="493" spans="2:8" ht="13.5" customHeight="1">
      <c r="B493" s="57" t="s">
        <v>1022</v>
      </c>
      <c r="D493" s="57" t="s">
        <v>1023</v>
      </c>
      <c r="F493" s="57">
        <v>9</v>
      </c>
      <c r="G493" s="57" t="s">
        <v>1119</v>
      </c>
      <c r="H493" s="57" t="s">
        <v>345</v>
      </c>
    </row>
    <row r="494" spans="2:8" ht="13.5" customHeight="1">
      <c r="B494" s="57" t="s">
        <v>932</v>
      </c>
      <c r="D494" s="57" t="s">
        <v>933</v>
      </c>
      <c r="F494" s="57">
        <v>32</v>
      </c>
      <c r="G494" s="57" t="s">
        <v>1119</v>
      </c>
      <c r="H494" s="57" t="s">
        <v>345</v>
      </c>
    </row>
    <row r="495" spans="2:8" ht="13.5" customHeight="1">
      <c r="B495" s="57" t="s">
        <v>1004</v>
      </c>
      <c r="D495" s="57" t="s">
        <v>1005</v>
      </c>
      <c r="E495" s="57" t="s">
        <v>1106</v>
      </c>
      <c r="F495" s="57">
        <v>113</v>
      </c>
      <c r="G495" s="57" t="s">
        <v>1119</v>
      </c>
      <c r="H495" s="57" t="s">
        <v>345</v>
      </c>
    </row>
    <row r="496" spans="2:8" ht="13.5" customHeight="1">
      <c r="B496" s="57" t="s">
        <v>982</v>
      </c>
      <c r="D496" s="57" t="s">
        <v>983</v>
      </c>
      <c r="F496" s="57">
        <v>120</v>
      </c>
      <c r="G496" s="57" t="s">
        <v>1119</v>
      </c>
      <c r="H496" s="57" t="s">
        <v>345</v>
      </c>
    </row>
    <row r="497" spans="2:8" ht="13.5" customHeight="1">
      <c r="B497" s="57" t="s">
        <v>994</v>
      </c>
      <c r="D497" s="57" t="s">
        <v>995</v>
      </c>
      <c r="F497" s="57">
        <v>191</v>
      </c>
      <c r="G497" s="57" t="s">
        <v>1119</v>
      </c>
      <c r="H497" s="57" t="s">
        <v>345</v>
      </c>
    </row>
    <row r="498" spans="2:8" ht="13.5" customHeight="1">
      <c r="B498" s="57" t="s">
        <v>936</v>
      </c>
      <c r="D498" s="57" t="s">
        <v>937</v>
      </c>
      <c r="E498" s="57" t="s">
        <v>1100</v>
      </c>
      <c r="F498" s="57">
        <v>392</v>
      </c>
      <c r="G498" s="57" t="s">
        <v>1119</v>
      </c>
      <c r="H498" s="57" t="s">
        <v>345</v>
      </c>
    </row>
    <row r="499" spans="2:8" ht="13.5" customHeight="1">
      <c r="B499" s="57" t="s">
        <v>960</v>
      </c>
      <c r="D499" s="57" t="s">
        <v>961</v>
      </c>
      <c r="F499" s="57">
        <v>1</v>
      </c>
      <c r="G499" s="57" t="s">
        <v>1119</v>
      </c>
      <c r="H499" s="57" t="s">
        <v>919</v>
      </c>
    </row>
    <row r="500" spans="2:8" ht="13.5" customHeight="1">
      <c r="B500" s="57" t="s">
        <v>1020</v>
      </c>
      <c r="D500" s="57" t="s">
        <v>1021</v>
      </c>
      <c r="F500" s="57">
        <v>2</v>
      </c>
      <c r="G500" s="57" t="s">
        <v>1119</v>
      </c>
      <c r="H500" s="57" t="s">
        <v>919</v>
      </c>
    </row>
    <row r="501" spans="2:8" ht="13.5" customHeight="1">
      <c r="B501" s="57" t="s">
        <v>1016</v>
      </c>
      <c r="D501" s="57" t="s">
        <v>1017</v>
      </c>
      <c r="F501" s="57">
        <v>2</v>
      </c>
      <c r="G501" s="57" t="s">
        <v>1119</v>
      </c>
      <c r="H501" s="57" t="s">
        <v>919</v>
      </c>
    </row>
    <row r="502" spans="2:8" ht="13.5" customHeight="1">
      <c r="B502" s="57" t="s">
        <v>1000</v>
      </c>
      <c r="D502" s="57" t="s">
        <v>1001</v>
      </c>
      <c r="F502" s="57">
        <v>3</v>
      </c>
      <c r="G502" s="57" t="s">
        <v>1119</v>
      </c>
      <c r="H502" s="57" t="s">
        <v>919</v>
      </c>
    </row>
    <row r="503" spans="2:8" ht="13.5" customHeight="1">
      <c r="B503" s="57" t="s">
        <v>1034</v>
      </c>
      <c r="D503" s="57" t="s">
        <v>1035</v>
      </c>
      <c r="F503" s="57">
        <v>4</v>
      </c>
      <c r="G503" s="57" t="s">
        <v>1119</v>
      </c>
      <c r="H503" s="57" t="s">
        <v>919</v>
      </c>
    </row>
    <row r="504" spans="2:8" ht="13.5" customHeight="1">
      <c r="B504" s="57" t="s">
        <v>1012</v>
      </c>
      <c r="D504" s="57" t="s">
        <v>1013</v>
      </c>
      <c r="F504" s="57">
        <v>4</v>
      </c>
      <c r="G504" s="57" t="s">
        <v>1119</v>
      </c>
      <c r="H504" s="57" t="s">
        <v>919</v>
      </c>
    </row>
    <row r="505" spans="2:8" ht="13.5" customHeight="1">
      <c r="B505" s="57" t="s">
        <v>972</v>
      </c>
      <c r="D505" s="57" t="s">
        <v>973</v>
      </c>
      <c r="F505" s="57">
        <v>5</v>
      </c>
      <c r="G505" s="57" t="s">
        <v>1119</v>
      </c>
      <c r="H505" s="57" t="s">
        <v>919</v>
      </c>
    </row>
    <row r="506" spans="2:8" ht="13.5" customHeight="1">
      <c r="B506" s="57" t="s">
        <v>942</v>
      </c>
      <c r="D506" s="57" t="s">
        <v>943</v>
      </c>
      <c r="F506" s="57">
        <v>8</v>
      </c>
      <c r="G506" s="57" t="s">
        <v>1119</v>
      </c>
      <c r="H506" s="57" t="s">
        <v>919</v>
      </c>
    </row>
    <row r="507" spans="2:8" ht="13.5" customHeight="1">
      <c r="B507" s="57" t="s">
        <v>940</v>
      </c>
      <c r="D507" s="57" t="s">
        <v>941</v>
      </c>
      <c r="F507" s="57">
        <v>27</v>
      </c>
      <c r="G507" s="57" t="s">
        <v>1119</v>
      </c>
      <c r="H507" s="57" t="s">
        <v>919</v>
      </c>
    </row>
    <row r="508" spans="2:8" ht="13.5" customHeight="1">
      <c r="B508" s="57" t="s">
        <v>996</v>
      </c>
      <c r="D508" s="57" t="s">
        <v>997</v>
      </c>
      <c r="F508" s="57">
        <v>37</v>
      </c>
      <c r="G508" s="57" t="s">
        <v>1119</v>
      </c>
      <c r="H508" s="57" t="s">
        <v>919</v>
      </c>
    </row>
    <row r="509" spans="2:8" ht="13.5" customHeight="1">
      <c r="B509" s="57" t="s">
        <v>974</v>
      </c>
      <c r="D509" s="57" t="s">
        <v>975</v>
      </c>
      <c r="F509" s="57">
        <v>53</v>
      </c>
      <c r="G509" s="57" t="s">
        <v>1119</v>
      </c>
      <c r="H509" s="57" t="s">
        <v>919</v>
      </c>
    </row>
    <row r="510" spans="2:8" ht="13.5" customHeight="1">
      <c r="B510" s="57" t="s">
        <v>980</v>
      </c>
      <c r="D510" s="57" t="s">
        <v>981</v>
      </c>
      <c r="F510" s="57">
        <v>118</v>
      </c>
      <c r="G510" s="57" t="s">
        <v>1119</v>
      </c>
      <c r="H510" s="57" t="s">
        <v>919</v>
      </c>
    </row>
    <row r="511" spans="2:8" ht="13.5" customHeight="1">
      <c r="B511" s="57" t="s">
        <v>962</v>
      </c>
      <c r="D511" s="57" t="s">
        <v>963</v>
      </c>
      <c r="F511" s="57">
        <v>127</v>
      </c>
      <c r="G511" s="57" t="s">
        <v>1119</v>
      </c>
      <c r="H511" s="57" t="s">
        <v>919</v>
      </c>
    </row>
    <row r="512" spans="2:8" ht="13.5" customHeight="1">
      <c r="B512" s="57" t="s">
        <v>1073</v>
      </c>
      <c r="D512" s="57" t="s">
        <v>1074</v>
      </c>
      <c r="E512" s="57" t="s">
        <v>1111</v>
      </c>
      <c r="F512" s="57">
        <v>2</v>
      </c>
      <c r="G512" s="57" t="s">
        <v>1119</v>
      </c>
      <c r="H512" s="57" t="s">
        <v>918</v>
      </c>
    </row>
    <row r="513" spans="2:8" ht="13.5" customHeight="1">
      <c r="B513" s="57" t="s">
        <v>1084</v>
      </c>
      <c r="D513" s="57" t="s">
        <v>1085</v>
      </c>
      <c r="F513" s="57">
        <v>3</v>
      </c>
      <c r="G513" s="57" t="s">
        <v>1119</v>
      </c>
      <c r="H513" s="57" t="s">
        <v>918</v>
      </c>
    </row>
    <row r="514" spans="2:8" ht="13.5" customHeight="1">
      <c r="B514" s="57" t="s">
        <v>1051</v>
      </c>
      <c r="D514" s="57" t="s">
        <v>1052</v>
      </c>
      <c r="E514" s="57" t="s">
        <v>1108</v>
      </c>
      <c r="F514" s="57">
        <v>5</v>
      </c>
      <c r="G514" s="57" t="s">
        <v>1119</v>
      </c>
      <c r="H514" s="57" t="s">
        <v>918</v>
      </c>
    </row>
    <row r="515" spans="2:8" ht="13.5" customHeight="1">
      <c r="B515" s="57" t="s">
        <v>1032</v>
      </c>
      <c r="D515" s="57" t="s">
        <v>1033</v>
      </c>
      <c r="F515" s="57">
        <v>5</v>
      </c>
      <c r="G515" s="57" t="s">
        <v>1119</v>
      </c>
      <c r="H515" s="57" t="s">
        <v>918</v>
      </c>
    </row>
    <row r="516" spans="2:8" ht="13.5" customHeight="1">
      <c r="B516" s="57" t="s">
        <v>1059</v>
      </c>
      <c r="D516" s="57" t="s">
        <v>1060</v>
      </c>
      <c r="E516" s="57" t="s">
        <v>660</v>
      </c>
      <c r="F516" s="57">
        <v>10</v>
      </c>
      <c r="G516" s="57" t="s">
        <v>1119</v>
      </c>
      <c r="H516" s="57" t="s">
        <v>918</v>
      </c>
    </row>
    <row r="517" spans="2:8" ht="13.5" customHeight="1">
      <c r="B517" s="57" t="s">
        <v>1061</v>
      </c>
      <c r="D517" s="57" t="s">
        <v>1062</v>
      </c>
      <c r="E517" s="57" t="s">
        <v>1109</v>
      </c>
      <c r="F517" s="57">
        <v>16</v>
      </c>
      <c r="G517" s="57" t="s">
        <v>1119</v>
      </c>
      <c r="H517" s="57" t="s">
        <v>918</v>
      </c>
    </row>
    <row r="518" spans="2:8" ht="13.5" customHeight="1">
      <c r="B518" s="57" t="s">
        <v>1082</v>
      </c>
      <c r="D518" s="57" t="s">
        <v>1083</v>
      </c>
      <c r="F518" s="57">
        <v>17</v>
      </c>
      <c r="G518" s="57" t="s">
        <v>1119</v>
      </c>
      <c r="H518" s="57" t="s">
        <v>918</v>
      </c>
    </row>
    <row r="519" spans="2:8" ht="13.5" customHeight="1">
      <c r="B519" s="57" t="s">
        <v>1053</v>
      </c>
      <c r="D519" s="57" t="s">
        <v>1054</v>
      </c>
      <c r="F519" s="57">
        <v>20</v>
      </c>
      <c r="G519" s="57" t="s">
        <v>1119</v>
      </c>
      <c r="H519" s="57" t="s">
        <v>918</v>
      </c>
    </row>
    <row r="520" spans="2:8" ht="13.5" customHeight="1">
      <c r="B520" s="57" t="s">
        <v>1068</v>
      </c>
      <c r="D520" s="57" t="s">
        <v>1069</v>
      </c>
      <c r="E520" s="57" t="s">
        <v>1110</v>
      </c>
      <c r="F520" s="57">
        <v>20</v>
      </c>
      <c r="G520" s="57" t="s">
        <v>1119</v>
      </c>
      <c r="H520" s="57" t="s">
        <v>918</v>
      </c>
    </row>
    <row r="521" spans="2:8" ht="13.5" customHeight="1">
      <c r="B521" s="57" t="s">
        <v>1080</v>
      </c>
      <c r="D521" s="57" t="s">
        <v>1081</v>
      </c>
      <c r="E521" s="57" t="s">
        <v>1113</v>
      </c>
      <c r="F521" s="57">
        <v>34</v>
      </c>
      <c r="G521" s="57" t="s">
        <v>1119</v>
      </c>
      <c r="H521" s="57" t="s">
        <v>918</v>
      </c>
    </row>
    <row r="522" spans="2:8" ht="13.5" customHeight="1">
      <c r="B522" s="57" t="s">
        <v>1049</v>
      </c>
      <c r="D522" s="57" t="s">
        <v>1050</v>
      </c>
      <c r="E522" s="57" t="s">
        <v>1107</v>
      </c>
      <c r="F522" s="57">
        <v>40</v>
      </c>
      <c r="G522" s="57" t="s">
        <v>1119</v>
      </c>
      <c r="H522" s="57" t="s">
        <v>918</v>
      </c>
    </row>
    <row r="523" spans="2:8" ht="13.5" customHeight="1">
      <c r="B523" s="57" t="s">
        <v>1057</v>
      </c>
      <c r="D523" s="68" t="s">
        <v>1058</v>
      </c>
      <c r="F523" s="57">
        <v>41</v>
      </c>
      <c r="G523" s="57" t="s">
        <v>1119</v>
      </c>
      <c r="H523" s="57" t="s">
        <v>918</v>
      </c>
    </row>
    <row r="524" spans="2:8" ht="13.5" customHeight="1">
      <c r="B524" s="57" t="s">
        <v>1079</v>
      </c>
      <c r="D524" s="57" t="s">
        <v>270</v>
      </c>
      <c r="F524" s="57">
        <v>43</v>
      </c>
      <c r="G524" s="57" t="s">
        <v>1119</v>
      </c>
      <c r="H524" s="57" t="s">
        <v>918</v>
      </c>
    </row>
    <row r="525" spans="2:8" ht="13.5" customHeight="1">
      <c r="B525" s="57" t="s">
        <v>1075</v>
      </c>
      <c r="D525" s="57" t="s">
        <v>1076</v>
      </c>
      <c r="E525" s="57" t="s">
        <v>1112</v>
      </c>
      <c r="F525" s="57">
        <v>44</v>
      </c>
      <c r="G525" s="57" t="s">
        <v>1119</v>
      </c>
      <c r="H525" s="57" t="s">
        <v>918</v>
      </c>
    </row>
    <row r="526" spans="2:8" ht="13.5" customHeight="1">
      <c r="D526" s="57" t="s">
        <v>1099</v>
      </c>
      <c r="F526" s="57">
        <v>45</v>
      </c>
      <c r="G526" s="57" t="s">
        <v>1119</v>
      </c>
      <c r="H526" s="57" t="s">
        <v>918</v>
      </c>
    </row>
    <row r="527" spans="2:8" ht="13.5" customHeight="1">
      <c r="B527" s="57" t="s">
        <v>1055</v>
      </c>
      <c r="D527" s="57" t="s">
        <v>1056</v>
      </c>
      <c r="F527" s="57">
        <v>47</v>
      </c>
      <c r="G527" s="57" t="s">
        <v>1119</v>
      </c>
      <c r="H527" s="57" t="s">
        <v>918</v>
      </c>
    </row>
    <row r="528" spans="2:8" ht="13.5" customHeight="1">
      <c r="B528" s="57" t="s">
        <v>1077</v>
      </c>
      <c r="D528" s="57" t="s">
        <v>1078</v>
      </c>
      <c r="F528" s="57">
        <v>51</v>
      </c>
      <c r="G528" s="57" t="s">
        <v>1119</v>
      </c>
      <c r="H528" s="57" t="s">
        <v>918</v>
      </c>
    </row>
    <row r="529" spans="2:8" ht="13.5" customHeight="1">
      <c r="B529" s="57" t="s">
        <v>1066</v>
      </c>
      <c r="D529" s="57" t="s">
        <v>1067</v>
      </c>
      <c r="F529" s="57">
        <v>60</v>
      </c>
      <c r="G529" s="57" t="s">
        <v>1119</v>
      </c>
      <c r="H529" s="57" t="s">
        <v>918</v>
      </c>
    </row>
    <row r="530" spans="2:8" ht="13.5" customHeight="1">
      <c r="B530" s="57" t="s">
        <v>1070</v>
      </c>
      <c r="D530" s="57" t="s">
        <v>1071</v>
      </c>
      <c r="F530" s="57">
        <v>91</v>
      </c>
      <c r="G530" s="57" t="s">
        <v>1119</v>
      </c>
      <c r="H530" s="57" t="s">
        <v>918</v>
      </c>
    </row>
    <row r="531" spans="2:8" ht="13.5" customHeight="1">
      <c r="B531" s="57" t="s">
        <v>1064</v>
      </c>
      <c r="D531" s="57" t="s">
        <v>1065</v>
      </c>
      <c r="F531" s="57">
        <v>93</v>
      </c>
      <c r="G531" s="57" t="s">
        <v>1119</v>
      </c>
      <c r="H531" s="57" t="s">
        <v>918</v>
      </c>
    </row>
    <row r="532" spans="2:8" ht="13.5" customHeight="1">
      <c r="B532" s="57" t="s">
        <v>1047</v>
      </c>
      <c r="D532" s="57" t="s">
        <v>1048</v>
      </c>
      <c r="F532" s="57">
        <v>2</v>
      </c>
      <c r="G532" s="57" t="s">
        <v>1119</v>
      </c>
      <c r="H532" s="57" t="s">
        <v>1114</v>
      </c>
    </row>
    <row r="533" spans="2:8" ht="13.5" customHeight="1">
      <c r="B533" s="57" t="s">
        <v>1043</v>
      </c>
      <c r="D533" s="57" t="s">
        <v>1044</v>
      </c>
      <c r="F533" s="57">
        <v>2</v>
      </c>
      <c r="G533" s="57" t="s">
        <v>1119</v>
      </c>
      <c r="H533" s="57" t="s">
        <v>1114</v>
      </c>
    </row>
    <row r="534" spans="2:8" ht="13.5" customHeight="1">
      <c r="B534" s="57" t="s">
        <v>1045</v>
      </c>
      <c r="D534" s="57" t="s">
        <v>1046</v>
      </c>
      <c r="F534" s="57">
        <v>2</v>
      </c>
      <c r="G534" s="57" t="s">
        <v>1119</v>
      </c>
      <c r="H534" s="57" t="s">
        <v>1114</v>
      </c>
    </row>
    <row r="535" spans="2:8" ht="13.5" customHeight="1">
      <c r="B535" s="57" t="s">
        <v>1028</v>
      </c>
      <c r="D535" s="57" t="s">
        <v>1029</v>
      </c>
      <c r="F535" s="57">
        <v>2</v>
      </c>
      <c r="G535" s="57" t="s">
        <v>1119</v>
      </c>
      <c r="H535" s="57" t="s">
        <v>1114</v>
      </c>
    </row>
    <row r="536" spans="2:8" ht="13.5" customHeight="1">
      <c r="B536" s="57" t="s">
        <v>1041</v>
      </c>
      <c r="D536" s="57" t="s">
        <v>1042</v>
      </c>
      <c r="F536" s="57">
        <v>4</v>
      </c>
      <c r="G536" s="57" t="s">
        <v>1119</v>
      </c>
      <c r="H536" s="57" t="s">
        <v>1114</v>
      </c>
    </row>
    <row r="537" spans="2:8" ht="13.5" customHeight="1">
      <c r="B537" s="57" t="s">
        <v>944</v>
      </c>
      <c r="D537" s="57" t="s">
        <v>945</v>
      </c>
      <c r="E537" s="57" t="s">
        <v>1101</v>
      </c>
      <c r="F537" s="57">
        <v>5</v>
      </c>
      <c r="G537" s="57" t="s">
        <v>1119</v>
      </c>
      <c r="H537" s="57" t="s">
        <v>1114</v>
      </c>
    </row>
    <row r="538" spans="2:8" ht="13.5" customHeight="1">
      <c r="B538" s="57" t="s">
        <v>1039</v>
      </c>
      <c r="D538" s="57" t="s">
        <v>1040</v>
      </c>
      <c r="F538" s="57">
        <v>6</v>
      </c>
      <c r="G538" s="57" t="s">
        <v>1119</v>
      </c>
      <c r="H538" s="57" t="s">
        <v>1114</v>
      </c>
    </row>
    <row r="539" spans="2:8" ht="13.5" customHeight="1">
      <c r="B539" s="57" t="s">
        <v>946</v>
      </c>
      <c r="D539" s="57" t="s">
        <v>947</v>
      </c>
      <c r="F539" s="57">
        <v>7</v>
      </c>
      <c r="G539" s="57" t="s">
        <v>1119</v>
      </c>
      <c r="H539" s="57" t="s">
        <v>1114</v>
      </c>
    </row>
    <row r="540" spans="2:8" ht="13.5" customHeight="1">
      <c r="B540" s="57" t="s">
        <v>948</v>
      </c>
      <c r="D540" s="57" t="s">
        <v>949</v>
      </c>
      <c r="F540" s="57">
        <v>8</v>
      </c>
      <c r="G540" s="57" t="s">
        <v>1119</v>
      </c>
      <c r="H540" s="57" t="s">
        <v>1114</v>
      </c>
    </row>
    <row r="541" spans="2:8" ht="13.5" customHeight="1">
      <c r="B541" s="57" t="s">
        <v>1008</v>
      </c>
      <c r="D541" s="57" t="s">
        <v>1009</v>
      </c>
      <c r="F541" s="57">
        <v>8</v>
      </c>
      <c r="G541" s="57" t="s">
        <v>1119</v>
      </c>
      <c r="H541" s="57" t="s">
        <v>1114</v>
      </c>
    </row>
    <row r="542" spans="2:8" ht="13.5" customHeight="1">
      <c r="B542" s="57" t="s">
        <v>950</v>
      </c>
      <c r="D542" s="57" t="s">
        <v>951</v>
      </c>
      <c r="F542" s="57">
        <v>8</v>
      </c>
      <c r="G542" s="57" t="s">
        <v>1119</v>
      </c>
      <c r="H542" s="57" t="s">
        <v>1114</v>
      </c>
    </row>
    <row r="543" spans="2:8" ht="13.5" customHeight="1">
      <c r="B543" s="57" t="s">
        <v>952</v>
      </c>
      <c r="D543" s="57" t="s">
        <v>953</v>
      </c>
      <c r="F543" s="57">
        <v>16</v>
      </c>
      <c r="G543" s="57" t="s">
        <v>1119</v>
      </c>
      <c r="H543" s="57" t="s">
        <v>1114</v>
      </c>
    </row>
    <row r="544" spans="2:8" ht="13.5" customHeight="1">
      <c r="B544" s="57" t="s">
        <v>1086</v>
      </c>
      <c r="F544" s="57">
        <v>1</v>
      </c>
      <c r="G544" s="57" t="s">
        <v>1119</v>
      </c>
      <c r="H544" s="57" t="s">
        <v>1115</v>
      </c>
    </row>
    <row r="545" spans="2:8" ht="13.5" customHeight="1">
      <c r="D545" s="57" t="s">
        <v>1099</v>
      </c>
      <c r="F545" s="57">
        <v>8</v>
      </c>
      <c r="G545" s="57" t="s">
        <v>1119</v>
      </c>
      <c r="H545" s="57" t="s">
        <v>1115</v>
      </c>
    </row>
    <row r="546" spans="2:8" ht="13.5" customHeight="1">
      <c r="D546" s="57" t="s">
        <v>1092</v>
      </c>
      <c r="F546" s="57">
        <v>8</v>
      </c>
      <c r="G546" s="57" t="s">
        <v>1119</v>
      </c>
      <c r="H546" s="57" t="s">
        <v>1115</v>
      </c>
    </row>
    <row r="547" spans="2:8" ht="13.5" customHeight="1">
      <c r="B547" s="57" t="s">
        <v>1087</v>
      </c>
      <c r="F547" s="57">
        <v>11</v>
      </c>
      <c r="G547" s="57" t="s">
        <v>1119</v>
      </c>
      <c r="H547" s="57" t="s">
        <v>1115</v>
      </c>
    </row>
    <row r="548" spans="2:8" ht="13.5" customHeight="1">
      <c r="B548" s="57" t="s">
        <v>1088</v>
      </c>
      <c r="F548" s="57">
        <v>52</v>
      </c>
      <c r="G548" s="57" t="s">
        <v>1119</v>
      </c>
      <c r="H548" s="57" t="s">
        <v>1115</v>
      </c>
    </row>
    <row r="549" spans="2:8" ht="13.5" customHeight="1">
      <c r="B549" s="57" t="s">
        <v>1094</v>
      </c>
      <c r="F549" s="57">
        <v>1</v>
      </c>
      <c r="G549" s="57" t="s">
        <v>1119</v>
      </c>
      <c r="H549" s="57" t="s">
        <v>1117</v>
      </c>
    </row>
    <row r="550" spans="2:8" ht="13.5" customHeight="1">
      <c r="B550" s="57" t="s">
        <v>1095</v>
      </c>
      <c r="F550" s="57">
        <v>1</v>
      </c>
      <c r="G550" s="57" t="s">
        <v>1119</v>
      </c>
      <c r="H550" s="57" t="s">
        <v>1117</v>
      </c>
    </row>
    <row r="551" spans="2:8" ht="13.5" customHeight="1">
      <c r="B551" s="57" t="s">
        <v>1090</v>
      </c>
      <c r="D551" s="57" t="s">
        <v>1091</v>
      </c>
      <c r="F551" s="57">
        <v>2</v>
      </c>
      <c r="G551" s="57" t="s">
        <v>1119</v>
      </c>
      <c r="H551" s="57" t="s">
        <v>1117</v>
      </c>
    </row>
    <row r="552" spans="2:8" ht="13.5" customHeight="1">
      <c r="B552" s="57" t="s">
        <v>1096</v>
      </c>
      <c r="D552" s="57" t="s">
        <v>1097</v>
      </c>
      <c r="F552" s="57">
        <v>40</v>
      </c>
      <c r="G552" s="57" t="s">
        <v>1119</v>
      </c>
      <c r="H552" s="57" t="s">
        <v>1117</v>
      </c>
    </row>
    <row r="553" spans="2:8" ht="13.5" customHeight="1">
      <c r="B553" s="57" t="s">
        <v>1098</v>
      </c>
      <c r="F553" s="57">
        <v>48</v>
      </c>
      <c r="G553" s="57" t="s">
        <v>1119</v>
      </c>
      <c r="H553" s="57" t="s">
        <v>1117</v>
      </c>
    </row>
    <row r="554" spans="2:8" ht="13.5" customHeight="1">
      <c r="B554" s="57" t="s">
        <v>1093</v>
      </c>
      <c r="F554" s="57">
        <v>50</v>
      </c>
      <c r="G554" s="57" t="s">
        <v>1119</v>
      </c>
      <c r="H554" s="57" t="s">
        <v>1117</v>
      </c>
    </row>
    <row r="555" spans="2:8" ht="13.5" customHeight="1">
      <c r="B555" s="57" t="s">
        <v>642</v>
      </c>
      <c r="D555" s="57" t="s">
        <v>643</v>
      </c>
      <c r="F555" s="57">
        <v>1</v>
      </c>
      <c r="G555" s="57" t="s">
        <v>647</v>
      </c>
      <c r="H555" s="57" t="s">
        <v>363</v>
      </c>
    </row>
    <row r="556" spans="2:8" ht="13.5" customHeight="1">
      <c r="B556" s="57" t="s">
        <v>640</v>
      </c>
      <c r="D556" s="57" t="s">
        <v>641</v>
      </c>
      <c r="F556" s="57">
        <v>1</v>
      </c>
      <c r="G556" s="57" t="s">
        <v>647</v>
      </c>
      <c r="H556" s="57" t="s">
        <v>363</v>
      </c>
    </row>
    <row r="557" spans="2:8" ht="13.5" customHeight="1">
      <c r="B557" s="57" t="s">
        <v>638</v>
      </c>
      <c r="D557" s="57" t="s">
        <v>639</v>
      </c>
      <c r="F557" s="57">
        <v>1</v>
      </c>
      <c r="G557" s="57" t="s">
        <v>647</v>
      </c>
      <c r="H557" s="57" t="s">
        <v>363</v>
      </c>
    </row>
    <row r="558" spans="2:8" ht="13.5" customHeight="1">
      <c r="B558" s="57" t="s">
        <v>624</v>
      </c>
      <c r="D558" s="57" t="s">
        <v>625</v>
      </c>
      <c r="F558" s="57">
        <v>2</v>
      </c>
      <c r="G558" s="57" t="s">
        <v>647</v>
      </c>
      <c r="H558" s="57" t="s">
        <v>363</v>
      </c>
    </row>
    <row r="559" spans="2:8" ht="13.5" customHeight="1">
      <c r="B559" s="57" t="s">
        <v>615</v>
      </c>
      <c r="D559" s="57" t="s">
        <v>616</v>
      </c>
      <c r="E559" s="57" t="s">
        <v>617</v>
      </c>
      <c r="F559" s="57">
        <v>2</v>
      </c>
      <c r="G559" s="57" t="s">
        <v>647</v>
      </c>
      <c r="H559" s="57" t="s">
        <v>363</v>
      </c>
    </row>
    <row r="560" spans="2:8" ht="13.5" customHeight="1">
      <c r="B560" s="57" t="s">
        <v>636</v>
      </c>
      <c r="D560" s="57" t="s">
        <v>637</v>
      </c>
      <c r="F560" s="57">
        <v>2</v>
      </c>
      <c r="G560" s="57" t="s">
        <v>647</v>
      </c>
      <c r="H560" s="57" t="s">
        <v>363</v>
      </c>
    </row>
    <row r="561" spans="2:9" ht="13.5" customHeight="1">
      <c r="B561" s="57" t="s">
        <v>626</v>
      </c>
      <c r="D561" s="57" t="s">
        <v>627</v>
      </c>
      <c r="F561" s="57">
        <v>2</v>
      </c>
      <c r="G561" s="57" t="s">
        <v>647</v>
      </c>
      <c r="H561" s="57" t="s">
        <v>363</v>
      </c>
    </row>
    <row r="562" spans="2:9" ht="13.5" customHeight="1">
      <c r="B562" s="57" t="s">
        <v>631</v>
      </c>
      <c r="D562" s="57" t="s">
        <v>632</v>
      </c>
      <c r="F562" s="57">
        <v>2</v>
      </c>
      <c r="G562" s="57" t="s">
        <v>647</v>
      </c>
      <c r="H562" s="57" t="s">
        <v>363</v>
      </c>
    </row>
    <row r="563" spans="2:9" ht="13.5" customHeight="1">
      <c r="B563" s="57" t="s">
        <v>620</v>
      </c>
      <c r="D563" s="68" t="s">
        <v>621</v>
      </c>
      <c r="F563" s="57">
        <v>5</v>
      </c>
      <c r="G563" s="57" t="s">
        <v>647</v>
      </c>
      <c r="H563" s="57" t="s">
        <v>363</v>
      </c>
    </row>
    <row r="564" spans="2:9" ht="13.5" customHeight="1">
      <c r="B564" s="57" t="s">
        <v>618</v>
      </c>
      <c r="D564" s="57" t="s">
        <v>619</v>
      </c>
      <c r="F564" s="57">
        <v>5</v>
      </c>
      <c r="G564" s="57" t="s">
        <v>647</v>
      </c>
      <c r="H564" s="57" t="s">
        <v>363</v>
      </c>
    </row>
    <row r="565" spans="2:9" ht="13.5" customHeight="1">
      <c r="B565" s="57" t="s">
        <v>311</v>
      </c>
      <c r="D565" s="57" t="s">
        <v>1578</v>
      </c>
      <c r="F565" s="57">
        <v>11</v>
      </c>
      <c r="G565" s="57" t="s">
        <v>647</v>
      </c>
      <c r="H565" s="57" t="s">
        <v>363</v>
      </c>
    </row>
    <row r="566" spans="2:9" ht="13.5" customHeight="1">
      <c r="B566" s="57" t="s">
        <v>623</v>
      </c>
      <c r="D566" s="57" t="s">
        <v>939</v>
      </c>
      <c r="F566" s="57">
        <v>21</v>
      </c>
      <c r="G566" s="57" t="s">
        <v>647</v>
      </c>
      <c r="H566" s="57" t="s">
        <v>363</v>
      </c>
    </row>
    <row r="567" spans="2:9" ht="13.5" customHeight="1">
      <c r="B567" s="57" t="s">
        <v>8166</v>
      </c>
      <c r="D567" s="57" t="s">
        <v>628</v>
      </c>
      <c r="F567" s="57">
        <v>50</v>
      </c>
      <c r="G567" s="57" t="s">
        <v>647</v>
      </c>
      <c r="H567" s="57" t="s">
        <v>363</v>
      </c>
    </row>
    <row r="568" spans="2:9" ht="13.5" customHeight="1">
      <c r="B568" s="57" t="s">
        <v>622</v>
      </c>
      <c r="D568" s="57" t="s">
        <v>648</v>
      </c>
      <c r="F568" s="57">
        <v>51</v>
      </c>
      <c r="G568" s="57" t="s">
        <v>647</v>
      </c>
      <c r="H568" s="57" t="s">
        <v>363</v>
      </c>
    </row>
    <row r="569" spans="2:9" ht="13.5" customHeight="1">
      <c r="B569" s="57" t="s">
        <v>629</v>
      </c>
      <c r="D569" s="57" t="s">
        <v>1579</v>
      </c>
      <c r="F569" s="57">
        <v>51</v>
      </c>
      <c r="G569" s="57" t="s">
        <v>647</v>
      </c>
      <c r="H569" s="57" t="s">
        <v>363</v>
      </c>
    </row>
    <row r="570" spans="2:9" ht="13.5" customHeight="1">
      <c r="B570" s="57" t="s">
        <v>630</v>
      </c>
      <c r="D570" s="57" t="s">
        <v>1580</v>
      </c>
      <c r="F570" s="57">
        <v>52</v>
      </c>
      <c r="G570" s="57" t="s">
        <v>647</v>
      </c>
      <c r="H570" s="57" t="s">
        <v>363</v>
      </c>
    </row>
    <row r="571" spans="2:9" ht="13.5" customHeight="1">
      <c r="B571" s="57" t="s">
        <v>644</v>
      </c>
      <c r="D571" s="57" t="s">
        <v>645</v>
      </c>
      <c r="F571" s="57">
        <v>53</v>
      </c>
      <c r="G571" s="57" t="s">
        <v>647</v>
      </c>
      <c r="H571" s="57" t="s">
        <v>363</v>
      </c>
    </row>
    <row r="572" spans="2:9" ht="13.5" customHeight="1">
      <c r="B572" s="57" t="s">
        <v>633</v>
      </c>
      <c r="D572" s="57" t="s">
        <v>634</v>
      </c>
      <c r="E572" s="57" t="s">
        <v>635</v>
      </c>
      <c r="F572" s="57">
        <v>53</v>
      </c>
      <c r="G572" s="57" t="s">
        <v>647</v>
      </c>
      <c r="H572" s="57" t="s">
        <v>363</v>
      </c>
    </row>
    <row r="573" spans="2:9" ht="13.5" customHeight="1">
      <c r="B573" s="57" t="s">
        <v>1463</v>
      </c>
      <c r="D573" s="57" t="s">
        <v>1464</v>
      </c>
      <c r="F573" s="57">
        <v>9760</v>
      </c>
      <c r="G573" s="57" t="s">
        <v>614</v>
      </c>
      <c r="H573" s="57" t="s">
        <v>1489</v>
      </c>
    </row>
    <row r="574" spans="2:9" ht="13.5" customHeight="1">
      <c r="B574" s="57" t="s">
        <v>1457</v>
      </c>
      <c r="D574" s="57" t="s">
        <v>1458</v>
      </c>
      <c r="F574" s="57">
        <v>2998</v>
      </c>
      <c r="G574" s="57" t="s">
        <v>614</v>
      </c>
      <c r="H574" s="57" t="s">
        <v>1420</v>
      </c>
      <c r="I574" s="57" t="s">
        <v>1488</v>
      </c>
    </row>
    <row r="575" spans="2:9" ht="13.5" customHeight="1">
      <c r="B575" s="57" t="s">
        <v>1455</v>
      </c>
      <c r="D575" s="57" t="s">
        <v>1456</v>
      </c>
      <c r="F575" s="57">
        <v>3000</v>
      </c>
      <c r="G575" s="57" t="s">
        <v>614</v>
      </c>
      <c r="H575" s="57" t="s">
        <v>1420</v>
      </c>
      <c r="I575" s="57" t="s">
        <v>1488</v>
      </c>
    </row>
    <row r="576" spans="2:9" ht="13.5" customHeight="1">
      <c r="B576" s="57" t="s">
        <v>1453</v>
      </c>
      <c r="D576" s="57" t="s">
        <v>1454</v>
      </c>
      <c r="F576" s="57">
        <v>5986</v>
      </c>
      <c r="G576" s="57" t="s">
        <v>614</v>
      </c>
      <c r="H576" s="57" t="s">
        <v>1420</v>
      </c>
      <c r="I576" s="57" t="s">
        <v>1488</v>
      </c>
    </row>
    <row r="577" spans="2:9" ht="13.5" customHeight="1">
      <c r="B577" s="57" t="s">
        <v>1461</v>
      </c>
      <c r="D577" s="57" t="s">
        <v>1462</v>
      </c>
      <c r="F577" s="57">
        <v>9000</v>
      </c>
      <c r="G577" s="57" t="s">
        <v>614</v>
      </c>
      <c r="H577" s="57" t="s">
        <v>1420</v>
      </c>
      <c r="I577" s="57" t="s">
        <v>1488</v>
      </c>
    </row>
    <row r="578" spans="2:9" ht="13.5" customHeight="1">
      <c r="B578" s="57" t="s">
        <v>8911</v>
      </c>
      <c r="D578" s="57" t="s">
        <v>8911</v>
      </c>
      <c r="F578" s="57">
        <v>4</v>
      </c>
      <c r="G578" s="57" t="s">
        <v>614</v>
      </c>
      <c r="H578" s="57" t="s">
        <v>1116</v>
      </c>
    </row>
    <row r="579" spans="2:9" ht="13.5" customHeight="1">
      <c r="D579" s="57" t="s">
        <v>1470</v>
      </c>
      <c r="F579" s="57">
        <v>27</v>
      </c>
      <c r="G579" s="57" t="s">
        <v>614</v>
      </c>
      <c r="H579" s="57" t="s">
        <v>1116</v>
      </c>
    </row>
    <row r="580" spans="2:9" ht="13.5" customHeight="1">
      <c r="B580" s="57" t="s">
        <v>1465</v>
      </c>
      <c r="D580" s="57" t="s">
        <v>1466</v>
      </c>
      <c r="F580" s="57">
        <v>60</v>
      </c>
      <c r="G580" s="57" t="s">
        <v>614</v>
      </c>
      <c r="H580" s="57" t="s">
        <v>1116</v>
      </c>
      <c r="I580" s="57" t="s">
        <v>1490</v>
      </c>
    </row>
    <row r="581" spans="2:9" ht="13.5" customHeight="1">
      <c r="B581" s="57" t="s">
        <v>1577</v>
      </c>
      <c r="D581" s="57" t="s">
        <v>1446</v>
      </c>
      <c r="F581" s="57">
        <v>3000</v>
      </c>
      <c r="G581" s="57" t="s">
        <v>614</v>
      </c>
      <c r="H581" s="57" t="s">
        <v>1116</v>
      </c>
      <c r="I581" s="57" t="s">
        <v>1487</v>
      </c>
    </row>
    <row r="582" spans="2:9" ht="13.5" customHeight="1">
      <c r="B582" s="57" t="s">
        <v>1459</v>
      </c>
      <c r="D582" s="57" t="s">
        <v>1460</v>
      </c>
      <c r="F582" s="57">
        <v>25060</v>
      </c>
      <c r="G582" s="57" t="s">
        <v>614</v>
      </c>
      <c r="H582" s="57" t="s">
        <v>1116</v>
      </c>
      <c r="I582" s="57" t="s">
        <v>1488</v>
      </c>
    </row>
    <row r="583" spans="2:9" ht="13.5" customHeight="1">
      <c r="B583" s="57" t="s">
        <v>599</v>
      </c>
      <c r="D583" s="57" t="s">
        <v>600</v>
      </c>
      <c r="F583" s="57">
        <v>2</v>
      </c>
      <c r="G583" s="57" t="s">
        <v>614</v>
      </c>
      <c r="H583" s="57" t="s">
        <v>343</v>
      </c>
    </row>
    <row r="584" spans="2:9" ht="13.5" customHeight="1">
      <c r="B584" s="60" t="s">
        <v>8460</v>
      </c>
      <c r="D584" s="57" t="s">
        <v>613</v>
      </c>
      <c r="F584" s="57">
        <v>6</v>
      </c>
      <c r="G584" s="57" t="s">
        <v>614</v>
      </c>
      <c r="H584" s="57" t="s">
        <v>343</v>
      </c>
    </row>
    <row r="585" spans="2:9" ht="13.5" customHeight="1">
      <c r="B585" s="57" t="s">
        <v>560</v>
      </c>
      <c r="D585" s="57" t="s">
        <v>561</v>
      </c>
      <c r="F585" s="57">
        <v>7</v>
      </c>
      <c r="G585" s="57" t="s">
        <v>614</v>
      </c>
      <c r="H585" s="57" t="s">
        <v>343</v>
      </c>
    </row>
    <row r="586" spans="2:9" ht="13.5" customHeight="1">
      <c r="B586" s="57" t="s">
        <v>582</v>
      </c>
      <c r="D586" s="57" t="s">
        <v>583</v>
      </c>
      <c r="F586" s="57">
        <v>7</v>
      </c>
      <c r="G586" s="57" t="s">
        <v>614</v>
      </c>
      <c r="H586" s="57" t="s">
        <v>343</v>
      </c>
    </row>
    <row r="587" spans="2:9" ht="13.5" customHeight="1">
      <c r="B587" s="57" t="s">
        <v>558</v>
      </c>
      <c r="D587" s="57" t="s">
        <v>559</v>
      </c>
      <c r="F587" s="57">
        <v>7</v>
      </c>
      <c r="G587" s="57" t="s">
        <v>614</v>
      </c>
      <c r="H587" s="57" t="s">
        <v>343</v>
      </c>
    </row>
    <row r="588" spans="2:9" ht="13.5" customHeight="1">
      <c r="B588" s="57" t="s">
        <v>611</v>
      </c>
      <c r="D588" s="57" t="s">
        <v>612</v>
      </c>
      <c r="F588" s="57">
        <v>7</v>
      </c>
      <c r="G588" s="57" t="s">
        <v>614</v>
      </c>
      <c r="H588" s="57" t="s">
        <v>343</v>
      </c>
    </row>
    <row r="589" spans="2:9" ht="13.5" customHeight="1">
      <c r="B589" s="57" t="s">
        <v>543</v>
      </c>
      <c r="D589" s="57" t="s">
        <v>544</v>
      </c>
      <c r="F589" s="57">
        <v>7</v>
      </c>
      <c r="G589" s="57" t="s">
        <v>614</v>
      </c>
      <c r="H589" s="57" t="s">
        <v>343</v>
      </c>
    </row>
    <row r="590" spans="2:9" ht="13.5" customHeight="1">
      <c r="B590" s="57" t="s">
        <v>554</v>
      </c>
      <c r="D590" s="57" t="s">
        <v>555</v>
      </c>
      <c r="F590" s="57">
        <v>7</v>
      </c>
      <c r="G590" s="57" t="s">
        <v>614</v>
      </c>
      <c r="H590" s="57" t="s">
        <v>343</v>
      </c>
    </row>
    <row r="591" spans="2:9" ht="13.5" customHeight="1">
      <c r="B591" s="57" t="s">
        <v>549</v>
      </c>
      <c r="D591" s="57" t="s">
        <v>550</v>
      </c>
      <c r="F591" s="57">
        <v>7</v>
      </c>
      <c r="G591" s="57" t="s">
        <v>614</v>
      </c>
      <c r="H591" s="57" t="s">
        <v>343</v>
      </c>
    </row>
    <row r="592" spans="2:9" ht="13.5" customHeight="1">
      <c r="B592" s="57" t="s">
        <v>556</v>
      </c>
      <c r="D592" s="68" t="s">
        <v>557</v>
      </c>
      <c r="F592" s="57">
        <v>7</v>
      </c>
      <c r="G592" s="57" t="s">
        <v>614</v>
      </c>
      <c r="H592" s="57" t="s">
        <v>343</v>
      </c>
    </row>
    <row r="593" spans="2:8" ht="13.5" customHeight="1">
      <c r="B593" s="57" t="s">
        <v>609</v>
      </c>
      <c r="D593" s="57" t="s">
        <v>610</v>
      </c>
      <c r="F593" s="57">
        <v>7</v>
      </c>
      <c r="G593" s="57" t="s">
        <v>614</v>
      </c>
      <c r="H593" s="57" t="s">
        <v>343</v>
      </c>
    </row>
    <row r="594" spans="2:8" ht="13.5" customHeight="1">
      <c r="B594" s="57" t="s">
        <v>603</v>
      </c>
      <c r="D594" s="57" t="s">
        <v>604</v>
      </c>
      <c r="F594" s="57">
        <v>7</v>
      </c>
      <c r="G594" s="57" t="s">
        <v>614</v>
      </c>
      <c r="H594" s="57" t="s">
        <v>343</v>
      </c>
    </row>
    <row r="595" spans="2:8" ht="13.5" customHeight="1">
      <c r="B595" s="57" t="s">
        <v>597</v>
      </c>
      <c r="D595" s="57" t="s">
        <v>598</v>
      </c>
      <c r="F595" s="57">
        <v>7</v>
      </c>
      <c r="G595" s="57" t="s">
        <v>614</v>
      </c>
      <c r="H595" s="57" t="s">
        <v>343</v>
      </c>
    </row>
    <row r="596" spans="2:8" ht="13.5" customHeight="1">
      <c r="B596" s="57" t="s">
        <v>601</v>
      </c>
      <c r="D596" s="57" t="s">
        <v>602</v>
      </c>
      <c r="F596" s="57">
        <v>7</v>
      </c>
      <c r="G596" s="57" t="s">
        <v>614</v>
      </c>
      <c r="H596" s="57" t="s">
        <v>343</v>
      </c>
    </row>
    <row r="597" spans="2:8" ht="13.5" customHeight="1">
      <c r="B597" s="57" t="s">
        <v>545</v>
      </c>
      <c r="D597" s="57" t="s">
        <v>546</v>
      </c>
      <c r="F597" s="57">
        <v>8</v>
      </c>
      <c r="G597" s="57" t="s">
        <v>614</v>
      </c>
      <c r="H597" s="57" t="s">
        <v>343</v>
      </c>
    </row>
    <row r="598" spans="2:8" ht="13.5" customHeight="1">
      <c r="B598" s="57" t="s">
        <v>605</v>
      </c>
      <c r="D598" s="68" t="s">
        <v>606</v>
      </c>
      <c r="F598" s="57">
        <v>9</v>
      </c>
      <c r="G598" s="57" t="s">
        <v>614</v>
      </c>
      <c r="H598" s="57" t="s">
        <v>343</v>
      </c>
    </row>
    <row r="599" spans="2:8" ht="13.5" customHeight="1">
      <c r="B599" s="57" t="s">
        <v>607</v>
      </c>
      <c r="D599" s="57" t="s">
        <v>608</v>
      </c>
      <c r="F599" s="57">
        <v>9</v>
      </c>
      <c r="G599" s="57" t="s">
        <v>614</v>
      </c>
      <c r="H599" s="57" t="s">
        <v>343</v>
      </c>
    </row>
    <row r="600" spans="2:8" ht="13.5" customHeight="1">
      <c r="B600" s="57" t="s">
        <v>588</v>
      </c>
      <c r="D600" s="57" t="s">
        <v>589</v>
      </c>
      <c r="F600" s="57">
        <v>10</v>
      </c>
      <c r="G600" s="57" t="s">
        <v>614</v>
      </c>
      <c r="H600" s="57" t="s">
        <v>343</v>
      </c>
    </row>
    <row r="601" spans="2:8" ht="13.5" customHeight="1">
      <c r="B601" s="57" t="s">
        <v>592</v>
      </c>
      <c r="D601" s="57" t="s">
        <v>593</v>
      </c>
      <c r="F601" s="57">
        <v>10</v>
      </c>
      <c r="G601" s="57" t="s">
        <v>614</v>
      </c>
      <c r="H601" s="57" t="s">
        <v>343</v>
      </c>
    </row>
    <row r="602" spans="2:8" ht="13.5" customHeight="1">
      <c r="B602" s="57" t="s">
        <v>553</v>
      </c>
      <c r="D602" s="57" t="s">
        <v>497</v>
      </c>
      <c r="F602" s="57">
        <v>12</v>
      </c>
      <c r="G602" s="57" t="s">
        <v>614</v>
      </c>
      <c r="H602" s="57" t="s">
        <v>343</v>
      </c>
    </row>
    <row r="603" spans="2:8" ht="13.5" customHeight="1">
      <c r="B603" s="57" t="s">
        <v>586</v>
      </c>
      <c r="D603" s="57" t="s">
        <v>587</v>
      </c>
      <c r="F603" s="57">
        <v>12</v>
      </c>
      <c r="G603" s="57" t="s">
        <v>614</v>
      </c>
      <c r="H603" s="57" t="s">
        <v>343</v>
      </c>
    </row>
    <row r="604" spans="2:8" ht="13.5" customHeight="1">
      <c r="B604" s="57" t="s">
        <v>539</v>
      </c>
      <c r="D604" s="57" t="s">
        <v>540</v>
      </c>
      <c r="F604" s="57">
        <v>14</v>
      </c>
      <c r="G604" s="57" t="s">
        <v>614</v>
      </c>
      <c r="H604" s="57" t="s">
        <v>343</v>
      </c>
    </row>
    <row r="605" spans="2:8" ht="13.5" customHeight="1">
      <c r="B605" s="57" t="s">
        <v>551</v>
      </c>
      <c r="D605" s="57" t="s">
        <v>552</v>
      </c>
      <c r="F605" s="57">
        <v>14</v>
      </c>
      <c r="G605" s="57" t="s">
        <v>614</v>
      </c>
      <c r="H605" s="57" t="s">
        <v>343</v>
      </c>
    </row>
    <row r="606" spans="2:8" ht="13.5" customHeight="1">
      <c r="B606" s="57" t="s">
        <v>541</v>
      </c>
      <c r="D606" s="57" t="s">
        <v>542</v>
      </c>
      <c r="F606" s="57">
        <v>14</v>
      </c>
      <c r="G606" s="57" t="s">
        <v>614</v>
      </c>
      <c r="H606" s="57" t="s">
        <v>343</v>
      </c>
    </row>
    <row r="607" spans="2:8" ht="13.5" customHeight="1">
      <c r="B607" s="57" t="s">
        <v>595</v>
      </c>
      <c r="D607" s="57" t="s">
        <v>596</v>
      </c>
      <c r="F607" s="57">
        <v>15</v>
      </c>
      <c r="G607" s="57" t="s">
        <v>614</v>
      </c>
      <c r="H607" s="57" t="s">
        <v>343</v>
      </c>
    </row>
    <row r="608" spans="2:8" ht="13.5" customHeight="1">
      <c r="B608" s="57" t="s">
        <v>584</v>
      </c>
      <c r="D608" s="57" t="s">
        <v>585</v>
      </c>
      <c r="F608" s="57">
        <v>17</v>
      </c>
      <c r="G608" s="57" t="s">
        <v>614</v>
      </c>
      <c r="H608" s="57" t="s">
        <v>343</v>
      </c>
    </row>
    <row r="609" spans="2:8" ht="13.5" customHeight="1">
      <c r="B609" s="57" t="s">
        <v>547</v>
      </c>
      <c r="D609" s="57" t="s">
        <v>548</v>
      </c>
      <c r="F609" s="57">
        <v>20</v>
      </c>
      <c r="G609" s="57" t="s">
        <v>614</v>
      </c>
      <c r="H609" s="57" t="s">
        <v>343</v>
      </c>
    </row>
    <row r="610" spans="2:8" ht="13.5" customHeight="1">
      <c r="B610" s="57" t="s">
        <v>1468</v>
      </c>
      <c r="D610" s="57" t="s">
        <v>1113</v>
      </c>
      <c r="F610" s="57">
        <v>30</v>
      </c>
      <c r="G610" s="57" t="s">
        <v>614</v>
      </c>
      <c r="H610" s="57" t="s">
        <v>343</v>
      </c>
    </row>
    <row r="611" spans="2:8" ht="13.5" customHeight="1">
      <c r="B611" s="57" t="s">
        <v>1467</v>
      </c>
      <c r="D611" s="57" t="s">
        <v>1083</v>
      </c>
      <c r="F611" s="57">
        <v>43</v>
      </c>
      <c r="G611" s="57" t="s">
        <v>614</v>
      </c>
      <c r="H611" s="57" t="s">
        <v>343</v>
      </c>
    </row>
    <row r="612" spans="2:8" ht="13.5" customHeight="1">
      <c r="B612" s="57" t="s">
        <v>594</v>
      </c>
      <c r="D612" s="57" t="s">
        <v>454</v>
      </c>
      <c r="F612" s="57">
        <v>85</v>
      </c>
      <c r="G612" s="57" t="s">
        <v>614</v>
      </c>
      <c r="H612" s="57" t="s">
        <v>343</v>
      </c>
    </row>
    <row r="613" spans="2:8" ht="13.5" customHeight="1">
      <c r="B613" s="57" t="s">
        <v>590</v>
      </c>
      <c r="D613" s="57" t="s">
        <v>591</v>
      </c>
      <c r="F613" s="57">
        <v>95</v>
      </c>
      <c r="G613" s="57" t="s">
        <v>614</v>
      </c>
      <c r="H613" s="57" t="s">
        <v>343</v>
      </c>
    </row>
    <row r="614" spans="2:8" ht="13.5" customHeight="1">
      <c r="B614" s="57" t="s">
        <v>536</v>
      </c>
      <c r="D614" s="57" t="s">
        <v>537</v>
      </c>
      <c r="F614" s="57">
        <v>105</v>
      </c>
      <c r="G614" s="57" t="s">
        <v>614</v>
      </c>
      <c r="H614" s="57" t="s">
        <v>343</v>
      </c>
    </row>
    <row r="615" spans="2:8" ht="13.5" customHeight="1">
      <c r="B615" s="57" t="s">
        <v>536</v>
      </c>
      <c r="D615" s="57" t="s">
        <v>538</v>
      </c>
      <c r="F615" s="57">
        <v>167</v>
      </c>
      <c r="G615" s="57" t="s">
        <v>614</v>
      </c>
      <c r="H615" s="57" t="s">
        <v>343</v>
      </c>
    </row>
    <row r="616" spans="2:8" ht="13.5" customHeight="1">
      <c r="B616" s="57" t="s">
        <v>697</v>
      </c>
      <c r="D616" s="57" t="s">
        <v>1444</v>
      </c>
      <c r="F616" s="57">
        <v>3</v>
      </c>
      <c r="G616" s="57" t="s">
        <v>614</v>
      </c>
      <c r="H616" s="57" t="s">
        <v>344</v>
      </c>
    </row>
    <row r="617" spans="2:8" ht="13.5" customHeight="1">
      <c r="B617" s="57" t="s">
        <v>1440</v>
      </c>
      <c r="D617" s="57" t="s">
        <v>1441</v>
      </c>
      <c r="F617" s="57">
        <v>4</v>
      </c>
      <c r="G617" s="57" t="s">
        <v>614</v>
      </c>
      <c r="H617" s="57" t="s">
        <v>344</v>
      </c>
    </row>
    <row r="618" spans="2:8" ht="13.5" customHeight="1">
      <c r="B618" s="57" t="s">
        <v>1442</v>
      </c>
      <c r="D618" s="57" t="s">
        <v>1443</v>
      </c>
      <c r="F618" s="57">
        <v>5</v>
      </c>
      <c r="G618" s="57" t="s">
        <v>614</v>
      </c>
      <c r="H618" s="57" t="s">
        <v>344</v>
      </c>
    </row>
    <row r="619" spans="2:8" ht="13.5" customHeight="1">
      <c r="B619" s="57" t="s">
        <v>1430</v>
      </c>
      <c r="D619" s="57" t="s">
        <v>1431</v>
      </c>
      <c r="F619" s="57">
        <v>6</v>
      </c>
      <c r="G619" s="57" t="s">
        <v>614</v>
      </c>
      <c r="H619" s="57" t="s">
        <v>344</v>
      </c>
    </row>
    <row r="620" spans="2:8" ht="13.5" customHeight="1">
      <c r="B620" s="57" t="s">
        <v>1436</v>
      </c>
      <c r="D620" s="57" t="s">
        <v>1448</v>
      </c>
      <c r="F620" s="57">
        <v>8</v>
      </c>
      <c r="G620" s="57" t="s">
        <v>614</v>
      </c>
      <c r="H620" s="57" t="s">
        <v>344</v>
      </c>
    </row>
    <row r="621" spans="2:8" ht="13.5" customHeight="1">
      <c r="B621" s="57" t="s">
        <v>1432</v>
      </c>
      <c r="D621" s="57" t="s">
        <v>1433</v>
      </c>
      <c r="F621" s="57">
        <v>10</v>
      </c>
      <c r="G621" s="57" t="s">
        <v>614</v>
      </c>
      <c r="H621" s="57" t="s">
        <v>344</v>
      </c>
    </row>
    <row r="622" spans="2:8" ht="13.5" customHeight="1">
      <c r="B622" s="57" t="s">
        <v>1427</v>
      </c>
      <c r="D622" s="57" t="s">
        <v>1425</v>
      </c>
      <c r="F622" s="57">
        <v>12</v>
      </c>
      <c r="G622" s="57" t="s">
        <v>614</v>
      </c>
      <c r="H622" s="57" t="s">
        <v>344</v>
      </c>
    </row>
    <row r="623" spans="2:8" ht="13.5" customHeight="1">
      <c r="B623" s="57" t="s">
        <v>1434</v>
      </c>
      <c r="D623" s="57" t="s">
        <v>1435</v>
      </c>
      <c r="F623" s="57">
        <v>17</v>
      </c>
      <c r="G623" s="57" t="s">
        <v>614</v>
      </c>
      <c r="H623" s="57" t="s">
        <v>344</v>
      </c>
    </row>
    <row r="624" spans="2:8" ht="13.5" customHeight="1">
      <c r="B624" s="57" t="s">
        <v>1428</v>
      </c>
      <c r="D624" s="57" t="s">
        <v>1429</v>
      </c>
      <c r="F624" s="57">
        <v>19</v>
      </c>
      <c r="G624" s="57" t="s">
        <v>614</v>
      </c>
      <c r="H624" s="57" t="s">
        <v>344</v>
      </c>
    </row>
    <row r="625" spans="2:9" ht="13.5" customHeight="1">
      <c r="B625" s="57" t="s">
        <v>1445</v>
      </c>
      <c r="D625" s="57" t="s">
        <v>1446</v>
      </c>
      <c r="F625" s="57">
        <v>21</v>
      </c>
      <c r="G625" s="57" t="s">
        <v>614</v>
      </c>
      <c r="H625" s="57" t="s">
        <v>344</v>
      </c>
    </row>
    <row r="626" spans="2:9" ht="13.5" customHeight="1">
      <c r="B626" s="57" t="s">
        <v>1438</v>
      </c>
      <c r="D626" s="57" t="s">
        <v>1391</v>
      </c>
      <c r="F626" s="57">
        <v>24</v>
      </c>
      <c r="G626" s="57" t="s">
        <v>614</v>
      </c>
      <c r="H626" s="57" t="s">
        <v>344</v>
      </c>
    </row>
    <row r="627" spans="2:9" ht="13.5" customHeight="1">
      <c r="B627" s="57" t="s">
        <v>1439</v>
      </c>
      <c r="D627" s="57" t="s">
        <v>749</v>
      </c>
      <c r="F627" s="57">
        <v>34</v>
      </c>
      <c r="G627" s="57" t="s">
        <v>614</v>
      </c>
      <c r="H627" s="57" t="s">
        <v>344</v>
      </c>
    </row>
    <row r="628" spans="2:9" ht="13.5" customHeight="1">
      <c r="B628" s="57" t="s">
        <v>1437</v>
      </c>
      <c r="D628" s="57" t="s">
        <v>973</v>
      </c>
      <c r="F628" s="57">
        <v>39</v>
      </c>
      <c r="G628" s="57" t="s">
        <v>614</v>
      </c>
      <c r="H628" s="57" t="s">
        <v>344</v>
      </c>
    </row>
    <row r="629" spans="2:9" ht="13.5" customHeight="1">
      <c r="B629" s="57" t="s">
        <v>376</v>
      </c>
      <c r="D629" s="57" t="s">
        <v>1424</v>
      </c>
      <c r="F629" s="57">
        <v>118</v>
      </c>
      <c r="G629" s="57" t="s">
        <v>614</v>
      </c>
      <c r="H629" s="57" t="s">
        <v>344</v>
      </c>
    </row>
    <row r="630" spans="2:9" ht="13.5" customHeight="1">
      <c r="B630" s="57" t="s">
        <v>1422</v>
      </c>
      <c r="D630" s="57" t="s">
        <v>1419</v>
      </c>
      <c r="F630" s="57">
        <v>157</v>
      </c>
      <c r="G630" s="57" t="s">
        <v>614</v>
      </c>
      <c r="H630" s="57" t="s">
        <v>344</v>
      </c>
    </row>
    <row r="631" spans="2:9" ht="13.5" customHeight="1">
      <c r="B631" s="57" t="s">
        <v>1426</v>
      </c>
      <c r="D631" s="57" t="s">
        <v>1421</v>
      </c>
      <c r="F631" s="57">
        <v>214</v>
      </c>
      <c r="G631" s="57" t="s">
        <v>614</v>
      </c>
      <c r="H631" s="57" t="s">
        <v>344</v>
      </c>
    </row>
    <row r="632" spans="2:9" ht="13.5" customHeight="1">
      <c r="B632" s="57" t="s">
        <v>1469</v>
      </c>
      <c r="D632" s="57" t="s">
        <v>278</v>
      </c>
      <c r="F632" s="57">
        <v>286</v>
      </c>
      <c r="G632" s="57" t="s">
        <v>614</v>
      </c>
      <c r="H632" s="57" t="s">
        <v>344</v>
      </c>
    </row>
    <row r="633" spans="2:9" ht="13.5" customHeight="1">
      <c r="D633" s="57" t="s">
        <v>1452</v>
      </c>
      <c r="F633" s="57">
        <v>1</v>
      </c>
      <c r="G633" s="57" t="s">
        <v>614</v>
      </c>
      <c r="H633" s="57" t="s">
        <v>345</v>
      </c>
      <c r="I633" s="57" t="s">
        <v>1487</v>
      </c>
    </row>
    <row r="634" spans="2:9" ht="13.5" customHeight="1">
      <c r="D634" s="57" t="s">
        <v>1449</v>
      </c>
      <c r="F634" s="57">
        <v>1</v>
      </c>
      <c r="G634" s="57" t="s">
        <v>614</v>
      </c>
      <c r="H634" s="57" t="s">
        <v>345</v>
      </c>
    </row>
    <row r="635" spans="2:9" ht="13.5" customHeight="1">
      <c r="B635" s="57" t="s">
        <v>9199</v>
      </c>
      <c r="D635" s="57" t="s">
        <v>9200</v>
      </c>
      <c r="F635" s="57">
        <v>30</v>
      </c>
      <c r="G635" s="57" t="s">
        <v>614</v>
      </c>
      <c r="H635" s="57" t="s">
        <v>345</v>
      </c>
    </row>
    <row r="636" spans="2:9" ht="13.5" customHeight="1">
      <c r="B636" s="57" t="s">
        <v>1450</v>
      </c>
      <c r="D636" s="57" t="s">
        <v>1451</v>
      </c>
      <c r="F636" s="57">
        <v>1907</v>
      </c>
      <c r="G636" s="57" t="s">
        <v>614</v>
      </c>
      <c r="H636" s="57" t="s">
        <v>345</v>
      </c>
    </row>
    <row r="637" spans="2:9" ht="13.5" customHeight="1">
      <c r="B637" s="57" t="s">
        <v>573</v>
      </c>
      <c r="D637" s="57">
        <v>61302021121</v>
      </c>
      <c r="F637" s="57">
        <v>7</v>
      </c>
      <c r="G637" s="57" t="s">
        <v>614</v>
      </c>
      <c r="H637" s="57" t="s">
        <v>919</v>
      </c>
    </row>
    <row r="638" spans="2:9" ht="13.5" customHeight="1">
      <c r="B638" s="57" t="s">
        <v>580</v>
      </c>
      <c r="D638" s="57" t="s">
        <v>581</v>
      </c>
      <c r="F638" s="57">
        <v>7</v>
      </c>
      <c r="G638" s="57" t="s">
        <v>614</v>
      </c>
      <c r="H638" s="57" t="s">
        <v>919</v>
      </c>
    </row>
    <row r="639" spans="2:9" ht="13.5" customHeight="1">
      <c r="B639" s="57" t="s">
        <v>563</v>
      </c>
      <c r="D639" s="57" t="s">
        <v>564</v>
      </c>
      <c r="F639" s="57">
        <v>7</v>
      </c>
      <c r="G639" s="57" t="s">
        <v>614</v>
      </c>
      <c r="H639" s="57" t="s">
        <v>919</v>
      </c>
    </row>
    <row r="640" spans="2:9" ht="13.5" customHeight="1">
      <c r="B640" s="57" t="s">
        <v>571</v>
      </c>
      <c r="D640" s="57" t="s">
        <v>572</v>
      </c>
      <c r="F640" s="57">
        <v>7</v>
      </c>
      <c r="G640" s="57" t="s">
        <v>614</v>
      </c>
      <c r="H640" s="57" t="s">
        <v>919</v>
      </c>
    </row>
    <row r="641" spans="2:8" ht="13.5" customHeight="1">
      <c r="B641" s="57" t="s">
        <v>567</v>
      </c>
      <c r="D641" s="57" t="s">
        <v>568</v>
      </c>
      <c r="F641" s="57">
        <v>8</v>
      </c>
      <c r="G641" s="57" t="s">
        <v>614</v>
      </c>
      <c r="H641" s="57" t="s">
        <v>919</v>
      </c>
    </row>
    <row r="642" spans="2:8" ht="13.5" customHeight="1">
      <c r="B642" s="57" t="s">
        <v>576</v>
      </c>
      <c r="D642" s="57">
        <v>61300511121</v>
      </c>
      <c r="F642" s="57">
        <v>10</v>
      </c>
      <c r="G642" s="57" t="s">
        <v>614</v>
      </c>
      <c r="H642" s="57" t="s">
        <v>919</v>
      </c>
    </row>
    <row r="643" spans="2:8" ht="13.5" customHeight="1">
      <c r="B643" s="57" t="s">
        <v>562</v>
      </c>
      <c r="D643" s="57">
        <v>61300621121</v>
      </c>
      <c r="F643" s="57">
        <v>10</v>
      </c>
      <c r="G643" s="57" t="s">
        <v>614</v>
      </c>
      <c r="H643" s="57" t="s">
        <v>919</v>
      </c>
    </row>
    <row r="644" spans="2:8" ht="13.5" customHeight="1">
      <c r="B644" s="57" t="s">
        <v>565</v>
      </c>
      <c r="D644" s="57" t="s">
        <v>566</v>
      </c>
      <c r="F644" s="57">
        <v>12</v>
      </c>
      <c r="G644" s="57" t="s">
        <v>614</v>
      </c>
      <c r="H644" s="57" t="s">
        <v>919</v>
      </c>
    </row>
    <row r="645" spans="2:8" ht="13.5" customHeight="1">
      <c r="B645" s="57" t="s">
        <v>569</v>
      </c>
      <c r="D645" s="57" t="s">
        <v>570</v>
      </c>
      <c r="F645" s="57">
        <v>13</v>
      </c>
      <c r="G645" s="57" t="s">
        <v>614</v>
      </c>
      <c r="H645" s="57" t="s">
        <v>919</v>
      </c>
    </row>
    <row r="646" spans="2:8" ht="13.5" customHeight="1">
      <c r="B646" s="57" t="s">
        <v>578</v>
      </c>
      <c r="D646" s="57" t="s">
        <v>579</v>
      </c>
      <c r="F646" s="57">
        <v>25</v>
      </c>
      <c r="G646" s="57" t="s">
        <v>614</v>
      </c>
      <c r="H646" s="57" t="s">
        <v>919</v>
      </c>
    </row>
    <row r="647" spans="2:8" ht="13.5" customHeight="1">
      <c r="B647" s="57" t="s">
        <v>576</v>
      </c>
      <c r="D647" s="57" t="s">
        <v>577</v>
      </c>
      <c r="E647" s="68"/>
      <c r="F647" s="57">
        <v>29</v>
      </c>
      <c r="G647" s="57" t="s">
        <v>614</v>
      </c>
      <c r="H647" s="57" t="s">
        <v>919</v>
      </c>
    </row>
    <row r="648" spans="2:8" ht="13.5" customHeight="1">
      <c r="B648" s="57" t="s">
        <v>576</v>
      </c>
      <c r="D648" s="57">
        <v>61300511821</v>
      </c>
      <c r="F648" s="57">
        <v>30</v>
      </c>
      <c r="G648" s="57" t="s">
        <v>614</v>
      </c>
      <c r="H648" s="57" t="s">
        <v>919</v>
      </c>
    </row>
    <row r="649" spans="2:8" ht="13.5" customHeight="1">
      <c r="B649" s="57" t="s">
        <v>574</v>
      </c>
      <c r="D649" s="57" t="s">
        <v>575</v>
      </c>
      <c r="F649" s="57">
        <v>30</v>
      </c>
      <c r="G649" s="57" t="s">
        <v>614</v>
      </c>
      <c r="H649" s="57" t="s">
        <v>919</v>
      </c>
    </row>
    <row r="650" spans="2:8" ht="13.5" customHeight="1">
      <c r="B650" s="57" t="s">
        <v>1485</v>
      </c>
      <c r="D650" s="57" t="s">
        <v>1458</v>
      </c>
      <c r="F650" s="57">
        <v>3</v>
      </c>
      <c r="G650" s="57" t="s">
        <v>614</v>
      </c>
      <c r="H650" s="57" t="s">
        <v>918</v>
      </c>
    </row>
    <row r="651" spans="2:8" ht="13.5" customHeight="1">
      <c r="B651" s="57" t="s">
        <v>1486</v>
      </c>
      <c r="D651" s="68" t="s">
        <v>1456</v>
      </c>
      <c r="F651" s="57">
        <v>3</v>
      </c>
      <c r="G651" s="57" t="s">
        <v>614</v>
      </c>
      <c r="H651" s="57" t="s">
        <v>918</v>
      </c>
    </row>
    <row r="652" spans="2:8" ht="13.5" customHeight="1">
      <c r="B652" s="57" t="s">
        <v>1484</v>
      </c>
      <c r="D652" s="57" t="s">
        <v>1454</v>
      </c>
      <c r="E652" s="68"/>
      <c r="F652" s="57">
        <v>4</v>
      </c>
      <c r="G652" s="57" t="s">
        <v>614</v>
      </c>
      <c r="H652" s="57" t="s">
        <v>918</v>
      </c>
    </row>
    <row r="653" spans="2:8" ht="13.5" customHeight="1">
      <c r="B653" s="57" t="s">
        <v>1483</v>
      </c>
      <c r="D653" s="57" t="s">
        <v>1462</v>
      </c>
      <c r="E653" s="68"/>
      <c r="F653" s="57">
        <v>15</v>
      </c>
      <c r="G653" s="57" t="s">
        <v>614</v>
      </c>
      <c r="H653" s="57" t="s">
        <v>918</v>
      </c>
    </row>
    <row r="654" spans="2:8" ht="13.5" customHeight="1">
      <c r="B654" s="57" t="s">
        <v>1481</v>
      </c>
      <c r="D654" s="57" t="s">
        <v>1482</v>
      </c>
      <c r="F654" s="57">
        <v>40</v>
      </c>
      <c r="G654" s="57" t="s">
        <v>614</v>
      </c>
      <c r="H654" s="57" t="s">
        <v>918</v>
      </c>
    </row>
    <row r="655" spans="2:8" ht="13.5" customHeight="1">
      <c r="B655" s="57" t="s">
        <v>1471</v>
      </c>
      <c r="D655" s="60" t="s">
        <v>8459</v>
      </c>
      <c r="F655" s="57">
        <v>75</v>
      </c>
      <c r="G655" s="57" t="s">
        <v>614</v>
      </c>
      <c r="H655" s="57" t="s">
        <v>918</v>
      </c>
    </row>
    <row r="656" spans="2:8" ht="13.5" customHeight="1">
      <c r="B656" s="57" t="s">
        <v>1474</v>
      </c>
      <c r="D656" s="57" t="s">
        <v>1475</v>
      </c>
      <c r="F656" s="57">
        <v>100</v>
      </c>
      <c r="G656" s="57" t="s">
        <v>614</v>
      </c>
      <c r="H656" s="57" t="s">
        <v>918</v>
      </c>
    </row>
    <row r="657" spans="2:8" ht="13.5" customHeight="1">
      <c r="B657" s="57" t="s">
        <v>1477</v>
      </c>
      <c r="D657" s="57" t="s">
        <v>1478</v>
      </c>
      <c r="F657" s="57">
        <v>134</v>
      </c>
      <c r="G657" s="57" t="s">
        <v>614</v>
      </c>
      <c r="H657" s="57" t="s">
        <v>918</v>
      </c>
    </row>
    <row r="658" spans="2:8" ht="13.5" customHeight="1">
      <c r="B658" s="57" t="s">
        <v>1479</v>
      </c>
      <c r="D658" s="57" t="s">
        <v>1480</v>
      </c>
      <c r="F658" s="57">
        <v>155</v>
      </c>
      <c r="G658" s="57" t="s">
        <v>614</v>
      </c>
      <c r="H658" s="57" t="s">
        <v>918</v>
      </c>
    </row>
    <row r="659" spans="2:8" ht="13.5" customHeight="1">
      <c r="B659" s="57" t="s">
        <v>1476</v>
      </c>
      <c r="D659" s="57">
        <v>1725656</v>
      </c>
      <c r="F659" s="57">
        <v>235</v>
      </c>
      <c r="G659" s="57" t="s">
        <v>614</v>
      </c>
      <c r="H659" s="57" t="s">
        <v>918</v>
      </c>
    </row>
    <row r="660" spans="2:8" ht="13.5" customHeight="1">
      <c r="B660" s="57" t="s">
        <v>1472</v>
      </c>
      <c r="D660" s="57" t="s">
        <v>1473</v>
      </c>
      <c r="F660" s="57">
        <v>292</v>
      </c>
      <c r="G660" s="57" t="s">
        <v>614</v>
      </c>
      <c r="H660" s="57" t="s">
        <v>918</v>
      </c>
    </row>
    <row r="661" spans="2:8" ht="13.5" customHeight="1">
      <c r="D661" s="57" t="s">
        <v>1274</v>
      </c>
      <c r="F661" s="57">
        <v>38</v>
      </c>
      <c r="G661" s="57" t="s">
        <v>1359</v>
      </c>
      <c r="H661" s="57" t="s">
        <v>1116</v>
      </c>
    </row>
    <row r="662" spans="2:8" ht="13.5" customHeight="1">
      <c r="D662" s="57" t="s">
        <v>1177</v>
      </c>
      <c r="F662" s="57">
        <v>64</v>
      </c>
      <c r="G662" s="57" t="s">
        <v>1359</v>
      </c>
      <c r="H662" s="57" t="s">
        <v>1116</v>
      </c>
    </row>
    <row r="663" spans="2:8" ht="13.5" customHeight="1">
      <c r="B663" s="57" t="s">
        <v>1191</v>
      </c>
      <c r="D663" s="57" t="s">
        <v>1191</v>
      </c>
      <c r="F663" s="57">
        <v>162</v>
      </c>
      <c r="G663" s="57" t="s">
        <v>1359</v>
      </c>
      <c r="H663" s="57" t="s">
        <v>1116</v>
      </c>
    </row>
    <row r="664" spans="2:8" ht="13.5" customHeight="1">
      <c r="B664" s="57" t="s">
        <v>1141</v>
      </c>
      <c r="D664" s="57" t="s">
        <v>1213</v>
      </c>
      <c r="F664" s="57">
        <v>1</v>
      </c>
      <c r="G664" s="57" t="s">
        <v>1359</v>
      </c>
      <c r="H664" s="57" t="s">
        <v>343</v>
      </c>
    </row>
    <row r="665" spans="2:8" ht="13.5" customHeight="1">
      <c r="B665" s="57" t="s">
        <v>1231</v>
      </c>
      <c r="D665" s="57" t="s">
        <v>1231</v>
      </c>
      <c r="F665" s="57">
        <v>81</v>
      </c>
      <c r="G665" s="57" t="s">
        <v>1359</v>
      </c>
      <c r="H665" s="57" t="s">
        <v>343</v>
      </c>
    </row>
    <row r="666" spans="2:8" ht="13.5" customHeight="1">
      <c r="B666" s="57" t="s">
        <v>1209</v>
      </c>
      <c r="D666" s="57" t="s">
        <v>1210</v>
      </c>
      <c r="F666" s="57">
        <v>239</v>
      </c>
      <c r="G666" s="57" t="s">
        <v>1359</v>
      </c>
      <c r="H666" s="57" t="s">
        <v>343</v>
      </c>
    </row>
    <row r="667" spans="2:8" ht="13.5" customHeight="1">
      <c r="B667" s="57" t="s">
        <v>1216</v>
      </c>
      <c r="D667" s="57" t="s">
        <v>1217</v>
      </c>
      <c r="F667" s="57">
        <v>243</v>
      </c>
      <c r="G667" s="57" t="s">
        <v>1359</v>
      </c>
      <c r="H667" s="57" t="s">
        <v>343</v>
      </c>
    </row>
    <row r="668" spans="2:8" ht="13.5" customHeight="1">
      <c r="B668" s="57" t="s">
        <v>1173</v>
      </c>
      <c r="D668" s="57" t="s">
        <v>1174</v>
      </c>
      <c r="F668" s="57">
        <v>245</v>
      </c>
      <c r="G668" s="57" t="s">
        <v>1359</v>
      </c>
      <c r="H668" s="57" t="s">
        <v>343</v>
      </c>
    </row>
    <row r="669" spans="2:8" ht="13.5" customHeight="1">
      <c r="B669" s="57" t="s">
        <v>1211</v>
      </c>
      <c r="D669" s="57" t="s">
        <v>1212</v>
      </c>
      <c r="F669" s="57">
        <v>288</v>
      </c>
      <c r="G669" s="57" t="s">
        <v>1359</v>
      </c>
      <c r="H669" s="57" t="s">
        <v>343</v>
      </c>
    </row>
    <row r="670" spans="2:8" ht="13.5" customHeight="1">
      <c r="B670" s="57" t="s">
        <v>1219</v>
      </c>
      <c r="D670" s="57" t="s">
        <v>1220</v>
      </c>
      <c r="F670" s="57">
        <v>290</v>
      </c>
      <c r="G670" s="57" t="s">
        <v>1359</v>
      </c>
      <c r="H670" s="57" t="s">
        <v>343</v>
      </c>
    </row>
    <row r="671" spans="2:8" ht="13.5" customHeight="1">
      <c r="B671" s="57" t="s">
        <v>1205</v>
      </c>
      <c r="D671" s="57" t="s">
        <v>1206</v>
      </c>
      <c r="F671" s="57">
        <v>290</v>
      </c>
      <c r="G671" s="57" t="s">
        <v>1359</v>
      </c>
      <c r="H671" s="57" t="s">
        <v>343</v>
      </c>
    </row>
    <row r="672" spans="2:8" ht="13.5" customHeight="1">
      <c r="B672" s="57" t="s">
        <v>1179</v>
      </c>
      <c r="D672" s="57" t="s">
        <v>1180</v>
      </c>
      <c r="F672" s="57">
        <v>2</v>
      </c>
      <c r="G672" s="57" t="s">
        <v>1359</v>
      </c>
      <c r="H672" s="57" t="s">
        <v>1348</v>
      </c>
    </row>
    <row r="673" spans="2:8" ht="13.5" customHeight="1">
      <c r="B673" s="57" t="s">
        <v>1232</v>
      </c>
      <c r="D673" s="57" t="s">
        <v>1233</v>
      </c>
      <c r="F673" s="57">
        <v>3</v>
      </c>
      <c r="G673" s="57" t="s">
        <v>1359</v>
      </c>
      <c r="H673" s="57" t="s">
        <v>1348</v>
      </c>
    </row>
    <row r="674" spans="2:8" ht="13.5" customHeight="1">
      <c r="B674" s="57" t="s">
        <v>1234</v>
      </c>
      <c r="D674" s="57" t="s">
        <v>1235</v>
      </c>
      <c r="F674" s="57">
        <v>25</v>
      </c>
      <c r="G674" s="57" t="s">
        <v>1359</v>
      </c>
      <c r="H674" s="57" t="s">
        <v>1348</v>
      </c>
    </row>
    <row r="675" spans="2:8" ht="13.5" customHeight="1">
      <c r="B675" s="57" t="s">
        <v>1170</v>
      </c>
      <c r="D675" s="57" t="s">
        <v>1170</v>
      </c>
      <c r="F675" s="57">
        <v>104</v>
      </c>
      <c r="G675" s="57" t="s">
        <v>1359</v>
      </c>
      <c r="H675" s="57" t="s">
        <v>1348</v>
      </c>
    </row>
    <row r="676" spans="2:8" ht="13.5" customHeight="1">
      <c r="B676" s="57" t="s">
        <v>1229</v>
      </c>
      <c r="D676" s="57" t="s">
        <v>1230</v>
      </c>
      <c r="F676" s="57">
        <v>250</v>
      </c>
      <c r="G676" s="57" t="s">
        <v>1359</v>
      </c>
      <c r="H676" s="57" t="s">
        <v>1348</v>
      </c>
    </row>
    <row r="677" spans="2:8" ht="13.5" customHeight="1">
      <c r="B677" s="57" t="s">
        <v>1226</v>
      </c>
      <c r="D677" s="57" t="s">
        <v>1225</v>
      </c>
      <c r="F677" s="57">
        <v>484</v>
      </c>
      <c r="G677" s="57" t="s">
        <v>1359</v>
      </c>
      <c r="H677" s="57" t="s">
        <v>1348</v>
      </c>
    </row>
    <row r="678" spans="2:8" ht="13.5" customHeight="1">
      <c r="B678" s="57" t="s">
        <v>1250</v>
      </c>
      <c r="D678" s="57" t="s">
        <v>1251</v>
      </c>
      <c r="F678" s="57">
        <v>498</v>
      </c>
      <c r="G678" s="57" t="s">
        <v>1359</v>
      </c>
      <c r="H678" s="57" t="s">
        <v>1348</v>
      </c>
    </row>
    <row r="679" spans="2:8" ht="13.5" customHeight="1">
      <c r="B679" s="57" t="s">
        <v>1236</v>
      </c>
      <c r="D679" s="57" t="s">
        <v>1237</v>
      </c>
      <c r="F679" s="57">
        <v>50</v>
      </c>
      <c r="G679" s="57" t="s">
        <v>1359</v>
      </c>
      <c r="H679" s="57" t="s">
        <v>1351</v>
      </c>
    </row>
    <row r="680" spans="2:8" ht="13.5" customHeight="1">
      <c r="D680" s="92" t="s">
        <v>1238</v>
      </c>
      <c r="F680" s="57">
        <v>340</v>
      </c>
      <c r="G680" s="57" t="s">
        <v>1359</v>
      </c>
      <c r="H680" s="57" t="s">
        <v>1351</v>
      </c>
    </row>
    <row r="681" spans="2:8" ht="13.5" customHeight="1">
      <c r="D681" s="57" t="s">
        <v>1241</v>
      </c>
      <c r="F681" s="57">
        <v>200</v>
      </c>
      <c r="G681" s="57" t="s">
        <v>1359</v>
      </c>
      <c r="H681" s="57" t="s">
        <v>1352</v>
      </c>
    </row>
    <row r="682" spans="2:8" ht="13.5" customHeight="1">
      <c r="B682" s="57" t="s">
        <v>1239</v>
      </c>
      <c r="D682" s="57" t="s">
        <v>1240</v>
      </c>
      <c r="F682" s="57">
        <v>200</v>
      </c>
      <c r="G682" s="57" t="s">
        <v>1359</v>
      </c>
      <c r="H682" s="57" t="s">
        <v>1352</v>
      </c>
    </row>
    <row r="683" spans="2:8" ht="13.5" customHeight="1">
      <c r="B683" s="57" t="s">
        <v>1243</v>
      </c>
      <c r="D683" s="57" t="s">
        <v>1244</v>
      </c>
      <c r="F683" s="57">
        <v>2</v>
      </c>
      <c r="G683" s="57" t="s">
        <v>1359</v>
      </c>
      <c r="H683" s="57" t="s">
        <v>1353</v>
      </c>
    </row>
    <row r="684" spans="2:8" ht="13.5" customHeight="1">
      <c r="B684" s="57" t="s">
        <v>1242</v>
      </c>
      <c r="D684" s="57" t="s">
        <v>1242</v>
      </c>
      <c r="F684" s="57">
        <v>2</v>
      </c>
      <c r="G684" s="57" t="s">
        <v>1359</v>
      </c>
      <c r="H684" s="57" t="s">
        <v>1353</v>
      </c>
    </row>
    <row r="685" spans="2:8" ht="13.5" customHeight="1">
      <c r="D685" s="57" t="s">
        <v>1271</v>
      </c>
      <c r="F685" s="57">
        <v>3</v>
      </c>
      <c r="G685" s="57" t="s">
        <v>1359</v>
      </c>
      <c r="H685" s="57" t="s">
        <v>1353</v>
      </c>
    </row>
    <row r="686" spans="2:8" ht="13.5" customHeight="1">
      <c r="B686" s="57" t="s">
        <v>1270</v>
      </c>
      <c r="D686" s="57" t="s">
        <v>1270</v>
      </c>
      <c r="F686" s="57">
        <v>3</v>
      </c>
      <c r="G686" s="57" t="s">
        <v>1359</v>
      </c>
      <c r="H686" s="57" t="s">
        <v>1353</v>
      </c>
    </row>
    <row r="687" spans="2:8" ht="13.5" customHeight="1">
      <c r="B687" s="57" t="s">
        <v>1139</v>
      </c>
      <c r="D687" s="57" t="s">
        <v>1269</v>
      </c>
      <c r="F687" s="57">
        <v>18</v>
      </c>
      <c r="G687" s="57" t="s">
        <v>1359</v>
      </c>
      <c r="H687" s="57" t="s">
        <v>1353</v>
      </c>
    </row>
    <row r="688" spans="2:8" ht="13.5" customHeight="1">
      <c r="B688" s="57" t="s">
        <v>1268</v>
      </c>
      <c r="D688" s="57" t="s">
        <v>1268</v>
      </c>
      <c r="F688" s="57">
        <v>22</v>
      </c>
      <c r="G688" s="57" t="s">
        <v>1359</v>
      </c>
      <c r="H688" s="57" t="s">
        <v>1353</v>
      </c>
    </row>
    <row r="689" spans="2:8" ht="13.5" customHeight="1">
      <c r="B689" s="57" t="s">
        <v>1264</v>
      </c>
      <c r="D689" s="57" t="s">
        <v>1265</v>
      </c>
      <c r="F689" s="57">
        <v>96</v>
      </c>
      <c r="G689" s="57" t="s">
        <v>1359</v>
      </c>
      <c r="H689" s="57" t="s">
        <v>1353</v>
      </c>
    </row>
    <row r="690" spans="2:8" ht="13.5" customHeight="1">
      <c r="B690" s="57" t="s">
        <v>1254</v>
      </c>
      <c r="D690" s="57" t="s">
        <v>499</v>
      </c>
      <c r="F690" s="57">
        <v>118</v>
      </c>
      <c r="G690" s="57" t="s">
        <v>1359</v>
      </c>
      <c r="H690" s="57" t="s">
        <v>1353</v>
      </c>
    </row>
    <row r="691" spans="2:8" ht="13.5" customHeight="1">
      <c r="D691" s="57" t="s">
        <v>1249</v>
      </c>
      <c r="F691" s="57">
        <v>469</v>
      </c>
      <c r="G691" s="57" t="s">
        <v>1359</v>
      </c>
      <c r="H691" s="57" t="s">
        <v>1353</v>
      </c>
    </row>
    <row r="692" spans="2:8" ht="13.5" customHeight="1">
      <c r="B692" s="57" t="s">
        <v>1224</v>
      </c>
      <c r="D692" s="57" t="s">
        <v>1223</v>
      </c>
      <c r="F692" s="57">
        <v>238</v>
      </c>
      <c r="G692" s="57" t="s">
        <v>1359</v>
      </c>
      <c r="H692" s="57" t="s">
        <v>1350</v>
      </c>
    </row>
    <row r="693" spans="2:8" ht="13.5" customHeight="1">
      <c r="B693" s="57" t="s">
        <v>1246</v>
      </c>
      <c r="D693" s="57" t="s">
        <v>1245</v>
      </c>
      <c r="F693" s="57">
        <v>321</v>
      </c>
      <c r="G693" s="57" t="s">
        <v>1359</v>
      </c>
      <c r="H693" s="57" t="s">
        <v>1350</v>
      </c>
    </row>
    <row r="694" spans="2:8" ht="13.5" customHeight="1">
      <c r="B694" s="57" t="s">
        <v>1273</v>
      </c>
      <c r="D694" s="57" t="s">
        <v>1273</v>
      </c>
      <c r="F694" s="57">
        <v>1</v>
      </c>
      <c r="G694" s="57" t="s">
        <v>1359</v>
      </c>
      <c r="H694" s="57" t="s">
        <v>1346</v>
      </c>
    </row>
    <row r="695" spans="2:8" ht="13.5" customHeight="1">
      <c r="B695" s="57" t="s">
        <v>1262</v>
      </c>
      <c r="D695" s="57" t="s">
        <v>1263</v>
      </c>
      <c r="F695" s="57">
        <v>2</v>
      </c>
      <c r="G695" s="57" t="s">
        <v>1359</v>
      </c>
      <c r="H695" s="57" t="s">
        <v>1346</v>
      </c>
    </row>
    <row r="696" spans="2:8" ht="13.5" customHeight="1">
      <c r="B696" s="57" t="s">
        <v>1272</v>
      </c>
      <c r="D696" s="57" t="s">
        <v>1272</v>
      </c>
      <c r="F696" s="57">
        <v>7</v>
      </c>
      <c r="G696" s="57" t="s">
        <v>1359</v>
      </c>
      <c r="H696" s="57" t="s">
        <v>1346</v>
      </c>
    </row>
    <row r="697" spans="2:8" ht="13.5" customHeight="1">
      <c r="B697" s="57" t="s">
        <v>1252</v>
      </c>
      <c r="D697" s="57" t="s">
        <v>1253</v>
      </c>
      <c r="F697" s="57">
        <v>9</v>
      </c>
      <c r="G697" s="57" t="s">
        <v>1359</v>
      </c>
      <c r="H697" s="57" t="s">
        <v>1346</v>
      </c>
    </row>
    <row r="698" spans="2:8" ht="13.5" customHeight="1">
      <c r="B698" s="57" t="s">
        <v>1267</v>
      </c>
      <c r="D698" s="57" t="s">
        <v>1267</v>
      </c>
      <c r="F698" s="57">
        <v>9</v>
      </c>
      <c r="G698" s="57" t="s">
        <v>1359</v>
      </c>
      <c r="H698" s="57" t="s">
        <v>1346</v>
      </c>
    </row>
    <row r="699" spans="2:8" ht="13.5" customHeight="1">
      <c r="B699" s="57" t="s">
        <v>1260</v>
      </c>
      <c r="D699" s="57" t="s">
        <v>1261</v>
      </c>
      <c r="F699" s="57">
        <v>19</v>
      </c>
      <c r="G699" s="57" t="s">
        <v>1359</v>
      </c>
      <c r="H699" s="57" t="s">
        <v>1346</v>
      </c>
    </row>
    <row r="700" spans="2:8" ht="13.5" customHeight="1">
      <c r="B700" s="76" t="s">
        <v>8169</v>
      </c>
      <c r="D700" s="57" t="s">
        <v>1248</v>
      </c>
      <c r="F700" s="57">
        <v>22</v>
      </c>
      <c r="G700" s="57" t="s">
        <v>1359</v>
      </c>
      <c r="H700" s="57" t="s">
        <v>1346</v>
      </c>
    </row>
    <row r="701" spans="2:8" ht="13.5" customHeight="1">
      <c r="B701" s="57" t="s">
        <v>1257</v>
      </c>
      <c r="D701" s="57" t="s">
        <v>1258</v>
      </c>
      <c r="F701" s="57">
        <v>66</v>
      </c>
      <c r="G701" s="57" t="s">
        <v>1359</v>
      </c>
      <c r="H701" s="57" t="s">
        <v>1346</v>
      </c>
    </row>
    <row r="702" spans="2:8" ht="13.5" customHeight="1">
      <c r="B702" s="57" t="s">
        <v>1266</v>
      </c>
      <c r="D702" s="57" t="s">
        <v>1187</v>
      </c>
      <c r="F702" s="57">
        <v>99</v>
      </c>
      <c r="G702" s="57" t="s">
        <v>1359</v>
      </c>
      <c r="H702" s="57" t="s">
        <v>1346</v>
      </c>
    </row>
    <row r="703" spans="2:8" ht="13.5" customHeight="1">
      <c r="B703" s="57" t="s">
        <v>1218</v>
      </c>
      <c r="D703" s="57" t="s">
        <v>1259</v>
      </c>
      <c r="F703" s="57">
        <v>107</v>
      </c>
      <c r="G703" s="57" t="s">
        <v>1359</v>
      </c>
      <c r="H703" s="57" t="s">
        <v>1346</v>
      </c>
    </row>
    <row r="704" spans="2:8" ht="13.5" customHeight="1">
      <c r="B704" s="57" t="s">
        <v>1255</v>
      </c>
      <c r="D704" s="57" t="s">
        <v>1256</v>
      </c>
      <c r="F704" s="57">
        <v>193</v>
      </c>
      <c r="G704" s="57" t="s">
        <v>1359</v>
      </c>
      <c r="H704" s="57" t="s">
        <v>1346</v>
      </c>
    </row>
    <row r="705" spans="2:8" ht="13.5" customHeight="1">
      <c r="B705" s="57" t="s">
        <v>1129</v>
      </c>
      <c r="D705" s="57" t="s">
        <v>1130</v>
      </c>
      <c r="F705" s="57">
        <v>364</v>
      </c>
      <c r="G705" s="57" t="s">
        <v>1359</v>
      </c>
      <c r="H705" s="57" t="s">
        <v>1346</v>
      </c>
    </row>
    <row r="706" spans="2:8" ht="13.5" customHeight="1">
      <c r="B706" s="57" t="s">
        <v>1288</v>
      </c>
      <c r="D706" s="57" t="s">
        <v>487</v>
      </c>
      <c r="F706" s="57">
        <v>10</v>
      </c>
      <c r="G706" s="57" t="s">
        <v>1359</v>
      </c>
      <c r="H706" s="57" t="s">
        <v>1349</v>
      </c>
    </row>
    <row r="707" spans="2:8" ht="13.5" customHeight="1">
      <c r="B707" s="57" t="s">
        <v>1282</v>
      </c>
      <c r="D707" s="57" t="s">
        <v>1283</v>
      </c>
      <c r="F707" s="57">
        <v>10</v>
      </c>
      <c r="G707" s="57" t="s">
        <v>1359</v>
      </c>
      <c r="H707" s="57" t="s">
        <v>1349</v>
      </c>
    </row>
    <row r="708" spans="2:8" ht="13.5" customHeight="1">
      <c r="D708" s="57" t="s">
        <v>1289</v>
      </c>
      <c r="F708" s="57">
        <v>10</v>
      </c>
      <c r="G708" s="57" t="s">
        <v>1359</v>
      </c>
      <c r="H708" s="57" t="s">
        <v>1349</v>
      </c>
    </row>
    <row r="709" spans="2:8" ht="13.5" customHeight="1">
      <c r="B709" s="57" t="s">
        <v>1199</v>
      </c>
      <c r="D709" s="57" t="s">
        <v>1200</v>
      </c>
      <c r="F709" s="57">
        <v>11</v>
      </c>
      <c r="G709" s="57" t="s">
        <v>1359</v>
      </c>
      <c r="H709" s="57" t="s">
        <v>1349</v>
      </c>
    </row>
    <row r="710" spans="2:8" ht="13.5" customHeight="1">
      <c r="B710" s="57" t="s">
        <v>1275</v>
      </c>
      <c r="D710" s="57" t="s">
        <v>1276</v>
      </c>
      <c r="F710" s="57">
        <v>18</v>
      </c>
      <c r="G710" s="57" t="s">
        <v>1359</v>
      </c>
      <c r="H710" s="57" t="s">
        <v>1349</v>
      </c>
    </row>
    <row r="711" spans="2:8" ht="13.5" customHeight="1">
      <c r="B711" s="57" t="s">
        <v>1278</v>
      </c>
      <c r="D711" s="57" t="s">
        <v>1279</v>
      </c>
      <c r="F711" s="57">
        <v>28</v>
      </c>
      <c r="G711" s="57" t="s">
        <v>1359</v>
      </c>
      <c r="H711" s="57" t="s">
        <v>1349</v>
      </c>
    </row>
    <row r="712" spans="2:8" ht="13.5" customHeight="1">
      <c r="B712" s="57" t="s">
        <v>1284</v>
      </c>
      <c r="D712" s="57" t="s">
        <v>1285</v>
      </c>
      <c r="F712" s="57">
        <v>156</v>
      </c>
      <c r="G712" s="57" t="s">
        <v>1359</v>
      </c>
      <c r="H712" s="57" t="s">
        <v>1349</v>
      </c>
    </row>
    <row r="713" spans="2:8" ht="13.5" customHeight="1">
      <c r="B713" s="57" t="s">
        <v>1286</v>
      </c>
      <c r="D713" s="57" t="s">
        <v>1287</v>
      </c>
      <c r="F713" s="57">
        <v>168</v>
      </c>
      <c r="G713" s="57" t="s">
        <v>1359</v>
      </c>
      <c r="H713" s="57" t="s">
        <v>1349</v>
      </c>
    </row>
    <row r="714" spans="2:8" ht="13.5" customHeight="1">
      <c r="B714" s="57" t="s">
        <v>1280</v>
      </c>
      <c r="D714" s="57" t="s">
        <v>1281</v>
      </c>
      <c r="F714" s="57">
        <v>196</v>
      </c>
      <c r="G714" s="57" t="s">
        <v>1359</v>
      </c>
      <c r="H714" s="57" t="s">
        <v>1349</v>
      </c>
    </row>
    <row r="715" spans="2:8" ht="13.5" customHeight="1">
      <c r="B715" s="57" t="s">
        <v>1197</v>
      </c>
      <c r="D715" s="57" t="s">
        <v>1198</v>
      </c>
      <c r="F715" s="57">
        <v>410</v>
      </c>
      <c r="G715" s="57" t="s">
        <v>1359</v>
      </c>
      <c r="H715" s="57" t="s">
        <v>1349</v>
      </c>
    </row>
    <row r="716" spans="2:8" ht="13.5" customHeight="1">
      <c r="D716" s="57" t="s">
        <v>1277</v>
      </c>
      <c r="F716" s="57">
        <v>718</v>
      </c>
      <c r="G716" s="57" t="s">
        <v>1359</v>
      </c>
      <c r="H716" s="57" t="s">
        <v>1349</v>
      </c>
    </row>
    <row r="717" spans="2:8" ht="13.5" customHeight="1">
      <c r="B717" s="57" t="s">
        <v>1215</v>
      </c>
      <c r="D717" s="57" t="s">
        <v>1215</v>
      </c>
      <c r="F717" s="57">
        <v>240</v>
      </c>
      <c r="G717" s="57" t="s">
        <v>1359</v>
      </c>
      <c r="H717" s="57" t="s">
        <v>344</v>
      </c>
    </row>
    <row r="718" spans="2:8" ht="13.5" customHeight="1">
      <c r="B718" s="57" t="s">
        <v>1214</v>
      </c>
      <c r="D718" s="57" t="s">
        <v>1214</v>
      </c>
      <c r="F718" s="57">
        <v>240</v>
      </c>
      <c r="G718" s="57" t="s">
        <v>1359</v>
      </c>
      <c r="H718" s="57" t="s">
        <v>344</v>
      </c>
    </row>
    <row r="719" spans="2:8" ht="13.5" customHeight="1">
      <c r="B719" s="57" t="s">
        <v>1221</v>
      </c>
      <c r="D719" s="57" t="s">
        <v>1222</v>
      </c>
      <c r="F719" s="57">
        <v>278</v>
      </c>
      <c r="G719" s="57" t="s">
        <v>1359</v>
      </c>
      <c r="H719" s="57" t="s">
        <v>344</v>
      </c>
    </row>
    <row r="720" spans="2:8" ht="13.5" customHeight="1">
      <c r="B720" s="57" t="s">
        <v>1228</v>
      </c>
      <c r="D720" s="60" t="s">
        <v>1227</v>
      </c>
      <c r="F720" s="57">
        <v>500</v>
      </c>
      <c r="G720" s="57" t="s">
        <v>1359</v>
      </c>
      <c r="H720" s="57" t="s">
        <v>344</v>
      </c>
    </row>
    <row r="721" spans="2:9" ht="13.5" customHeight="1">
      <c r="B721" s="57" t="s">
        <v>1141</v>
      </c>
      <c r="D721" s="57" t="s">
        <v>1141</v>
      </c>
      <c r="F721" s="57">
        <v>3</v>
      </c>
      <c r="G721" s="57" t="s">
        <v>1359</v>
      </c>
      <c r="H721" s="57" t="s">
        <v>345</v>
      </c>
    </row>
    <row r="722" spans="2:9" ht="13.5" customHeight="1">
      <c r="B722" s="57" t="s">
        <v>1124</v>
      </c>
      <c r="D722" s="57" t="s">
        <v>1125</v>
      </c>
      <c r="F722" s="57">
        <v>14</v>
      </c>
      <c r="G722" s="57" t="s">
        <v>1359</v>
      </c>
      <c r="H722" s="57" t="s">
        <v>345</v>
      </c>
    </row>
    <row r="723" spans="2:9" ht="13.5" customHeight="1">
      <c r="B723" s="57" t="s">
        <v>1160</v>
      </c>
      <c r="D723" s="57" t="s">
        <v>1161</v>
      </c>
      <c r="F723" s="57">
        <v>24</v>
      </c>
      <c r="G723" s="57" t="s">
        <v>1359</v>
      </c>
      <c r="H723" s="57" t="s">
        <v>345</v>
      </c>
    </row>
    <row r="724" spans="2:9" ht="13.5" customHeight="1">
      <c r="D724" s="57" t="s">
        <v>894</v>
      </c>
      <c r="F724" s="57">
        <v>93</v>
      </c>
      <c r="G724" s="57" t="s">
        <v>1359</v>
      </c>
      <c r="H724" s="57" t="s">
        <v>345</v>
      </c>
    </row>
    <row r="725" spans="2:9" ht="13.5" customHeight="1">
      <c r="D725" s="57" t="s">
        <v>1202</v>
      </c>
      <c r="F725" s="57">
        <v>100</v>
      </c>
      <c r="G725" s="57" t="s">
        <v>1359</v>
      </c>
      <c r="H725" s="57" t="s">
        <v>345</v>
      </c>
    </row>
    <row r="726" spans="2:9" ht="13.5" customHeight="1">
      <c r="D726" s="57" t="s">
        <v>1203</v>
      </c>
      <c r="F726" s="57">
        <v>100</v>
      </c>
      <c r="G726" s="57" t="s">
        <v>1359</v>
      </c>
      <c r="H726" s="57" t="s">
        <v>345</v>
      </c>
    </row>
    <row r="727" spans="2:9" ht="13.5" customHeight="1">
      <c r="D727" s="57" t="s">
        <v>1201</v>
      </c>
      <c r="F727" s="57">
        <v>100</v>
      </c>
      <c r="G727" s="57" t="s">
        <v>1359</v>
      </c>
      <c r="H727" s="57" t="s">
        <v>345</v>
      </c>
      <c r="I727" s="68"/>
    </row>
    <row r="728" spans="2:9" ht="13.5" customHeight="1">
      <c r="D728" s="57" t="s">
        <v>1204</v>
      </c>
      <c r="F728" s="57">
        <v>200</v>
      </c>
      <c r="G728" s="57" t="s">
        <v>1359</v>
      </c>
      <c r="H728" s="57" t="s">
        <v>345</v>
      </c>
    </row>
    <row r="729" spans="2:9" ht="13.5" customHeight="1">
      <c r="B729" s="57" t="s">
        <v>1189</v>
      </c>
      <c r="D729" s="57" t="s">
        <v>1190</v>
      </c>
      <c r="F729" s="57">
        <v>14</v>
      </c>
      <c r="G729" s="57" t="s">
        <v>1359</v>
      </c>
      <c r="H729" s="57" t="s">
        <v>919</v>
      </c>
    </row>
    <row r="730" spans="2:9" ht="13.5" customHeight="1">
      <c r="B730" s="57" t="s">
        <v>1218</v>
      </c>
      <c r="D730" s="57" t="s">
        <v>1247</v>
      </c>
      <c r="F730" s="57">
        <v>97</v>
      </c>
      <c r="G730" s="57" t="s">
        <v>1359</v>
      </c>
      <c r="H730" s="57" t="s">
        <v>919</v>
      </c>
    </row>
    <row r="731" spans="2:9" ht="13.5" customHeight="1">
      <c r="B731" s="57" t="s">
        <v>1151</v>
      </c>
      <c r="D731" s="57" t="s">
        <v>1152</v>
      </c>
      <c r="F731" s="57">
        <v>98</v>
      </c>
      <c r="G731" s="57" t="s">
        <v>1359</v>
      </c>
      <c r="H731" s="57" t="s">
        <v>919</v>
      </c>
    </row>
    <row r="732" spans="2:9" ht="13.5" customHeight="1">
      <c r="B732" s="57" t="s">
        <v>1153</v>
      </c>
      <c r="D732" s="57" t="s">
        <v>1154</v>
      </c>
      <c r="F732" s="57">
        <v>99</v>
      </c>
      <c r="G732" s="57" t="s">
        <v>1359</v>
      </c>
      <c r="H732" s="57" t="s">
        <v>919</v>
      </c>
    </row>
    <row r="733" spans="2:9" ht="13.5" customHeight="1">
      <c r="B733" s="57" t="s">
        <v>1137</v>
      </c>
      <c r="D733" s="57" t="s">
        <v>1138</v>
      </c>
      <c r="F733" s="57">
        <v>104</v>
      </c>
      <c r="G733" s="57" t="s">
        <v>1359</v>
      </c>
      <c r="H733" s="57" t="s">
        <v>919</v>
      </c>
    </row>
    <row r="734" spans="2:9" ht="13.5" customHeight="1">
      <c r="B734" s="57" t="s">
        <v>816</v>
      </c>
      <c r="D734" s="57" t="s">
        <v>1143</v>
      </c>
      <c r="F734" s="57">
        <v>109</v>
      </c>
      <c r="G734" s="57" t="s">
        <v>1359</v>
      </c>
      <c r="H734" s="57" t="s">
        <v>919</v>
      </c>
    </row>
    <row r="735" spans="2:9" ht="13.5" customHeight="1">
      <c r="B735" s="57" t="s">
        <v>1139</v>
      </c>
      <c r="D735" s="57" t="s">
        <v>1140</v>
      </c>
      <c r="F735" s="57">
        <v>109</v>
      </c>
      <c r="G735" s="57" t="s">
        <v>1359</v>
      </c>
      <c r="H735" s="57" t="s">
        <v>919</v>
      </c>
    </row>
    <row r="736" spans="2:9" ht="13.5" customHeight="1">
      <c r="B736" s="57" t="s">
        <v>1162</v>
      </c>
      <c r="D736" s="57" t="s">
        <v>1163</v>
      </c>
      <c r="F736" s="57">
        <v>6992</v>
      </c>
      <c r="G736" s="57" t="s">
        <v>1359</v>
      </c>
      <c r="H736" s="57" t="s">
        <v>919</v>
      </c>
    </row>
    <row r="737" spans="2:8" ht="13.5" customHeight="1">
      <c r="B737" s="57" t="s">
        <v>1126</v>
      </c>
      <c r="D737" s="57" t="s">
        <v>1127</v>
      </c>
      <c r="F737" s="57">
        <v>3</v>
      </c>
      <c r="G737" s="57" t="s">
        <v>1359</v>
      </c>
      <c r="H737" s="57" t="s">
        <v>918</v>
      </c>
    </row>
    <row r="738" spans="2:8" ht="13.5" customHeight="1">
      <c r="B738" s="57" t="s">
        <v>1128</v>
      </c>
      <c r="D738" s="57" t="s">
        <v>1128</v>
      </c>
      <c r="F738" s="57">
        <v>13</v>
      </c>
      <c r="G738" s="57" t="s">
        <v>1359</v>
      </c>
      <c r="H738" s="57" t="s">
        <v>918</v>
      </c>
    </row>
    <row r="739" spans="2:8" ht="13.5" customHeight="1">
      <c r="B739" s="57" t="s">
        <v>1146</v>
      </c>
      <c r="D739" s="57" t="s">
        <v>1146</v>
      </c>
      <c r="E739" s="57" t="s">
        <v>1147</v>
      </c>
      <c r="F739" s="57">
        <v>68</v>
      </c>
      <c r="G739" s="57" t="s">
        <v>1359</v>
      </c>
      <c r="H739" s="57" t="s">
        <v>918</v>
      </c>
    </row>
    <row r="740" spans="2:8" ht="13.5" customHeight="1">
      <c r="B740" s="57" t="s">
        <v>1144</v>
      </c>
      <c r="D740" s="57" t="s">
        <v>1145</v>
      </c>
      <c r="F740" s="57">
        <v>94</v>
      </c>
      <c r="G740" s="57" t="s">
        <v>1359</v>
      </c>
      <c r="H740" s="57" t="s">
        <v>918</v>
      </c>
    </row>
    <row r="741" spans="2:8" ht="13.5" customHeight="1">
      <c r="B741" s="57" t="s">
        <v>1122</v>
      </c>
      <c r="D741" s="57" t="s">
        <v>1123</v>
      </c>
      <c r="F741" s="57">
        <v>129</v>
      </c>
      <c r="G741" s="57" t="s">
        <v>1359</v>
      </c>
      <c r="H741" s="57" t="s">
        <v>918</v>
      </c>
    </row>
    <row r="742" spans="2:8" ht="13.5" customHeight="1">
      <c r="B742" s="57" t="s">
        <v>1133</v>
      </c>
      <c r="D742" s="57" t="s">
        <v>1134</v>
      </c>
      <c r="F742" s="57">
        <v>134</v>
      </c>
      <c r="G742" s="57" t="s">
        <v>1359</v>
      </c>
      <c r="H742" s="57" t="s">
        <v>918</v>
      </c>
    </row>
    <row r="743" spans="2:8" ht="13.5" customHeight="1">
      <c r="B743" s="57" t="s">
        <v>1195</v>
      </c>
      <c r="D743" s="57" t="s">
        <v>1196</v>
      </c>
      <c r="F743" s="57">
        <v>4</v>
      </c>
      <c r="G743" s="57" t="s">
        <v>1359</v>
      </c>
      <c r="H743" s="57" t="s">
        <v>1114</v>
      </c>
    </row>
    <row r="744" spans="2:8" ht="13.5" customHeight="1">
      <c r="B744" s="57" t="s">
        <v>1168</v>
      </c>
      <c r="D744" s="57" t="s">
        <v>1169</v>
      </c>
      <c r="F744" s="57">
        <v>55</v>
      </c>
      <c r="G744" s="57" t="s">
        <v>1359</v>
      </c>
      <c r="H744" s="57" t="s">
        <v>1114</v>
      </c>
    </row>
    <row r="745" spans="2:8" ht="13.5" customHeight="1">
      <c r="B745" s="57" t="s">
        <v>1137</v>
      </c>
      <c r="D745" s="57" t="s">
        <v>1167</v>
      </c>
      <c r="F745" s="57">
        <v>71</v>
      </c>
      <c r="G745" s="57" t="s">
        <v>1359</v>
      </c>
      <c r="H745" s="57" t="s">
        <v>1114</v>
      </c>
    </row>
    <row r="746" spans="2:8" ht="13.5" customHeight="1">
      <c r="B746" s="57" t="s">
        <v>1148</v>
      </c>
      <c r="D746" s="57">
        <v>885012005037</v>
      </c>
      <c r="F746" s="57">
        <v>105</v>
      </c>
      <c r="G746" s="57" t="s">
        <v>1359</v>
      </c>
      <c r="H746" s="57" t="s">
        <v>1114</v>
      </c>
    </row>
    <row r="747" spans="2:8" ht="13.5" customHeight="1">
      <c r="B747" s="57" t="s">
        <v>1131</v>
      </c>
      <c r="D747" s="57" t="s">
        <v>1132</v>
      </c>
      <c r="F747" s="57">
        <v>110</v>
      </c>
      <c r="G747" s="57" t="s">
        <v>1359</v>
      </c>
      <c r="H747" s="57" t="s">
        <v>1114</v>
      </c>
    </row>
    <row r="748" spans="2:8" ht="13.5" customHeight="1">
      <c r="B748" s="57" t="s">
        <v>1142</v>
      </c>
      <c r="D748" s="57" t="s">
        <v>1142</v>
      </c>
      <c r="F748" s="57">
        <v>118</v>
      </c>
      <c r="G748" s="57" t="s">
        <v>1359</v>
      </c>
      <c r="H748" s="57" t="s">
        <v>1114</v>
      </c>
    </row>
    <row r="749" spans="2:8" ht="13.5" customHeight="1">
      <c r="B749" s="57" t="s">
        <v>1149</v>
      </c>
      <c r="D749" s="57" t="s">
        <v>1150</v>
      </c>
      <c r="F749" s="57">
        <v>123</v>
      </c>
      <c r="G749" s="57" t="s">
        <v>1359</v>
      </c>
      <c r="H749" s="57" t="s">
        <v>1114</v>
      </c>
    </row>
    <row r="750" spans="2:8" ht="13.5" customHeight="1">
      <c r="B750" s="57" t="s">
        <v>1135</v>
      </c>
      <c r="D750" s="57" t="s">
        <v>1136</v>
      </c>
      <c r="F750" s="57">
        <v>217</v>
      </c>
      <c r="G750" s="57" t="s">
        <v>1359</v>
      </c>
      <c r="H750" s="57" t="s">
        <v>1114</v>
      </c>
    </row>
    <row r="751" spans="2:8" ht="13.5" customHeight="1">
      <c r="B751" s="57" t="s">
        <v>1120</v>
      </c>
      <c r="D751" s="57" t="s">
        <v>1121</v>
      </c>
      <c r="F751" s="57">
        <v>297</v>
      </c>
      <c r="G751" s="57" t="s">
        <v>1359</v>
      </c>
      <c r="H751" s="57" t="s">
        <v>1114</v>
      </c>
    </row>
    <row r="752" spans="2:8" ht="13.5" customHeight="1">
      <c r="B752" s="57" t="s">
        <v>1171</v>
      </c>
      <c r="D752" s="57" t="s">
        <v>1172</v>
      </c>
      <c r="F752" s="57">
        <v>324</v>
      </c>
      <c r="G752" s="57" t="s">
        <v>1359</v>
      </c>
      <c r="H752" s="57" t="s">
        <v>1114</v>
      </c>
    </row>
    <row r="753" spans="2:8" ht="13.5" customHeight="1">
      <c r="B753" s="57" t="s">
        <v>1175</v>
      </c>
      <c r="D753" s="57" t="s">
        <v>1176</v>
      </c>
      <c r="F753" s="57">
        <v>38</v>
      </c>
      <c r="G753" s="57" t="s">
        <v>1359</v>
      </c>
      <c r="H753" s="57" t="s">
        <v>1115</v>
      </c>
    </row>
    <row r="754" spans="2:8" ht="13.5" customHeight="1">
      <c r="D754" s="57" t="s">
        <v>1344</v>
      </c>
      <c r="F754" s="57">
        <v>100</v>
      </c>
      <c r="G754" s="57" t="s">
        <v>1359</v>
      </c>
      <c r="H754" s="57" t="s">
        <v>1115</v>
      </c>
    </row>
    <row r="755" spans="2:8" ht="13.5" customHeight="1">
      <c r="D755" s="57" t="s">
        <v>1345</v>
      </c>
      <c r="F755" s="57">
        <v>228</v>
      </c>
      <c r="G755" s="57" t="s">
        <v>1359</v>
      </c>
      <c r="H755" s="57" t="s">
        <v>1115</v>
      </c>
    </row>
    <row r="756" spans="2:8" ht="13.5" customHeight="1">
      <c r="B756" s="57" t="s">
        <v>1120</v>
      </c>
      <c r="D756" s="57" t="s">
        <v>1208</v>
      </c>
      <c r="E756" s="57" t="s">
        <v>1083</v>
      </c>
      <c r="F756" s="57">
        <v>464</v>
      </c>
      <c r="G756" s="57" t="s">
        <v>1359</v>
      </c>
      <c r="H756" s="57" t="s">
        <v>1115</v>
      </c>
    </row>
    <row r="757" spans="2:8" ht="13.5" customHeight="1">
      <c r="B757" s="57" t="s">
        <v>1164</v>
      </c>
      <c r="D757" s="57" t="s">
        <v>1165</v>
      </c>
      <c r="F757" s="57">
        <v>3100</v>
      </c>
      <c r="G757" s="57" t="s">
        <v>1359</v>
      </c>
      <c r="H757" s="57" t="s">
        <v>1115</v>
      </c>
    </row>
    <row r="758" spans="2:8" ht="13.5" customHeight="1">
      <c r="B758" s="57" t="s">
        <v>1156</v>
      </c>
      <c r="D758" s="57" t="s">
        <v>1157</v>
      </c>
      <c r="F758" s="57">
        <v>4890</v>
      </c>
      <c r="G758" s="57" t="s">
        <v>1359</v>
      </c>
      <c r="H758" s="57" t="s">
        <v>1115</v>
      </c>
    </row>
    <row r="759" spans="2:8" ht="13.5" customHeight="1">
      <c r="B759" s="57" t="s">
        <v>1183</v>
      </c>
      <c r="D759" s="57" t="s">
        <v>1183</v>
      </c>
      <c r="F759" s="57">
        <v>10</v>
      </c>
      <c r="G759" s="57" t="s">
        <v>1359</v>
      </c>
      <c r="H759" s="57" t="s">
        <v>1117</v>
      </c>
    </row>
    <row r="760" spans="2:8" ht="13.5" customHeight="1">
      <c r="B760" s="57" t="s">
        <v>1139</v>
      </c>
      <c r="D760" s="57" t="s">
        <v>1185</v>
      </c>
      <c r="F760" s="57">
        <v>11</v>
      </c>
      <c r="G760" s="57" t="s">
        <v>1359</v>
      </c>
      <c r="H760" s="57" t="s">
        <v>1117</v>
      </c>
    </row>
    <row r="761" spans="2:8" ht="13.5" customHeight="1">
      <c r="B761" s="57" t="s">
        <v>1181</v>
      </c>
      <c r="D761" s="57" t="s">
        <v>1182</v>
      </c>
      <c r="F761" s="57">
        <v>11</v>
      </c>
      <c r="G761" s="57" t="s">
        <v>1359</v>
      </c>
      <c r="H761" s="57" t="s">
        <v>1117</v>
      </c>
    </row>
    <row r="762" spans="2:8" ht="13.5" customHeight="1">
      <c r="B762" s="57" t="s">
        <v>1187</v>
      </c>
      <c r="D762" s="60" t="s">
        <v>1188</v>
      </c>
      <c r="F762" s="57">
        <v>12</v>
      </c>
      <c r="G762" s="57" t="s">
        <v>1359</v>
      </c>
      <c r="H762" s="57" t="s">
        <v>1117</v>
      </c>
    </row>
    <row r="763" spans="2:8" ht="13.5" customHeight="1">
      <c r="B763" s="57" t="s">
        <v>1148</v>
      </c>
      <c r="D763" s="57" t="s">
        <v>1166</v>
      </c>
      <c r="F763" s="57">
        <v>30</v>
      </c>
      <c r="G763" s="57" t="s">
        <v>1359</v>
      </c>
      <c r="H763" s="57" t="s">
        <v>1117</v>
      </c>
    </row>
    <row r="764" spans="2:8" ht="13.5" customHeight="1">
      <c r="B764" s="57" t="s">
        <v>1144</v>
      </c>
      <c r="D764" s="57" t="s">
        <v>1184</v>
      </c>
      <c r="F764" s="57">
        <v>31</v>
      </c>
      <c r="G764" s="57" t="s">
        <v>1359</v>
      </c>
      <c r="H764" s="57" t="s">
        <v>1117</v>
      </c>
    </row>
    <row r="765" spans="2:8" ht="13.5" customHeight="1">
      <c r="B765" s="57" t="s">
        <v>1158</v>
      </c>
      <c r="D765" s="57" t="s">
        <v>1159</v>
      </c>
      <c r="F765" s="57">
        <v>39</v>
      </c>
      <c r="G765" s="57" t="s">
        <v>1359</v>
      </c>
      <c r="H765" s="57" t="s">
        <v>1117</v>
      </c>
    </row>
    <row r="766" spans="2:8" ht="13.5" customHeight="1">
      <c r="B766" s="57" t="s">
        <v>1151</v>
      </c>
      <c r="D766" s="57" t="s">
        <v>1178</v>
      </c>
      <c r="F766" s="57">
        <v>45</v>
      </c>
      <c r="G766" s="57" t="s">
        <v>1359</v>
      </c>
      <c r="H766" s="57" t="s">
        <v>1117</v>
      </c>
    </row>
    <row r="767" spans="2:8" ht="13.5" customHeight="1">
      <c r="B767" s="57" t="s">
        <v>1193</v>
      </c>
      <c r="D767" s="57" t="s">
        <v>1194</v>
      </c>
      <c r="F767" s="57">
        <v>83</v>
      </c>
      <c r="G767" s="57" t="s">
        <v>1359</v>
      </c>
      <c r="H767" s="57" t="s">
        <v>1117</v>
      </c>
    </row>
    <row r="768" spans="2:8" ht="13.5" customHeight="1">
      <c r="B768" s="57" t="s">
        <v>1129</v>
      </c>
      <c r="D768" s="57" t="s">
        <v>1186</v>
      </c>
      <c r="F768" s="57">
        <v>395</v>
      </c>
      <c r="G768" s="57" t="s">
        <v>1359</v>
      </c>
      <c r="H768" s="57" t="s">
        <v>1117</v>
      </c>
    </row>
    <row r="769" spans="2:8" ht="13.5" customHeight="1">
      <c r="B769" s="57" t="s">
        <v>476</v>
      </c>
      <c r="D769" s="57" t="s">
        <v>1155</v>
      </c>
      <c r="F769" s="57">
        <v>1023</v>
      </c>
      <c r="G769" s="57" t="s">
        <v>1359</v>
      </c>
      <c r="H769" s="57" t="s">
        <v>1347</v>
      </c>
    </row>
    <row r="770" spans="2:8" ht="13.5" customHeight="1">
      <c r="B770" s="57" t="s">
        <v>1192</v>
      </c>
      <c r="D770" s="57" t="s">
        <v>593</v>
      </c>
      <c r="F770" s="57">
        <v>5228</v>
      </c>
      <c r="G770" s="57" t="s">
        <v>1359</v>
      </c>
      <c r="H770" s="57" t="s">
        <v>1347</v>
      </c>
    </row>
    <row r="771" spans="2:8" ht="13.5" customHeight="1">
      <c r="B771" s="57" t="s">
        <v>1302</v>
      </c>
      <c r="D771" s="57" t="s">
        <v>1302</v>
      </c>
      <c r="F771" s="57">
        <v>7</v>
      </c>
      <c r="G771" s="57" t="s">
        <v>1359</v>
      </c>
      <c r="H771" s="57" t="s">
        <v>1355</v>
      </c>
    </row>
    <row r="772" spans="2:8" ht="13.5" customHeight="1">
      <c r="B772" s="57" t="s">
        <v>1340</v>
      </c>
      <c r="F772" s="57">
        <v>10</v>
      </c>
      <c r="G772" s="57" t="s">
        <v>1359</v>
      </c>
      <c r="H772" s="57" t="s">
        <v>1355</v>
      </c>
    </row>
    <row r="773" spans="2:8" ht="13.5" customHeight="1">
      <c r="B773" s="57" t="s">
        <v>1341</v>
      </c>
      <c r="F773" s="57">
        <v>10</v>
      </c>
      <c r="G773" s="57" t="s">
        <v>1359</v>
      </c>
      <c r="H773" s="57" t="s">
        <v>1355</v>
      </c>
    </row>
    <row r="774" spans="2:8" ht="13.5" customHeight="1">
      <c r="B774" s="57" t="s">
        <v>1336</v>
      </c>
      <c r="D774" s="57" t="s">
        <v>1337</v>
      </c>
      <c r="F774" s="57">
        <v>12</v>
      </c>
      <c r="G774" s="57" t="s">
        <v>1359</v>
      </c>
      <c r="H774" s="57" t="s">
        <v>1355</v>
      </c>
    </row>
    <row r="775" spans="2:8" ht="13.5" customHeight="1">
      <c r="B775" s="57" t="s">
        <v>1257</v>
      </c>
      <c r="D775" s="57" t="s">
        <v>1258</v>
      </c>
      <c r="F775" s="57">
        <v>156</v>
      </c>
      <c r="G775" s="57" t="s">
        <v>1359</v>
      </c>
      <c r="H775" s="57" t="s">
        <v>1355</v>
      </c>
    </row>
    <row r="776" spans="2:8" ht="13.5" customHeight="1">
      <c r="B776" s="57" t="s">
        <v>1299</v>
      </c>
      <c r="D776" s="57" t="s">
        <v>1300</v>
      </c>
      <c r="F776" s="57">
        <v>213</v>
      </c>
      <c r="G776" s="57" t="s">
        <v>1359</v>
      </c>
      <c r="H776" s="57" t="s">
        <v>1355</v>
      </c>
    </row>
    <row r="777" spans="2:8" ht="13.5" customHeight="1">
      <c r="B777" s="57" t="s">
        <v>1331</v>
      </c>
      <c r="D777" s="57" t="s">
        <v>1331</v>
      </c>
      <c r="F777" s="57">
        <v>811</v>
      </c>
      <c r="G777" s="57" t="s">
        <v>1359</v>
      </c>
      <c r="H777" s="57" t="s">
        <v>1355</v>
      </c>
    </row>
    <row r="778" spans="2:8" ht="13.5" customHeight="1">
      <c r="B778" s="57" t="s">
        <v>1322</v>
      </c>
      <c r="D778" s="57" t="s">
        <v>1323</v>
      </c>
      <c r="F778" s="57">
        <v>1986</v>
      </c>
      <c r="G778" s="57" t="s">
        <v>1359</v>
      </c>
      <c r="H778" s="57" t="s">
        <v>1355</v>
      </c>
    </row>
    <row r="779" spans="2:8" ht="13.5" customHeight="1">
      <c r="B779" s="57" t="s">
        <v>1324</v>
      </c>
      <c r="D779" s="57" t="s">
        <v>1231</v>
      </c>
      <c r="F779" s="57">
        <v>2019</v>
      </c>
      <c r="G779" s="57" t="s">
        <v>1359</v>
      </c>
      <c r="H779" s="57" t="s">
        <v>1355</v>
      </c>
    </row>
    <row r="780" spans="2:8" ht="13.5" customHeight="1">
      <c r="B780" s="57" t="s">
        <v>1318</v>
      </c>
      <c r="D780" s="57" t="s">
        <v>1318</v>
      </c>
      <c r="F780" s="57">
        <v>2500</v>
      </c>
      <c r="G780" s="57" t="s">
        <v>1359</v>
      </c>
      <c r="H780" s="57" t="s">
        <v>1355</v>
      </c>
    </row>
    <row r="781" spans="2:8" ht="13.5" customHeight="1">
      <c r="B781" s="57" t="s">
        <v>495</v>
      </c>
      <c r="D781" s="57" t="s">
        <v>1207</v>
      </c>
      <c r="E781" s="57" t="s">
        <v>496</v>
      </c>
      <c r="F781" s="57">
        <v>3240</v>
      </c>
      <c r="G781" s="57" t="s">
        <v>1359</v>
      </c>
      <c r="H781" s="57" t="s">
        <v>1355</v>
      </c>
    </row>
    <row r="782" spans="2:8" ht="13.5" customHeight="1">
      <c r="B782" s="57" t="s">
        <v>1164</v>
      </c>
      <c r="D782" s="57" t="s">
        <v>1072</v>
      </c>
      <c r="F782" s="57">
        <v>4729</v>
      </c>
      <c r="G782" s="57" t="s">
        <v>1359</v>
      </c>
      <c r="H782" s="57" t="s">
        <v>1355</v>
      </c>
    </row>
    <row r="783" spans="2:8" ht="13.5" customHeight="1">
      <c r="B783" s="57" t="s">
        <v>1260</v>
      </c>
      <c r="D783" s="57" t="s">
        <v>1261</v>
      </c>
      <c r="F783" s="57">
        <v>4925</v>
      </c>
      <c r="G783" s="57" t="s">
        <v>1359</v>
      </c>
      <c r="H783" s="57" t="s">
        <v>1355</v>
      </c>
    </row>
    <row r="784" spans="2:8" ht="13.5" customHeight="1">
      <c r="B784" s="57" t="s">
        <v>1255</v>
      </c>
      <c r="D784" s="57" t="s">
        <v>1293</v>
      </c>
      <c r="F784" s="57">
        <v>4985</v>
      </c>
      <c r="G784" s="57" t="s">
        <v>1359</v>
      </c>
      <c r="H784" s="57" t="s">
        <v>1355</v>
      </c>
    </row>
    <row r="785" spans="2:8" ht="13.5" customHeight="1">
      <c r="B785" s="57" t="s">
        <v>1264</v>
      </c>
      <c r="D785" s="57" t="s">
        <v>1265</v>
      </c>
      <c r="F785" s="57">
        <v>4985</v>
      </c>
      <c r="G785" s="57" t="s">
        <v>1359</v>
      </c>
      <c r="H785" s="57" t="s">
        <v>1355</v>
      </c>
    </row>
    <row r="786" spans="2:8" ht="13.5" customHeight="1">
      <c r="D786" s="57" t="s">
        <v>1333</v>
      </c>
      <c r="F786" s="57">
        <v>5000</v>
      </c>
      <c r="G786" s="57" t="s">
        <v>1359</v>
      </c>
      <c r="H786" s="57" t="s">
        <v>1355</v>
      </c>
    </row>
    <row r="787" spans="2:8" ht="13.5" customHeight="1">
      <c r="B787" s="57" t="s">
        <v>1338</v>
      </c>
      <c r="D787" s="57" t="s">
        <v>1339</v>
      </c>
      <c r="F787" s="57">
        <v>9890</v>
      </c>
      <c r="G787" s="57" t="s">
        <v>1359</v>
      </c>
      <c r="H787" s="57" t="s">
        <v>1355</v>
      </c>
    </row>
    <row r="788" spans="2:8" ht="13.5" customHeight="1">
      <c r="B788" s="57" t="s">
        <v>1334</v>
      </c>
      <c r="D788" s="57" t="s">
        <v>1220</v>
      </c>
      <c r="F788" s="57">
        <v>10000</v>
      </c>
      <c r="G788" s="57" t="s">
        <v>1359</v>
      </c>
      <c r="H788" s="57" t="s">
        <v>1355</v>
      </c>
    </row>
    <row r="789" spans="2:8" ht="13.5" customHeight="1">
      <c r="B789" s="57" t="s">
        <v>1335</v>
      </c>
      <c r="D789" s="57" t="s">
        <v>1208</v>
      </c>
      <c r="F789" s="57">
        <v>20000</v>
      </c>
      <c r="G789" s="57" t="s">
        <v>1359</v>
      </c>
      <c r="H789" s="57" t="s">
        <v>1355</v>
      </c>
    </row>
    <row r="790" spans="2:8" ht="13.5" customHeight="1">
      <c r="B790" s="57" t="s">
        <v>1313</v>
      </c>
      <c r="D790" s="57">
        <v>7440530047</v>
      </c>
      <c r="F790" s="57">
        <v>1</v>
      </c>
      <c r="G790" s="57" t="s">
        <v>1359</v>
      </c>
      <c r="H790" s="57" t="s">
        <v>1354</v>
      </c>
    </row>
    <row r="791" spans="2:8" ht="13.5" customHeight="1">
      <c r="B791" s="57" t="s">
        <v>1291</v>
      </c>
      <c r="D791" s="57" t="s">
        <v>1292</v>
      </c>
      <c r="F791" s="57">
        <v>1</v>
      </c>
      <c r="G791" s="57" t="s">
        <v>1359</v>
      </c>
      <c r="H791" s="57" t="s">
        <v>1354</v>
      </c>
    </row>
    <row r="792" spans="2:8" ht="13.5" customHeight="1">
      <c r="B792" s="57" t="s">
        <v>1262</v>
      </c>
      <c r="D792" s="57" t="s">
        <v>1263</v>
      </c>
      <c r="F792" s="57">
        <v>2</v>
      </c>
      <c r="G792" s="57" t="s">
        <v>1359</v>
      </c>
      <c r="H792" s="57" t="s">
        <v>1354</v>
      </c>
    </row>
    <row r="793" spans="2:8" ht="13.5" customHeight="1">
      <c r="D793" s="57" t="s">
        <v>1342</v>
      </c>
      <c r="F793" s="57">
        <v>2</v>
      </c>
      <c r="G793" s="57" t="s">
        <v>1359</v>
      </c>
      <c r="H793" s="57" t="s">
        <v>1354</v>
      </c>
    </row>
    <row r="794" spans="2:8" ht="13.5" customHeight="1">
      <c r="B794" s="57" t="s">
        <v>1156</v>
      </c>
      <c r="D794" s="57" t="s">
        <v>1294</v>
      </c>
      <c r="F794" s="57">
        <v>4</v>
      </c>
      <c r="G794" s="57" t="s">
        <v>1359</v>
      </c>
      <c r="H794" s="57" t="s">
        <v>1354</v>
      </c>
    </row>
    <row r="795" spans="2:8" ht="13.5" customHeight="1">
      <c r="B795" s="57" t="s">
        <v>1298</v>
      </c>
      <c r="D795" s="57" t="s">
        <v>1298</v>
      </c>
      <c r="F795" s="57">
        <v>4</v>
      </c>
      <c r="G795" s="57" t="s">
        <v>1359</v>
      </c>
      <c r="H795" s="57" t="s">
        <v>1354</v>
      </c>
    </row>
    <row r="796" spans="2:8" ht="13.5" customHeight="1">
      <c r="B796" s="57" t="s">
        <v>1290</v>
      </c>
      <c r="D796" s="60" t="s">
        <v>1290</v>
      </c>
      <c r="F796" s="57">
        <v>9</v>
      </c>
      <c r="G796" s="57" t="s">
        <v>1359</v>
      </c>
      <c r="H796" s="57" t="s">
        <v>1354</v>
      </c>
    </row>
    <row r="797" spans="2:8" ht="13.5" customHeight="1">
      <c r="B797" s="57" t="s">
        <v>1254</v>
      </c>
      <c r="D797" s="57" t="s">
        <v>499</v>
      </c>
      <c r="F797" s="57">
        <v>10</v>
      </c>
      <c r="G797" s="57" t="s">
        <v>1359</v>
      </c>
      <c r="H797" s="57" t="s">
        <v>1354</v>
      </c>
    </row>
    <row r="798" spans="2:8" ht="13.5" customHeight="1">
      <c r="B798" s="57" t="s">
        <v>1301</v>
      </c>
      <c r="D798" s="57" t="s">
        <v>1301</v>
      </c>
      <c r="F798" s="57">
        <v>20</v>
      </c>
      <c r="G798" s="57" t="s">
        <v>1359</v>
      </c>
      <c r="H798" s="57" t="s">
        <v>1354</v>
      </c>
    </row>
    <row r="799" spans="2:8" ht="13.5" customHeight="1">
      <c r="B799" s="57" t="s">
        <v>1268</v>
      </c>
      <c r="D799" s="57" t="s">
        <v>1268</v>
      </c>
      <c r="E799" s="68"/>
      <c r="F799" s="57">
        <v>20</v>
      </c>
      <c r="G799" s="57" t="s">
        <v>1359</v>
      </c>
      <c r="H799" s="57" t="s">
        <v>1354</v>
      </c>
    </row>
    <row r="800" spans="2:8" ht="13.5" customHeight="1">
      <c r="B800" s="57" t="s">
        <v>1267</v>
      </c>
      <c r="D800" s="57" t="s">
        <v>1267</v>
      </c>
      <c r="F800" s="57">
        <v>29</v>
      </c>
      <c r="G800" s="57" t="s">
        <v>1359</v>
      </c>
      <c r="H800" s="57" t="s">
        <v>1354</v>
      </c>
    </row>
    <row r="801" spans="2:8" ht="13.5" customHeight="1">
      <c r="B801" s="57" t="s">
        <v>1295</v>
      </c>
      <c r="D801" s="57" t="s">
        <v>1296</v>
      </c>
      <c r="F801" s="57">
        <v>75</v>
      </c>
      <c r="G801" s="57" t="s">
        <v>1359</v>
      </c>
      <c r="H801" s="57" t="s">
        <v>1354</v>
      </c>
    </row>
    <row r="802" spans="2:8" ht="13.5" customHeight="1">
      <c r="B802" s="57" t="s">
        <v>1297</v>
      </c>
      <c r="D802" s="60" t="s">
        <v>8167</v>
      </c>
      <c r="F802" s="57">
        <v>209</v>
      </c>
      <c r="G802" s="57" t="s">
        <v>1359</v>
      </c>
      <c r="H802" s="57" t="s">
        <v>1354</v>
      </c>
    </row>
    <row r="803" spans="2:8" ht="13.5" customHeight="1">
      <c r="B803" s="57" t="s">
        <v>1232</v>
      </c>
      <c r="D803" s="57" t="s">
        <v>1233</v>
      </c>
      <c r="F803" s="57">
        <v>1</v>
      </c>
      <c r="G803" s="57" t="s">
        <v>1359</v>
      </c>
      <c r="H803" s="57" t="s">
        <v>1356</v>
      </c>
    </row>
    <row r="804" spans="2:8" ht="13.5" customHeight="1">
      <c r="B804" s="57" t="s">
        <v>1234</v>
      </c>
      <c r="D804" s="57" t="s">
        <v>1235</v>
      </c>
      <c r="F804" s="57">
        <v>3</v>
      </c>
      <c r="G804" s="57" t="s">
        <v>1359</v>
      </c>
      <c r="H804" s="57" t="s">
        <v>1356</v>
      </c>
    </row>
    <row r="805" spans="2:8" ht="13.5" customHeight="1">
      <c r="B805" s="57" t="s">
        <v>1316</v>
      </c>
      <c r="D805" s="57" t="s">
        <v>1316</v>
      </c>
      <c r="F805" s="57">
        <v>3</v>
      </c>
      <c r="G805" s="57" t="s">
        <v>1359</v>
      </c>
      <c r="H805" s="57" t="s">
        <v>1356</v>
      </c>
    </row>
    <row r="806" spans="2:8" ht="13.5" customHeight="1">
      <c r="B806" s="57" t="s">
        <v>1311</v>
      </c>
      <c r="D806" s="57" t="s">
        <v>1312</v>
      </c>
      <c r="F806" s="57">
        <v>7</v>
      </c>
      <c r="G806" s="57" t="s">
        <v>1359</v>
      </c>
      <c r="H806" s="57" t="s">
        <v>1356</v>
      </c>
    </row>
    <row r="807" spans="2:8" ht="13.5" customHeight="1">
      <c r="B807" s="57" t="s">
        <v>1305</v>
      </c>
      <c r="D807" s="57" t="s">
        <v>1306</v>
      </c>
      <c r="F807" s="57">
        <v>9</v>
      </c>
      <c r="G807" s="57" t="s">
        <v>1359</v>
      </c>
      <c r="H807" s="57" t="s">
        <v>1356</v>
      </c>
    </row>
    <row r="808" spans="2:8" ht="13.5" customHeight="1">
      <c r="B808" s="57" t="s">
        <v>1329</v>
      </c>
      <c r="D808" s="57" t="s">
        <v>1330</v>
      </c>
      <c r="F808" s="57">
        <v>11</v>
      </c>
      <c r="G808" s="57" t="s">
        <v>1359</v>
      </c>
      <c r="H808" s="57" t="s">
        <v>1356</v>
      </c>
    </row>
    <row r="809" spans="2:8" ht="13.5" customHeight="1">
      <c r="B809" s="57" t="s">
        <v>1229</v>
      </c>
      <c r="D809" s="57" t="s">
        <v>1310</v>
      </c>
      <c r="F809" s="57">
        <v>12</v>
      </c>
      <c r="G809" s="57" t="s">
        <v>1359</v>
      </c>
      <c r="H809" s="57" t="s">
        <v>1356</v>
      </c>
    </row>
    <row r="810" spans="2:8" ht="13.5" customHeight="1">
      <c r="B810" s="57" t="s">
        <v>1327</v>
      </c>
      <c r="D810" s="57" t="s">
        <v>1328</v>
      </c>
      <c r="F810" s="57">
        <v>13</v>
      </c>
      <c r="G810" s="57" t="s">
        <v>1359</v>
      </c>
      <c r="H810" s="57" t="s">
        <v>1356</v>
      </c>
    </row>
    <row r="811" spans="2:8" ht="13.5" customHeight="1">
      <c r="B811" s="57" t="s">
        <v>1319</v>
      </c>
      <c r="D811" s="57" t="s">
        <v>1320</v>
      </c>
      <c r="E811" s="68"/>
      <c r="F811" s="57">
        <v>20</v>
      </c>
      <c r="G811" s="57" t="s">
        <v>1359</v>
      </c>
      <c r="H811" s="57" t="s">
        <v>1356</v>
      </c>
    </row>
    <row r="812" spans="2:8" ht="13.5" customHeight="1">
      <c r="B812" s="57" t="s">
        <v>1314</v>
      </c>
      <c r="D812" s="57" t="s">
        <v>1315</v>
      </c>
      <c r="F812" s="57">
        <v>26</v>
      </c>
      <c r="G812" s="57" t="s">
        <v>1359</v>
      </c>
      <c r="H812" s="57" t="s">
        <v>1356</v>
      </c>
    </row>
    <row r="813" spans="2:8" ht="13.5" customHeight="1">
      <c r="B813" s="57" t="s">
        <v>1303</v>
      </c>
      <c r="D813" s="57" t="s">
        <v>1304</v>
      </c>
      <c r="F813" s="57">
        <v>28</v>
      </c>
      <c r="G813" s="57" t="s">
        <v>1359</v>
      </c>
      <c r="H813" s="57" t="s">
        <v>1356</v>
      </c>
    </row>
    <row r="814" spans="2:8" ht="13.5" customHeight="1">
      <c r="B814" s="57" t="s">
        <v>1308</v>
      </c>
      <c r="D814" s="57" t="s">
        <v>1307</v>
      </c>
      <c r="F814" s="57">
        <v>61</v>
      </c>
      <c r="G814" s="57" t="s">
        <v>1359</v>
      </c>
      <c r="H814" s="57" t="s">
        <v>1356</v>
      </c>
    </row>
    <row r="815" spans="2:8" ht="13.5" customHeight="1">
      <c r="B815" s="57" t="s">
        <v>1325</v>
      </c>
      <c r="D815" s="57" t="s">
        <v>1326</v>
      </c>
      <c r="F815" s="57">
        <v>95</v>
      </c>
      <c r="G815" s="57" t="s">
        <v>1359</v>
      </c>
      <c r="H815" s="57" t="s">
        <v>1356</v>
      </c>
    </row>
    <row r="816" spans="2:8" ht="13.5" customHeight="1">
      <c r="B816" s="57" t="s">
        <v>1307</v>
      </c>
      <c r="D816" s="57" t="s">
        <v>1321</v>
      </c>
      <c r="F816" s="57">
        <v>216</v>
      </c>
      <c r="G816" s="57" t="s">
        <v>1359</v>
      </c>
      <c r="H816" s="57" t="s">
        <v>1356</v>
      </c>
    </row>
    <row r="817" spans="2:8" ht="13.5" customHeight="1">
      <c r="B817" s="57" t="s">
        <v>1309</v>
      </c>
      <c r="D817" s="57">
        <v>36912000000</v>
      </c>
      <c r="F817" s="57">
        <v>826</v>
      </c>
      <c r="G817" s="57" t="s">
        <v>1359</v>
      </c>
      <c r="H817" s="57" t="s">
        <v>1356</v>
      </c>
    </row>
    <row r="818" spans="2:8" ht="13.5" customHeight="1">
      <c r="B818" s="57" t="s">
        <v>1319</v>
      </c>
      <c r="D818" s="57" t="s">
        <v>1332</v>
      </c>
      <c r="F818" s="57">
        <v>366</v>
      </c>
      <c r="G818" s="57" t="s">
        <v>1359</v>
      </c>
      <c r="H818" s="57" t="s">
        <v>1357</v>
      </c>
    </row>
    <row r="819" spans="2:8" ht="13.5" customHeight="1">
      <c r="B819" s="57" t="s">
        <v>1241</v>
      </c>
      <c r="D819" s="57">
        <v>5433671</v>
      </c>
      <c r="F819" s="57">
        <v>500</v>
      </c>
      <c r="G819" s="57" t="s">
        <v>1359</v>
      </c>
      <c r="H819" s="57" t="s">
        <v>1357</v>
      </c>
    </row>
    <row r="820" spans="2:8" ht="13.5" customHeight="1">
      <c r="B820" s="68" t="s">
        <v>1240</v>
      </c>
      <c r="D820" s="57">
        <v>5435734</v>
      </c>
      <c r="F820" s="57">
        <v>500</v>
      </c>
      <c r="G820" s="57" t="s">
        <v>1359</v>
      </c>
      <c r="H820" s="57" t="s">
        <v>1357</v>
      </c>
    </row>
    <row r="821" spans="2:8" ht="13.5" customHeight="1">
      <c r="B821" s="57" t="s">
        <v>1237</v>
      </c>
      <c r="D821" s="57">
        <v>5435721</v>
      </c>
      <c r="F821" s="57">
        <v>508</v>
      </c>
      <c r="G821" s="57" t="s">
        <v>1359</v>
      </c>
      <c r="H821" s="57" t="s">
        <v>1357</v>
      </c>
    </row>
    <row r="822" spans="2:8" ht="13.5" customHeight="1">
      <c r="B822" s="57" t="s">
        <v>509</v>
      </c>
      <c r="D822" s="57" t="s">
        <v>1317</v>
      </c>
      <c r="F822" s="57">
        <v>2465</v>
      </c>
      <c r="G822" s="57" t="s">
        <v>1359</v>
      </c>
      <c r="H822" s="57" t="s">
        <v>1357</v>
      </c>
    </row>
    <row r="823" spans="2:8" ht="13.5" customHeight="1">
      <c r="B823" s="57" t="s">
        <v>1238</v>
      </c>
      <c r="D823" s="57">
        <v>5433668</v>
      </c>
      <c r="F823" s="57">
        <v>5503</v>
      </c>
      <c r="G823" s="57" t="s">
        <v>1359</v>
      </c>
      <c r="H823" s="57" t="s">
        <v>1357</v>
      </c>
    </row>
    <row r="824" spans="2:8" ht="13.5" customHeight="1">
      <c r="D824" s="57" t="s">
        <v>1343</v>
      </c>
      <c r="E824" s="68"/>
      <c r="F824" s="57">
        <v>988</v>
      </c>
      <c r="G824" s="57" t="s">
        <v>1359</v>
      </c>
      <c r="H824" s="57" t="s">
        <v>1358</v>
      </c>
    </row>
    <row r="825" spans="2:8" ht="13.5" customHeight="1">
      <c r="B825" s="57" t="s">
        <v>1833</v>
      </c>
      <c r="D825" s="57" t="s">
        <v>1834</v>
      </c>
      <c r="F825" s="57">
        <v>1</v>
      </c>
      <c r="G825" s="57" t="s">
        <v>1845</v>
      </c>
      <c r="H825" s="57" t="s">
        <v>343</v>
      </c>
    </row>
    <row r="826" spans="2:8" ht="13.5" customHeight="1">
      <c r="B826" s="57" t="s">
        <v>1754</v>
      </c>
      <c r="D826" s="57" t="s">
        <v>1755</v>
      </c>
      <c r="F826" s="57">
        <v>5</v>
      </c>
      <c r="G826" s="57" t="s">
        <v>1845</v>
      </c>
      <c r="H826" s="57" t="s">
        <v>343</v>
      </c>
    </row>
    <row r="827" spans="2:8" ht="13.5" customHeight="1">
      <c r="B827" s="57" t="s">
        <v>1820</v>
      </c>
      <c r="D827" s="57" t="s">
        <v>1821</v>
      </c>
      <c r="F827" s="57">
        <v>6</v>
      </c>
      <c r="G827" s="57" t="s">
        <v>1845</v>
      </c>
      <c r="H827" s="57" t="s">
        <v>343</v>
      </c>
    </row>
    <row r="828" spans="2:8" ht="13.5" customHeight="1">
      <c r="B828" s="57" t="s">
        <v>1588</v>
      </c>
      <c r="D828" s="57" t="s">
        <v>1589</v>
      </c>
      <c r="F828" s="57">
        <v>6</v>
      </c>
      <c r="G828" s="57" t="s">
        <v>1845</v>
      </c>
      <c r="H828" s="57" t="s">
        <v>343</v>
      </c>
    </row>
    <row r="829" spans="2:8" ht="13.5" customHeight="1">
      <c r="B829" s="57" t="s">
        <v>1791</v>
      </c>
      <c r="D829" s="57" t="s">
        <v>1792</v>
      </c>
      <c r="F829" s="57">
        <v>10</v>
      </c>
      <c r="G829" s="57" t="s">
        <v>1845</v>
      </c>
      <c r="H829" s="57" t="s">
        <v>343</v>
      </c>
    </row>
    <row r="830" spans="2:8" ht="13.5" customHeight="1">
      <c r="B830" s="57" t="s">
        <v>1724</v>
      </c>
      <c r="D830" s="57" t="s">
        <v>1725</v>
      </c>
      <c r="F830" s="57">
        <v>10</v>
      </c>
      <c r="G830" s="57" t="s">
        <v>1845</v>
      </c>
      <c r="H830" s="57" t="s">
        <v>343</v>
      </c>
    </row>
    <row r="831" spans="2:8" ht="13.5" customHeight="1">
      <c r="B831" s="57" t="s">
        <v>1623</v>
      </c>
      <c r="D831" s="57" t="s">
        <v>1624</v>
      </c>
      <c r="F831" s="57">
        <v>10</v>
      </c>
      <c r="G831" s="57" t="s">
        <v>1845</v>
      </c>
      <c r="H831" s="57" t="s">
        <v>343</v>
      </c>
    </row>
    <row r="832" spans="2:8" ht="13.5" customHeight="1">
      <c r="B832" s="57" t="s">
        <v>1652</v>
      </c>
      <c r="D832" s="57" t="s">
        <v>1653</v>
      </c>
      <c r="F832" s="57">
        <v>11</v>
      </c>
      <c r="G832" s="57" t="s">
        <v>1845</v>
      </c>
      <c r="H832" s="57" t="s">
        <v>343</v>
      </c>
    </row>
    <row r="833" spans="2:8" ht="13.5" customHeight="1">
      <c r="B833" s="57" t="s">
        <v>1605</v>
      </c>
      <c r="D833" s="57" t="s">
        <v>1606</v>
      </c>
      <c r="F833" s="57">
        <v>16</v>
      </c>
      <c r="G833" s="57" t="s">
        <v>1845</v>
      </c>
      <c r="H833" s="57" t="s">
        <v>343</v>
      </c>
    </row>
    <row r="834" spans="2:8" ht="13.5" customHeight="1">
      <c r="B834" s="57" t="s">
        <v>1777</v>
      </c>
      <c r="D834" s="57" t="s">
        <v>1778</v>
      </c>
      <c r="F834" s="57">
        <v>20</v>
      </c>
      <c r="G834" s="57" t="s">
        <v>1845</v>
      </c>
      <c r="H834" s="57" t="s">
        <v>343</v>
      </c>
    </row>
    <row r="835" spans="2:8" ht="13.5" customHeight="1">
      <c r="B835" s="57" t="s">
        <v>1708</v>
      </c>
      <c r="D835" s="57" t="s">
        <v>1709</v>
      </c>
      <c r="F835" s="57">
        <v>20</v>
      </c>
      <c r="G835" s="57" t="s">
        <v>1845</v>
      </c>
      <c r="H835" s="57" t="s">
        <v>343</v>
      </c>
    </row>
    <row r="836" spans="2:8" ht="13.5" customHeight="1">
      <c r="B836" s="57" t="s">
        <v>1841</v>
      </c>
      <c r="D836" s="57" t="s">
        <v>1842</v>
      </c>
      <c r="F836" s="57">
        <v>24</v>
      </c>
      <c r="G836" s="57" t="s">
        <v>1845</v>
      </c>
      <c r="H836" s="57" t="s">
        <v>343</v>
      </c>
    </row>
    <row r="837" spans="2:8" ht="13.5" customHeight="1">
      <c r="B837" s="57" t="s">
        <v>1710</v>
      </c>
      <c r="D837" s="57" t="s">
        <v>1788</v>
      </c>
      <c r="F837" s="57">
        <v>30</v>
      </c>
      <c r="G837" s="57" t="s">
        <v>1845</v>
      </c>
      <c r="H837" s="57" t="s">
        <v>343</v>
      </c>
    </row>
    <row r="838" spans="2:8" ht="13.5" customHeight="1">
      <c r="B838" s="57" t="s">
        <v>1658</v>
      </c>
      <c r="D838" s="57" t="s">
        <v>1659</v>
      </c>
      <c r="F838" s="57">
        <v>31</v>
      </c>
      <c r="G838" s="57" t="s">
        <v>1845</v>
      </c>
      <c r="H838" s="57" t="s">
        <v>343</v>
      </c>
    </row>
    <row r="839" spans="2:8" ht="13.5" customHeight="1">
      <c r="B839" s="57" t="s">
        <v>1740</v>
      </c>
      <c r="D839" s="57" t="s">
        <v>1779</v>
      </c>
      <c r="F839" s="57">
        <v>75</v>
      </c>
      <c r="G839" s="57" t="s">
        <v>1845</v>
      </c>
      <c r="H839" s="57" t="s">
        <v>343</v>
      </c>
    </row>
    <row r="840" spans="2:8" ht="13.5" customHeight="1">
      <c r="B840" s="57" t="s">
        <v>1793</v>
      </c>
      <c r="D840" s="57" t="s">
        <v>1794</v>
      </c>
      <c r="F840" s="57">
        <v>115</v>
      </c>
      <c r="G840" s="57" t="s">
        <v>1845</v>
      </c>
      <c r="H840" s="57" t="s">
        <v>343</v>
      </c>
    </row>
    <row r="841" spans="2:8" ht="13.5" customHeight="1">
      <c r="B841" s="57" t="s">
        <v>1769</v>
      </c>
      <c r="D841" s="57" t="s">
        <v>1770</v>
      </c>
      <c r="F841" s="57">
        <v>126</v>
      </c>
      <c r="G841" s="57" t="s">
        <v>1845</v>
      </c>
      <c r="H841" s="57" t="s">
        <v>343</v>
      </c>
    </row>
    <row r="842" spans="2:8" ht="13.5" customHeight="1">
      <c r="B842" s="57" t="s">
        <v>1692</v>
      </c>
      <c r="D842" s="57" t="s">
        <v>1693</v>
      </c>
      <c r="E842" s="57" t="s">
        <v>1694</v>
      </c>
      <c r="F842" s="57">
        <v>187</v>
      </c>
      <c r="G842" s="57" t="s">
        <v>1845</v>
      </c>
      <c r="H842" s="57" t="s">
        <v>343</v>
      </c>
    </row>
    <row r="843" spans="2:8" ht="13.5" customHeight="1">
      <c r="B843" s="57" t="s">
        <v>8151</v>
      </c>
      <c r="D843" s="57" t="s">
        <v>1728</v>
      </c>
      <c r="F843" s="57">
        <v>269</v>
      </c>
      <c r="G843" s="57" t="s">
        <v>1845</v>
      </c>
      <c r="H843" s="57" t="s">
        <v>343</v>
      </c>
    </row>
    <row r="844" spans="2:8" ht="13.5" customHeight="1">
      <c r="B844" s="57" t="s">
        <v>1703</v>
      </c>
      <c r="D844" s="57" t="s">
        <v>1704</v>
      </c>
      <c r="E844" s="57" t="s">
        <v>1705</v>
      </c>
      <c r="F844" s="57">
        <v>301</v>
      </c>
      <c r="G844" s="57" t="s">
        <v>1845</v>
      </c>
      <c r="H844" s="57" t="s">
        <v>343</v>
      </c>
    </row>
    <row r="845" spans="2:8" ht="13.5" customHeight="1">
      <c r="B845" s="57" t="s">
        <v>1742</v>
      </c>
      <c r="D845" s="57" t="s">
        <v>1743</v>
      </c>
      <c r="F845" s="57">
        <v>399</v>
      </c>
      <c r="G845" s="57" t="s">
        <v>1845</v>
      </c>
      <c r="H845" s="57" t="s">
        <v>343</v>
      </c>
    </row>
    <row r="846" spans="2:8" ht="13.5" customHeight="1">
      <c r="B846" s="57" t="s">
        <v>1620</v>
      </c>
      <c r="D846" s="57" t="s">
        <v>1621</v>
      </c>
      <c r="F846" s="57">
        <v>399</v>
      </c>
      <c r="G846" s="57" t="s">
        <v>1845</v>
      </c>
      <c r="H846" s="57" t="s">
        <v>343</v>
      </c>
    </row>
    <row r="847" spans="2:8" ht="13.5" customHeight="1">
      <c r="B847" s="57" t="s">
        <v>1701</v>
      </c>
      <c r="D847" s="57" t="s">
        <v>1702</v>
      </c>
      <c r="F847" s="57">
        <v>506</v>
      </c>
      <c r="G847" s="57" t="s">
        <v>1845</v>
      </c>
      <c r="H847" s="57" t="s">
        <v>343</v>
      </c>
    </row>
    <row r="848" spans="2:8" ht="13.5" customHeight="1">
      <c r="B848" s="57" t="s">
        <v>1647</v>
      </c>
      <c r="D848" s="57" t="s">
        <v>1647</v>
      </c>
      <c r="F848" s="57">
        <v>1</v>
      </c>
      <c r="G848" s="57" t="s">
        <v>1845</v>
      </c>
      <c r="H848" s="57" t="s">
        <v>1351</v>
      </c>
    </row>
    <row r="849" spans="2:8" ht="13.5" customHeight="1">
      <c r="B849" s="57" t="s">
        <v>1645</v>
      </c>
      <c r="D849" s="57" t="s">
        <v>1645</v>
      </c>
      <c r="F849" s="57">
        <v>6</v>
      </c>
      <c r="G849" s="57" t="s">
        <v>1845</v>
      </c>
      <c r="H849" s="57" t="s">
        <v>1351</v>
      </c>
    </row>
    <row r="850" spans="2:8" ht="13.5" customHeight="1">
      <c r="B850" s="57" t="s">
        <v>1646</v>
      </c>
      <c r="D850" s="57" t="s">
        <v>1646</v>
      </c>
      <c r="E850" s="60" t="s">
        <v>8270</v>
      </c>
      <c r="F850" s="57">
        <v>10</v>
      </c>
      <c r="G850" s="57" t="s">
        <v>1845</v>
      </c>
      <c r="H850" s="57" t="s">
        <v>1351</v>
      </c>
    </row>
    <row r="851" spans="2:8" ht="13.5" customHeight="1">
      <c r="D851" s="57" t="s">
        <v>1641</v>
      </c>
      <c r="F851" s="57">
        <v>24</v>
      </c>
      <c r="G851" s="57" t="s">
        <v>1845</v>
      </c>
      <c r="H851" s="57" t="s">
        <v>1351</v>
      </c>
    </row>
    <row r="852" spans="2:8" ht="13.5" customHeight="1">
      <c r="B852" s="57" t="s">
        <v>1639</v>
      </c>
      <c r="D852" s="57" t="s">
        <v>1639</v>
      </c>
      <c r="E852" s="57" t="s">
        <v>1640</v>
      </c>
      <c r="F852" s="57">
        <v>30</v>
      </c>
      <c r="G852" s="57" t="s">
        <v>1845</v>
      </c>
      <c r="H852" s="57" t="s">
        <v>1351</v>
      </c>
    </row>
    <row r="853" spans="2:8" ht="13.5" customHeight="1">
      <c r="B853" s="57" t="s">
        <v>1642</v>
      </c>
      <c r="D853" s="57" t="s">
        <v>1642</v>
      </c>
      <c r="F853" s="57">
        <v>35</v>
      </c>
      <c r="G853" s="57" t="s">
        <v>1845</v>
      </c>
      <c r="H853" s="57" t="s">
        <v>1351</v>
      </c>
    </row>
    <row r="854" spans="2:8" ht="13.5" customHeight="1">
      <c r="B854" s="57" t="s">
        <v>1638</v>
      </c>
      <c r="D854" s="60" t="s">
        <v>8273</v>
      </c>
      <c r="F854" s="57">
        <v>41</v>
      </c>
      <c r="G854" s="57" t="s">
        <v>1845</v>
      </c>
      <c r="H854" s="57" t="s">
        <v>1351</v>
      </c>
    </row>
    <row r="855" spans="2:8" ht="13.5" customHeight="1">
      <c r="B855" s="57" t="s">
        <v>1644</v>
      </c>
      <c r="D855" s="57" t="s">
        <v>1644</v>
      </c>
      <c r="E855" s="60" t="s">
        <v>8271</v>
      </c>
      <c r="F855" s="57">
        <v>44</v>
      </c>
      <c r="G855" s="57" t="s">
        <v>1845</v>
      </c>
      <c r="H855" s="57" t="s">
        <v>1351</v>
      </c>
    </row>
    <row r="856" spans="2:8" ht="13.5" customHeight="1">
      <c r="B856" s="57" t="s">
        <v>1643</v>
      </c>
      <c r="D856" s="57" t="s">
        <v>1643</v>
      </c>
      <c r="E856" s="60" t="s">
        <v>8272</v>
      </c>
      <c r="F856" s="57">
        <v>52</v>
      </c>
      <c r="G856" s="57" t="s">
        <v>1845</v>
      </c>
      <c r="H856" s="57" t="s">
        <v>1351</v>
      </c>
    </row>
    <row r="857" spans="2:8" ht="13.5" customHeight="1">
      <c r="B857" s="57" t="s">
        <v>1839</v>
      </c>
      <c r="D857" s="57" t="s">
        <v>1840</v>
      </c>
      <c r="F857" s="57">
        <v>8</v>
      </c>
      <c r="G857" s="57" t="s">
        <v>1845</v>
      </c>
      <c r="H857" s="57" t="s">
        <v>1352</v>
      </c>
    </row>
    <row r="858" spans="2:8" ht="13.5" customHeight="1">
      <c r="B858" s="57" t="s">
        <v>1830</v>
      </c>
      <c r="D858" s="57" t="s">
        <v>1831</v>
      </c>
      <c r="E858" s="57" t="s">
        <v>1832</v>
      </c>
      <c r="F858" s="57">
        <v>8</v>
      </c>
      <c r="G858" s="57" t="s">
        <v>1845</v>
      </c>
      <c r="H858" s="57" t="s">
        <v>1352</v>
      </c>
    </row>
    <row r="859" spans="2:8" ht="13.5" customHeight="1">
      <c r="B859" s="57" t="s">
        <v>1827</v>
      </c>
      <c r="D859" s="57" t="s">
        <v>1828</v>
      </c>
      <c r="E859" s="57" t="s">
        <v>1829</v>
      </c>
      <c r="F859" s="57">
        <v>8</v>
      </c>
      <c r="G859" s="57" t="s">
        <v>1845</v>
      </c>
      <c r="H859" s="57" t="s">
        <v>1352</v>
      </c>
    </row>
    <row r="860" spans="2:8" ht="13.5" customHeight="1">
      <c r="B860" s="57" t="s">
        <v>1618</v>
      </c>
      <c r="D860" s="57" t="s">
        <v>1632</v>
      </c>
      <c r="F860" s="57">
        <v>14</v>
      </c>
      <c r="G860" s="57" t="s">
        <v>1845</v>
      </c>
      <c r="H860" s="57" t="s">
        <v>1352</v>
      </c>
    </row>
    <row r="861" spans="2:8" ht="13.5" customHeight="1">
      <c r="B861" s="57" t="s">
        <v>573</v>
      </c>
      <c r="D861" s="57" t="s">
        <v>1617</v>
      </c>
      <c r="F861" s="57">
        <v>14</v>
      </c>
      <c r="G861" s="57" t="s">
        <v>1845</v>
      </c>
      <c r="H861" s="57" t="s">
        <v>1352</v>
      </c>
    </row>
    <row r="862" spans="2:8" ht="13.5" customHeight="1">
      <c r="B862" s="57" t="s">
        <v>576</v>
      </c>
      <c r="D862" s="57" t="s">
        <v>1631</v>
      </c>
      <c r="F862" s="57">
        <v>28</v>
      </c>
      <c r="G862" s="57" t="s">
        <v>1845</v>
      </c>
      <c r="H862" s="57" t="s">
        <v>1352</v>
      </c>
    </row>
    <row r="863" spans="2:8" ht="13.5" customHeight="1">
      <c r="B863" s="57" t="s">
        <v>562</v>
      </c>
      <c r="D863" s="68" t="s">
        <v>1633</v>
      </c>
      <c r="F863" s="57">
        <v>33</v>
      </c>
      <c r="G863" s="57" t="s">
        <v>1845</v>
      </c>
      <c r="H863" s="57" t="s">
        <v>1352</v>
      </c>
    </row>
    <row r="864" spans="2:8" ht="13.5" customHeight="1">
      <c r="B864" s="57" t="s">
        <v>1618</v>
      </c>
      <c r="D864" s="57" t="s">
        <v>1619</v>
      </c>
      <c r="F864" s="57">
        <v>40</v>
      </c>
      <c r="G864" s="57" t="s">
        <v>1845</v>
      </c>
      <c r="H864" s="57" t="s">
        <v>1352</v>
      </c>
    </row>
    <row r="865" spans="2:8" ht="13.5" customHeight="1">
      <c r="B865" s="57" t="s">
        <v>1636</v>
      </c>
      <c r="D865" s="57" t="s">
        <v>1637</v>
      </c>
      <c r="F865" s="57">
        <v>56</v>
      </c>
      <c r="G865" s="57" t="s">
        <v>1845</v>
      </c>
      <c r="H865" s="57" t="s">
        <v>1352</v>
      </c>
    </row>
    <row r="866" spans="2:8" ht="13.5" customHeight="1">
      <c r="B866" s="57" t="s">
        <v>1634</v>
      </c>
      <c r="D866" s="57" t="s">
        <v>1635</v>
      </c>
      <c r="F866" s="57">
        <v>60</v>
      </c>
      <c r="G866" s="57" t="s">
        <v>1845</v>
      </c>
      <c r="H866" s="57" t="s">
        <v>1352</v>
      </c>
    </row>
    <row r="867" spans="2:8" ht="13.5" customHeight="1">
      <c r="B867" s="57" t="s">
        <v>1816</v>
      </c>
      <c r="D867" s="57" t="s">
        <v>1817</v>
      </c>
      <c r="F867" s="57">
        <v>1</v>
      </c>
      <c r="G867" s="57" t="s">
        <v>1845</v>
      </c>
      <c r="H867" s="57" t="s">
        <v>344</v>
      </c>
    </row>
    <row r="868" spans="2:8" ht="13.5" customHeight="1">
      <c r="B868" s="57" t="s">
        <v>1674</v>
      </c>
      <c r="D868" s="57" t="s">
        <v>1675</v>
      </c>
      <c r="F868" s="57">
        <v>5</v>
      </c>
      <c r="G868" s="57" t="s">
        <v>1845</v>
      </c>
      <c r="H868" s="57" t="s">
        <v>344</v>
      </c>
    </row>
    <row r="869" spans="2:8" ht="13.5" customHeight="1">
      <c r="B869" s="57" t="s">
        <v>1663</v>
      </c>
      <c r="D869" s="57" t="s">
        <v>1664</v>
      </c>
      <c r="F869" s="57">
        <v>5</v>
      </c>
      <c r="G869" s="57" t="s">
        <v>1845</v>
      </c>
      <c r="H869" s="57" t="s">
        <v>344</v>
      </c>
    </row>
    <row r="870" spans="2:8" ht="13.5" customHeight="1">
      <c r="B870" s="57" t="s">
        <v>1615</v>
      </c>
      <c r="D870" s="57" t="s">
        <v>1616</v>
      </c>
      <c r="F870" s="57">
        <v>5</v>
      </c>
      <c r="G870" s="57" t="s">
        <v>1845</v>
      </c>
      <c r="H870" s="57" t="s">
        <v>344</v>
      </c>
    </row>
    <row r="871" spans="2:8" ht="13.5" customHeight="1">
      <c r="B871" s="57" t="s">
        <v>1595</v>
      </c>
      <c r="D871" s="57" t="s">
        <v>1596</v>
      </c>
      <c r="F871" s="57">
        <v>5</v>
      </c>
      <c r="G871" s="57" t="s">
        <v>1845</v>
      </c>
      <c r="H871" s="57" t="s">
        <v>344</v>
      </c>
    </row>
    <row r="872" spans="2:8" ht="13.5" customHeight="1">
      <c r="B872" s="57" t="s">
        <v>1585</v>
      </c>
      <c r="D872" s="57" t="s">
        <v>123</v>
      </c>
      <c r="F872" s="57">
        <v>5</v>
      </c>
      <c r="G872" s="57" t="s">
        <v>1845</v>
      </c>
      <c r="H872" s="57" t="s">
        <v>344</v>
      </c>
    </row>
    <row r="873" spans="2:8" ht="13.5" customHeight="1">
      <c r="B873" s="57" t="s">
        <v>1649</v>
      </c>
      <c r="D873" s="57" t="s">
        <v>1650</v>
      </c>
      <c r="E873" s="57" t="s">
        <v>1651</v>
      </c>
      <c r="F873" s="57">
        <v>6</v>
      </c>
      <c r="G873" s="57" t="s">
        <v>1845</v>
      </c>
      <c r="H873" s="57" t="s">
        <v>344</v>
      </c>
    </row>
    <row r="874" spans="2:8" ht="13.5" customHeight="1">
      <c r="B874" s="57" t="s">
        <v>1654</v>
      </c>
      <c r="D874" s="57" t="s">
        <v>1655</v>
      </c>
      <c r="F874" s="57">
        <v>11</v>
      </c>
      <c r="G874" s="57" t="s">
        <v>1845</v>
      </c>
      <c r="H874" s="57" t="s">
        <v>344</v>
      </c>
    </row>
    <row r="875" spans="2:8" ht="13.5" customHeight="1">
      <c r="B875" s="57" t="s">
        <v>1590</v>
      </c>
      <c r="D875" s="57" t="s">
        <v>1591</v>
      </c>
      <c r="F875" s="57">
        <v>20</v>
      </c>
      <c r="G875" s="57" t="s">
        <v>1845</v>
      </c>
      <c r="H875" s="57" t="s">
        <v>344</v>
      </c>
    </row>
    <row r="876" spans="2:8" ht="13.5" customHeight="1">
      <c r="B876" s="57" t="s">
        <v>1795</v>
      </c>
      <c r="D876" s="57" t="s">
        <v>1796</v>
      </c>
      <c r="F876" s="57">
        <v>21</v>
      </c>
      <c r="G876" s="57" t="s">
        <v>1845</v>
      </c>
      <c r="H876" s="57" t="s">
        <v>344</v>
      </c>
    </row>
    <row r="877" spans="2:8" ht="13.5" customHeight="1">
      <c r="B877" s="57" t="s">
        <v>1806</v>
      </c>
      <c r="D877" s="57" t="s">
        <v>1807</v>
      </c>
      <c r="F877" s="57">
        <v>23</v>
      </c>
      <c r="G877" s="57" t="s">
        <v>1845</v>
      </c>
      <c r="H877" s="57" t="s">
        <v>344</v>
      </c>
    </row>
    <row r="878" spans="2:8" ht="13.5" customHeight="1">
      <c r="B878" s="57" t="s">
        <v>1603</v>
      </c>
      <c r="D878" s="57" t="s">
        <v>1604</v>
      </c>
      <c r="F878" s="57">
        <v>25</v>
      </c>
      <c r="G878" s="57" t="s">
        <v>1845</v>
      </c>
      <c r="H878" s="57" t="s">
        <v>344</v>
      </c>
    </row>
    <row r="879" spans="2:8" ht="13.5" customHeight="1">
      <c r="B879" s="57" t="s">
        <v>1767</v>
      </c>
      <c r="D879" s="57" t="s">
        <v>1768</v>
      </c>
      <c r="F879" s="57">
        <v>29</v>
      </c>
      <c r="G879" s="57" t="s">
        <v>1845</v>
      </c>
      <c r="H879" s="57" t="s">
        <v>344</v>
      </c>
    </row>
    <row r="880" spans="2:8" ht="13.5" customHeight="1">
      <c r="B880" s="57" t="s">
        <v>1756</v>
      </c>
      <c r="D880" s="57" t="s">
        <v>1757</v>
      </c>
      <c r="F880" s="57">
        <v>29</v>
      </c>
      <c r="G880" s="57" t="s">
        <v>1845</v>
      </c>
      <c r="H880" s="57" t="s">
        <v>344</v>
      </c>
    </row>
    <row r="881" spans="2:8" ht="13.5" customHeight="1">
      <c r="B881" s="57" t="s">
        <v>1749</v>
      </c>
      <c r="D881" s="57" t="s">
        <v>1749</v>
      </c>
      <c r="F881" s="57">
        <v>30</v>
      </c>
      <c r="G881" s="57" t="s">
        <v>1845</v>
      </c>
      <c r="H881" s="57" t="s">
        <v>344</v>
      </c>
    </row>
    <row r="882" spans="2:8" ht="13.5" customHeight="1">
      <c r="B882" s="57" t="s">
        <v>1609</v>
      </c>
      <c r="D882" s="57" t="s">
        <v>1610</v>
      </c>
      <c r="F882" s="57">
        <v>39</v>
      </c>
      <c r="G882" s="57" t="s">
        <v>1845</v>
      </c>
      <c r="H882" s="57" t="s">
        <v>344</v>
      </c>
    </row>
    <row r="883" spans="2:8" ht="13.5" customHeight="1">
      <c r="B883" s="57" t="s">
        <v>1597</v>
      </c>
      <c r="D883" s="57" t="s">
        <v>1598</v>
      </c>
      <c r="F883" s="57">
        <v>47</v>
      </c>
      <c r="G883" s="57" t="s">
        <v>1845</v>
      </c>
      <c r="H883" s="57" t="s">
        <v>344</v>
      </c>
    </row>
    <row r="884" spans="2:8" ht="13.5" customHeight="1">
      <c r="B884" s="57" t="s">
        <v>1592</v>
      </c>
      <c r="D884" s="57" t="s">
        <v>1593</v>
      </c>
      <c r="F884" s="57">
        <v>48</v>
      </c>
      <c r="G884" s="57" t="s">
        <v>1845</v>
      </c>
      <c r="H884" s="57" t="s">
        <v>344</v>
      </c>
    </row>
    <row r="885" spans="2:8" ht="13.5" customHeight="1">
      <c r="B885" s="57" t="s">
        <v>1810</v>
      </c>
      <c r="D885" s="57" t="s">
        <v>1811</v>
      </c>
      <c r="F885" s="57">
        <v>51</v>
      </c>
      <c r="G885" s="57" t="s">
        <v>1845</v>
      </c>
      <c r="H885" s="57" t="s">
        <v>344</v>
      </c>
    </row>
    <row r="886" spans="2:8" ht="13.5" customHeight="1">
      <c r="B886" s="57" t="s">
        <v>1720</v>
      </c>
      <c r="D886" s="57" t="s">
        <v>1721</v>
      </c>
      <c r="F886" s="57">
        <v>117</v>
      </c>
      <c r="G886" s="57" t="s">
        <v>1845</v>
      </c>
      <c r="H886" s="57" t="s">
        <v>344</v>
      </c>
    </row>
    <row r="887" spans="2:8" ht="13.5" customHeight="1">
      <c r="B887" s="57" t="s">
        <v>1680</v>
      </c>
      <c r="D887" s="57" t="s">
        <v>1681</v>
      </c>
      <c r="F887" s="57">
        <v>287</v>
      </c>
      <c r="G887" s="57" t="s">
        <v>1845</v>
      </c>
      <c r="H887" s="57" t="s">
        <v>344</v>
      </c>
    </row>
    <row r="888" spans="2:8" ht="13.5" customHeight="1">
      <c r="B888" s="57" t="s">
        <v>1773</v>
      </c>
      <c r="D888" s="57" t="s">
        <v>1774</v>
      </c>
      <c r="F888" s="57">
        <v>11</v>
      </c>
      <c r="G888" s="57" t="s">
        <v>1845</v>
      </c>
      <c r="H888" s="57" t="s">
        <v>345</v>
      </c>
    </row>
    <row r="889" spans="2:8" ht="13.5" customHeight="1">
      <c r="B889" s="57" t="s">
        <v>1716</v>
      </c>
      <c r="D889" s="57" t="s">
        <v>1717</v>
      </c>
      <c r="F889" s="57">
        <v>17</v>
      </c>
      <c r="G889" s="57" t="s">
        <v>1845</v>
      </c>
      <c r="H889" s="57" t="s">
        <v>345</v>
      </c>
    </row>
    <row r="890" spans="2:8" ht="13.5" customHeight="1">
      <c r="B890" s="57" t="s">
        <v>1801</v>
      </c>
      <c r="D890" s="57" t="s">
        <v>1802</v>
      </c>
      <c r="F890" s="57">
        <v>20</v>
      </c>
      <c r="G890" s="57" t="s">
        <v>1845</v>
      </c>
      <c r="H890" s="57" t="s">
        <v>345</v>
      </c>
    </row>
    <row r="891" spans="2:8" ht="13.5" customHeight="1">
      <c r="B891" s="57" t="s">
        <v>1775</v>
      </c>
      <c r="D891" s="57" t="s">
        <v>1775</v>
      </c>
      <c r="F891" s="57">
        <v>24</v>
      </c>
      <c r="G891" s="57" t="s">
        <v>1845</v>
      </c>
      <c r="H891" s="57" t="s">
        <v>345</v>
      </c>
    </row>
    <row r="892" spans="2:8" ht="13.5" customHeight="1">
      <c r="B892" s="57" t="s">
        <v>1801</v>
      </c>
      <c r="D892" s="57" t="s">
        <v>1803</v>
      </c>
      <c r="F892" s="57">
        <v>25</v>
      </c>
      <c r="G892" s="57" t="s">
        <v>1845</v>
      </c>
      <c r="H892" s="57" t="s">
        <v>345</v>
      </c>
    </row>
    <row r="893" spans="2:8" ht="13.5" customHeight="1">
      <c r="B893" s="57" t="s">
        <v>1776</v>
      </c>
      <c r="D893" s="57" t="s">
        <v>1776</v>
      </c>
      <c r="F893" s="57">
        <v>25</v>
      </c>
      <c r="G893" s="57" t="s">
        <v>1845</v>
      </c>
      <c r="H893" s="57" t="s">
        <v>345</v>
      </c>
    </row>
    <row r="894" spans="2:8" ht="13.5" customHeight="1">
      <c r="B894" s="57" t="s">
        <v>1714</v>
      </c>
      <c r="D894" s="57" t="s">
        <v>1715</v>
      </c>
      <c r="F894" s="57">
        <v>30</v>
      </c>
      <c r="G894" s="57" t="s">
        <v>1845</v>
      </c>
      <c r="H894" s="57" t="s">
        <v>345</v>
      </c>
    </row>
    <row r="895" spans="2:8" ht="13.5" customHeight="1">
      <c r="B895" s="57" t="s">
        <v>1771</v>
      </c>
      <c r="D895" s="57" t="s">
        <v>1772</v>
      </c>
      <c r="F895" s="57">
        <v>49</v>
      </c>
      <c r="G895" s="57" t="s">
        <v>1845</v>
      </c>
      <c r="H895" s="57" t="s">
        <v>345</v>
      </c>
    </row>
    <row r="896" spans="2:8" ht="13.5" customHeight="1">
      <c r="B896" s="57" t="s">
        <v>1824</v>
      </c>
      <c r="D896" s="57" t="s">
        <v>1825</v>
      </c>
      <c r="E896" s="57" t="s">
        <v>1826</v>
      </c>
      <c r="F896" s="57">
        <v>124</v>
      </c>
      <c r="G896" s="57" t="s">
        <v>1845</v>
      </c>
      <c r="H896" s="57" t="s">
        <v>345</v>
      </c>
    </row>
    <row r="897" spans="2:8" ht="13.5" customHeight="1">
      <c r="B897" s="57" t="s">
        <v>1607</v>
      </c>
      <c r="D897" s="57" t="s">
        <v>1608</v>
      </c>
      <c r="F897" s="57">
        <v>184</v>
      </c>
      <c r="G897" s="57" t="s">
        <v>1845</v>
      </c>
      <c r="H897" s="57" t="s">
        <v>345</v>
      </c>
    </row>
    <row r="898" spans="2:8" ht="13.5" customHeight="1">
      <c r="B898" s="57" t="s">
        <v>1713</v>
      </c>
      <c r="D898" s="57" t="s">
        <v>1248</v>
      </c>
      <c r="F898" s="57">
        <v>736</v>
      </c>
      <c r="G898" s="57" t="s">
        <v>1845</v>
      </c>
      <c r="H898" s="57" t="s">
        <v>345</v>
      </c>
    </row>
    <row r="899" spans="2:8" ht="13.5" customHeight="1">
      <c r="B899" s="57" t="s">
        <v>1695</v>
      </c>
      <c r="D899" s="57" t="s">
        <v>1696</v>
      </c>
      <c r="E899" s="57" t="s">
        <v>1697</v>
      </c>
      <c r="F899" s="57">
        <v>1590</v>
      </c>
      <c r="G899" s="57" t="s">
        <v>1845</v>
      </c>
      <c r="H899" s="57" t="s">
        <v>345</v>
      </c>
    </row>
    <row r="900" spans="2:8" ht="13.5" customHeight="1">
      <c r="B900" s="57" t="s">
        <v>1818</v>
      </c>
      <c r="D900" s="57" t="s">
        <v>1818</v>
      </c>
      <c r="F900" s="57">
        <v>19</v>
      </c>
      <c r="G900" s="57" t="s">
        <v>1845</v>
      </c>
      <c r="H900" s="57" t="s">
        <v>919</v>
      </c>
    </row>
    <row r="901" spans="2:8" ht="13.5" customHeight="1">
      <c r="B901" s="57" t="s">
        <v>1660</v>
      </c>
      <c r="D901" s="57" t="s">
        <v>1661</v>
      </c>
      <c r="F901" s="57">
        <v>28</v>
      </c>
      <c r="G901" s="57" t="s">
        <v>1845</v>
      </c>
      <c r="H901" s="57" t="s">
        <v>919</v>
      </c>
    </row>
    <row r="902" spans="2:8" ht="13.5" customHeight="1">
      <c r="B902" s="57" t="s">
        <v>1601</v>
      </c>
      <c r="D902" s="57" t="s">
        <v>1602</v>
      </c>
      <c r="F902" s="57">
        <v>48</v>
      </c>
      <c r="G902" s="57" t="s">
        <v>1845</v>
      </c>
      <c r="H902" s="57" t="s">
        <v>919</v>
      </c>
    </row>
    <row r="903" spans="2:8" ht="13.5" customHeight="1">
      <c r="B903" s="57" t="s">
        <v>1789</v>
      </c>
      <c r="D903" s="57" t="s">
        <v>1790</v>
      </c>
      <c r="F903" s="57">
        <v>52</v>
      </c>
      <c r="G903" s="57" t="s">
        <v>1845</v>
      </c>
      <c r="H903" s="57" t="s">
        <v>919</v>
      </c>
    </row>
    <row r="904" spans="2:8" ht="13.5" customHeight="1">
      <c r="B904" s="57" t="s">
        <v>1625</v>
      </c>
      <c r="D904" s="57" t="s">
        <v>1626</v>
      </c>
      <c r="F904" s="57">
        <v>94</v>
      </c>
      <c r="G904" s="57" t="s">
        <v>1845</v>
      </c>
      <c r="H904" s="57" t="s">
        <v>919</v>
      </c>
    </row>
    <row r="905" spans="2:8" ht="13.5" customHeight="1">
      <c r="B905" s="57" t="s">
        <v>1611</v>
      </c>
      <c r="D905" s="57" t="s">
        <v>1612</v>
      </c>
      <c r="F905" s="57">
        <v>280</v>
      </c>
      <c r="G905" s="57" t="s">
        <v>1845</v>
      </c>
      <c r="H905" s="57" t="s">
        <v>919</v>
      </c>
    </row>
    <row r="906" spans="2:8" ht="13.5" customHeight="1">
      <c r="B906" s="57" t="s">
        <v>1698</v>
      </c>
      <c r="D906" s="57" t="s">
        <v>1699</v>
      </c>
      <c r="E906" s="57" t="s">
        <v>1700</v>
      </c>
      <c r="F906" s="57">
        <v>495</v>
      </c>
      <c r="G906" s="57" t="s">
        <v>1845</v>
      </c>
      <c r="H906" s="57" t="s">
        <v>919</v>
      </c>
    </row>
    <row r="907" spans="2:8" ht="13.5" customHeight="1">
      <c r="B907" s="57" t="s">
        <v>1762</v>
      </c>
      <c r="D907" s="57" t="s">
        <v>1763</v>
      </c>
      <c r="E907" s="57" t="s">
        <v>1764</v>
      </c>
      <c r="F907" s="57">
        <v>541</v>
      </c>
      <c r="G907" s="57" t="s">
        <v>1845</v>
      </c>
      <c r="H907" s="57" t="s">
        <v>919</v>
      </c>
    </row>
    <row r="908" spans="2:8" ht="13.5" customHeight="1">
      <c r="B908" s="57" t="s">
        <v>1679</v>
      </c>
      <c r="D908" s="57" t="s">
        <v>1679</v>
      </c>
      <c r="F908" s="57">
        <v>1405</v>
      </c>
      <c r="G908" s="57" t="s">
        <v>1845</v>
      </c>
      <c r="H908" s="57" t="s">
        <v>919</v>
      </c>
    </row>
    <row r="909" spans="2:8" ht="13.5" customHeight="1">
      <c r="B909" s="57" t="s">
        <v>1684</v>
      </c>
      <c r="D909" s="57" t="s">
        <v>1684</v>
      </c>
      <c r="F909" s="57">
        <v>10</v>
      </c>
      <c r="G909" s="57" t="s">
        <v>1845</v>
      </c>
      <c r="H909" s="57" t="s">
        <v>918</v>
      </c>
    </row>
    <row r="910" spans="2:8" ht="13.5" customHeight="1">
      <c r="B910" s="57" t="s">
        <v>1673</v>
      </c>
      <c r="D910" s="57" t="s">
        <v>1673</v>
      </c>
      <c r="F910" s="57">
        <v>20</v>
      </c>
      <c r="G910" s="57" t="s">
        <v>1845</v>
      </c>
      <c r="H910" s="57" t="s">
        <v>918</v>
      </c>
    </row>
    <row r="911" spans="2:8" ht="13.5" customHeight="1">
      <c r="B911" s="57" t="s">
        <v>1671</v>
      </c>
      <c r="D911" s="57" t="s">
        <v>1672</v>
      </c>
      <c r="F911" s="57">
        <v>21</v>
      </c>
      <c r="G911" s="57" t="s">
        <v>1845</v>
      </c>
      <c r="H911" s="57" t="s">
        <v>918</v>
      </c>
    </row>
    <row r="912" spans="2:8" ht="13.5" customHeight="1">
      <c r="B912" s="57" t="s">
        <v>1676</v>
      </c>
      <c r="D912" s="57" t="s">
        <v>1676</v>
      </c>
      <c r="F912" s="57">
        <v>29</v>
      </c>
      <c r="G912" s="57" t="s">
        <v>1845</v>
      </c>
      <c r="H912" s="57" t="s">
        <v>918</v>
      </c>
    </row>
    <row r="913" spans="2:8" ht="13.5" customHeight="1">
      <c r="B913" s="57" t="s">
        <v>1648</v>
      </c>
      <c r="D913" s="57" t="s">
        <v>1648</v>
      </c>
      <c r="F913" s="57">
        <v>241</v>
      </c>
      <c r="G913" s="57" t="s">
        <v>1845</v>
      </c>
      <c r="H913" s="57" t="s">
        <v>918</v>
      </c>
    </row>
    <row r="914" spans="2:8" ht="13.5" customHeight="1">
      <c r="D914" s="57" t="s">
        <v>1819</v>
      </c>
      <c r="F914" s="57">
        <v>17</v>
      </c>
      <c r="G914" s="57" t="s">
        <v>1845</v>
      </c>
      <c r="H914" s="57" t="s">
        <v>1114</v>
      </c>
    </row>
    <row r="915" spans="2:8" ht="13.5" customHeight="1">
      <c r="B915" s="57" t="s">
        <v>1677</v>
      </c>
      <c r="D915" s="57" t="s">
        <v>1678</v>
      </c>
      <c r="F915" s="57">
        <v>20</v>
      </c>
      <c r="G915" s="57" t="s">
        <v>1845</v>
      </c>
      <c r="H915" s="57" t="s">
        <v>1114</v>
      </c>
    </row>
    <row r="916" spans="2:8" ht="13.5" customHeight="1">
      <c r="B916" s="57" t="s">
        <v>1838</v>
      </c>
      <c r="D916" s="57" t="s">
        <v>658</v>
      </c>
      <c r="F916" s="57">
        <v>22</v>
      </c>
      <c r="G916" s="57" t="s">
        <v>1845</v>
      </c>
      <c r="H916" s="57" t="s">
        <v>1114</v>
      </c>
    </row>
    <row r="917" spans="2:8" ht="13.5" customHeight="1">
      <c r="B917" s="57" t="s">
        <v>1760</v>
      </c>
      <c r="D917" s="57" t="s">
        <v>1761</v>
      </c>
      <c r="F917" s="57">
        <v>29</v>
      </c>
      <c r="G917" s="57" t="s">
        <v>1845</v>
      </c>
      <c r="H917" s="57" t="s">
        <v>1114</v>
      </c>
    </row>
    <row r="918" spans="2:8" ht="13.5" customHeight="1">
      <c r="B918" s="57" t="s">
        <v>1750</v>
      </c>
      <c r="D918" s="57" t="s">
        <v>1751</v>
      </c>
      <c r="F918" s="57">
        <v>29</v>
      </c>
      <c r="G918" s="57" t="s">
        <v>1845</v>
      </c>
      <c r="H918" s="57" t="s">
        <v>1114</v>
      </c>
    </row>
    <row r="919" spans="2:8" ht="13.5" customHeight="1">
      <c r="B919" s="57" t="s">
        <v>1690</v>
      </c>
      <c r="D919" s="57" t="s">
        <v>1691</v>
      </c>
      <c r="F919" s="57">
        <v>43</v>
      </c>
      <c r="G919" s="57" t="s">
        <v>1845</v>
      </c>
      <c r="H919" s="57" t="s">
        <v>1114</v>
      </c>
    </row>
    <row r="920" spans="2:8" ht="13.5" customHeight="1">
      <c r="B920" s="57" t="s">
        <v>1733</v>
      </c>
      <c r="D920" s="57" t="s">
        <v>1734</v>
      </c>
      <c r="F920" s="57">
        <v>45</v>
      </c>
      <c r="G920" s="57" t="s">
        <v>1845</v>
      </c>
      <c r="H920" s="57" t="s">
        <v>1114</v>
      </c>
    </row>
    <row r="921" spans="2:8" ht="13.5" customHeight="1">
      <c r="B921" s="57" t="s">
        <v>1583</v>
      </c>
      <c r="D921" s="57" t="s">
        <v>1584</v>
      </c>
      <c r="F921" s="57">
        <v>49</v>
      </c>
      <c r="G921" s="57" t="s">
        <v>1845</v>
      </c>
      <c r="H921" s="57" t="s">
        <v>1114</v>
      </c>
    </row>
    <row r="922" spans="2:8" ht="13.5" customHeight="1">
      <c r="B922" s="57" t="s">
        <v>1785</v>
      </c>
      <c r="D922" s="57" t="s">
        <v>1786</v>
      </c>
      <c r="F922" s="57">
        <v>95</v>
      </c>
      <c r="G922" s="57" t="s">
        <v>1845</v>
      </c>
      <c r="H922" s="57" t="s">
        <v>1114</v>
      </c>
    </row>
    <row r="923" spans="2:8" ht="13.5" customHeight="1">
      <c r="B923" s="57" t="s">
        <v>1782</v>
      </c>
      <c r="D923" s="57" t="s">
        <v>1783</v>
      </c>
      <c r="F923" s="57">
        <v>110</v>
      </c>
      <c r="G923" s="57" t="s">
        <v>1845</v>
      </c>
      <c r="H923" s="57" t="s">
        <v>1114</v>
      </c>
    </row>
    <row r="924" spans="2:8" ht="13.5" customHeight="1">
      <c r="B924" s="57" t="s">
        <v>1685</v>
      </c>
      <c r="D924" s="57" t="s">
        <v>1686</v>
      </c>
      <c r="E924" s="57" t="s">
        <v>1687</v>
      </c>
      <c r="F924" s="57">
        <v>127</v>
      </c>
      <c r="G924" s="57" t="s">
        <v>1845</v>
      </c>
      <c r="H924" s="57" t="s">
        <v>1114</v>
      </c>
    </row>
    <row r="925" spans="2:8" ht="13.5" customHeight="1">
      <c r="B925" s="57" t="s">
        <v>1737</v>
      </c>
      <c r="D925" s="57" t="s">
        <v>1738</v>
      </c>
      <c r="E925" s="57" t="s">
        <v>1739</v>
      </c>
      <c r="F925" s="57">
        <v>175</v>
      </c>
      <c r="G925" s="57" t="s">
        <v>1845</v>
      </c>
      <c r="H925" s="57" t="s">
        <v>1114</v>
      </c>
    </row>
    <row r="926" spans="2:8" ht="13.5" customHeight="1">
      <c r="B926" s="57" t="s">
        <v>1726</v>
      </c>
      <c r="D926" s="57" t="s">
        <v>1727</v>
      </c>
      <c r="F926" s="57">
        <v>225</v>
      </c>
      <c r="G926" s="57" t="s">
        <v>1845</v>
      </c>
      <c r="H926" s="57" t="s">
        <v>1114</v>
      </c>
    </row>
    <row r="927" spans="2:8" ht="13.5" customHeight="1">
      <c r="B927" s="57" t="s">
        <v>1731</v>
      </c>
      <c r="D927" s="57" t="s">
        <v>1732</v>
      </c>
      <c r="F927" s="57">
        <v>330</v>
      </c>
      <c r="G927" s="57" t="s">
        <v>1845</v>
      </c>
      <c r="H927" s="57" t="s">
        <v>1114</v>
      </c>
    </row>
    <row r="928" spans="2:8" ht="13.5" customHeight="1">
      <c r="B928" s="57" t="s">
        <v>1729</v>
      </c>
      <c r="D928" s="57" t="s">
        <v>1730</v>
      </c>
      <c r="F928" s="57">
        <v>407</v>
      </c>
      <c r="G928" s="57" t="s">
        <v>1845</v>
      </c>
      <c r="H928" s="57" t="s">
        <v>1114</v>
      </c>
    </row>
    <row r="929" spans="2:9" ht="13.5" customHeight="1">
      <c r="B929" s="57" t="s">
        <v>1740</v>
      </c>
      <c r="D929" s="57" t="s">
        <v>1741</v>
      </c>
      <c r="F929" s="57">
        <v>448</v>
      </c>
      <c r="G929" s="57" t="s">
        <v>1845</v>
      </c>
      <c r="H929" s="57" t="s">
        <v>1114</v>
      </c>
      <c r="I929" s="60" t="s">
        <v>8269</v>
      </c>
    </row>
    <row r="930" spans="2:9" ht="13.5" customHeight="1">
      <c r="B930" s="57" t="s">
        <v>1688</v>
      </c>
      <c r="D930" s="57" t="s">
        <v>1689</v>
      </c>
      <c r="F930" s="57">
        <v>460</v>
      </c>
      <c r="G930" s="57" t="s">
        <v>1845</v>
      </c>
      <c r="H930" s="57" t="s">
        <v>1114</v>
      </c>
    </row>
    <row r="931" spans="2:9" ht="13.5" customHeight="1">
      <c r="B931" s="57" t="s">
        <v>1735</v>
      </c>
      <c r="D931" s="57" t="s">
        <v>1736</v>
      </c>
      <c r="F931" s="57">
        <v>753</v>
      </c>
      <c r="G931" s="57" t="s">
        <v>1845</v>
      </c>
      <c r="H931" s="57" t="s">
        <v>1114</v>
      </c>
    </row>
    <row r="932" spans="2:9" ht="13.5" customHeight="1">
      <c r="B932" s="57" t="s">
        <v>1581</v>
      </c>
      <c r="D932" s="57" t="s">
        <v>1582</v>
      </c>
      <c r="F932" s="57">
        <v>4</v>
      </c>
      <c r="G932" s="57" t="s">
        <v>1845</v>
      </c>
      <c r="H932" s="57" t="s">
        <v>1115</v>
      </c>
    </row>
    <row r="933" spans="2:9" ht="13.5" customHeight="1">
      <c r="B933" s="57" t="s">
        <v>1804</v>
      </c>
      <c r="D933" s="57" t="s">
        <v>1805</v>
      </c>
      <c r="F933" s="57">
        <v>5</v>
      </c>
      <c r="G933" s="57" t="s">
        <v>1845</v>
      </c>
      <c r="H933" s="57" t="s">
        <v>1115</v>
      </c>
    </row>
    <row r="934" spans="2:9" ht="13.5" customHeight="1">
      <c r="B934" s="57" t="s">
        <v>1682</v>
      </c>
      <c r="D934" s="57" t="s">
        <v>1683</v>
      </c>
      <c r="F934" s="57">
        <v>5</v>
      </c>
      <c r="G934" s="57" t="s">
        <v>1845</v>
      </c>
      <c r="H934" s="57" t="s">
        <v>1115</v>
      </c>
    </row>
    <row r="935" spans="2:9" ht="13.5" customHeight="1">
      <c r="B935" s="57" t="s">
        <v>1613</v>
      </c>
      <c r="D935" s="57" t="s">
        <v>1614</v>
      </c>
      <c r="F935" s="57">
        <v>6</v>
      </c>
      <c r="G935" s="57" t="s">
        <v>1845</v>
      </c>
      <c r="H935" s="57" t="s">
        <v>1115</v>
      </c>
    </row>
    <row r="936" spans="2:9" ht="13.5" customHeight="1">
      <c r="B936" s="57" t="s">
        <v>1812</v>
      </c>
      <c r="D936" s="57" t="s">
        <v>1813</v>
      </c>
      <c r="F936" s="57">
        <v>10</v>
      </c>
      <c r="G936" s="57" t="s">
        <v>1845</v>
      </c>
      <c r="H936" s="57" t="s">
        <v>1115</v>
      </c>
    </row>
    <row r="937" spans="2:9" ht="13.5" customHeight="1">
      <c r="B937" s="57" t="s">
        <v>1799</v>
      </c>
      <c r="D937" s="57" t="s">
        <v>1800</v>
      </c>
      <c r="F937" s="57">
        <v>10</v>
      </c>
      <c r="G937" s="57" t="s">
        <v>1845</v>
      </c>
      <c r="H937" s="57" t="s">
        <v>1115</v>
      </c>
    </row>
    <row r="938" spans="2:9" ht="13.5" customHeight="1">
      <c r="B938" s="57" t="s">
        <v>1662</v>
      </c>
      <c r="D938" s="57" t="s">
        <v>1662</v>
      </c>
      <c r="F938" s="57">
        <v>10</v>
      </c>
      <c r="G938" s="57" t="s">
        <v>1845</v>
      </c>
      <c r="H938" s="57" t="s">
        <v>1115</v>
      </c>
    </row>
    <row r="939" spans="2:9" ht="13.5" customHeight="1">
      <c r="B939" s="57" t="s">
        <v>1722</v>
      </c>
      <c r="D939" s="57" t="s">
        <v>1723</v>
      </c>
      <c r="F939" s="57">
        <v>12</v>
      </c>
      <c r="G939" s="57" t="s">
        <v>1845</v>
      </c>
      <c r="H939" s="57" t="s">
        <v>1115</v>
      </c>
    </row>
    <row r="940" spans="2:9" ht="13.5" customHeight="1">
      <c r="B940" s="57" t="s">
        <v>1594</v>
      </c>
      <c r="D940" s="57" t="s">
        <v>1594</v>
      </c>
      <c r="F940" s="57">
        <v>15</v>
      </c>
      <c r="G940" s="57" t="s">
        <v>1845</v>
      </c>
      <c r="H940" s="57" t="s">
        <v>1115</v>
      </c>
    </row>
    <row r="941" spans="2:9" ht="13.5" customHeight="1">
      <c r="B941" s="57" t="s">
        <v>1765</v>
      </c>
      <c r="D941" s="57" t="s">
        <v>1766</v>
      </c>
      <c r="F941" s="57">
        <v>25</v>
      </c>
      <c r="G941" s="57" t="s">
        <v>1845</v>
      </c>
      <c r="H941" s="57" t="s">
        <v>1115</v>
      </c>
    </row>
    <row r="942" spans="2:9" ht="13.5" customHeight="1">
      <c r="B942" s="57" t="s">
        <v>1665</v>
      </c>
      <c r="D942" s="57" t="s">
        <v>1666</v>
      </c>
      <c r="F942" s="57">
        <v>25</v>
      </c>
      <c r="G942" s="57" t="s">
        <v>1845</v>
      </c>
      <c r="H942" s="57" t="s">
        <v>1115</v>
      </c>
    </row>
    <row r="943" spans="2:9" ht="13.5" customHeight="1">
      <c r="B943" s="57" t="s">
        <v>1780</v>
      </c>
      <c r="D943" s="57" t="s">
        <v>1781</v>
      </c>
      <c r="F943" s="57">
        <v>31</v>
      </c>
      <c r="G943" s="57" t="s">
        <v>1845</v>
      </c>
      <c r="H943" s="57" t="s">
        <v>1115</v>
      </c>
    </row>
    <row r="944" spans="2:9" ht="13.5" customHeight="1">
      <c r="B944" s="57" t="s">
        <v>1843</v>
      </c>
      <c r="D944" s="57" t="s">
        <v>1844</v>
      </c>
      <c r="F944" s="57">
        <v>50</v>
      </c>
      <c r="G944" s="57" t="s">
        <v>1845</v>
      </c>
      <c r="H944" s="57" t="s">
        <v>1115</v>
      </c>
    </row>
    <row r="945" spans="2:8" ht="13.5" customHeight="1">
      <c r="B945" s="57" t="s">
        <v>1718</v>
      </c>
      <c r="D945" s="57" t="s">
        <v>1719</v>
      </c>
      <c r="F945" s="57">
        <v>55</v>
      </c>
      <c r="G945" s="57" t="s">
        <v>1845</v>
      </c>
      <c r="H945" s="57" t="s">
        <v>1115</v>
      </c>
    </row>
    <row r="946" spans="2:8" ht="13.5" customHeight="1">
      <c r="B946" s="57" t="s">
        <v>1785</v>
      </c>
      <c r="D946" s="57" t="s">
        <v>1787</v>
      </c>
      <c r="F946" s="57">
        <v>59</v>
      </c>
      <c r="G946" s="57" t="s">
        <v>1845</v>
      </c>
      <c r="H946" s="57" t="s">
        <v>1115</v>
      </c>
    </row>
    <row r="947" spans="2:8" ht="13.5" customHeight="1">
      <c r="B947" s="57" t="s">
        <v>1744</v>
      </c>
      <c r="D947" s="57" t="s">
        <v>1745</v>
      </c>
      <c r="F947" s="57">
        <v>100</v>
      </c>
      <c r="G947" s="57" t="s">
        <v>1845</v>
      </c>
      <c r="H947" s="57" t="s">
        <v>1115</v>
      </c>
    </row>
    <row r="948" spans="2:8" ht="13.5" customHeight="1">
      <c r="B948" s="57" t="s">
        <v>1627</v>
      </c>
      <c r="D948" s="57" t="s">
        <v>1628</v>
      </c>
      <c r="F948" s="57">
        <v>100</v>
      </c>
      <c r="G948" s="57" t="s">
        <v>1845</v>
      </c>
      <c r="H948" s="57" t="s">
        <v>1115</v>
      </c>
    </row>
    <row r="949" spans="2:8" ht="13.5" customHeight="1">
      <c r="B949" s="57" t="s">
        <v>1629</v>
      </c>
      <c r="D949" s="57" t="s">
        <v>1630</v>
      </c>
      <c r="F949" s="57">
        <v>103</v>
      </c>
      <c r="G949" s="57" t="s">
        <v>1845</v>
      </c>
      <c r="H949" s="57" t="s">
        <v>1115</v>
      </c>
    </row>
    <row r="950" spans="2:8" ht="13.5" customHeight="1">
      <c r="B950" s="57" t="s">
        <v>1669</v>
      </c>
      <c r="D950" s="57" t="s">
        <v>1670</v>
      </c>
      <c r="F950" s="57">
        <v>134</v>
      </c>
      <c r="G950" s="57" t="s">
        <v>1845</v>
      </c>
      <c r="H950" s="57" t="s">
        <v>1115</v>
      </c>
    </row>
    <row r="951" spans="2:8" ht="13.5" customHeight="1">
      <c r="B951" s="57" t="s">
        <v>1746</v>
      </c>
      <c r="D951" s="57" t="s">
        <v>1747</v>
      </c>
      <c r="E951" s="57" t="s">
        <v>1748</v>
      </c>
      <c r="F951" s="57">
        <v>5977</v>
      </c>
      <c r="G951" s="57" t="s">
        <v>1845</v>
      </c>
      <c r="H951" s="57" t="s">
        <v>1115</v>
      </c>
    </row>
    <row r="952" spans="2:8" ht="13.5" customHeight="1">
      <c r="B952" s="57" t="s">
        <v>1797</v>
      </c>
      <c r="D952" s="57" t="s">
        <v>1798</v>
      </c>
      <c r="F952" s="57">
        <v>5</v>
      </c>
      <c r="G952" s="57" t="s">
        <v>1845</v>
      </c>
      <c r="H952" s="57" t="s">
        <v>1117</v>
      </c>
    </row>
    <row r="953" spans="2:8" ht="13.5" customHeight="1">
      <c r="B953" s="57" t="s">
        <v>1758</v>
      </c>
      <c r="D953" s="57" t="s">
        <v>1759</v>
      </c>
      <c r="F953" s="57">
        <v>5</v>
      </c>
      <c r="G953" s="57" t="s">
        <v>1845</v>
      </c>
      <c r="H953" s="57" t="s">
        <v>1117</v>
      </c>
    </row>
    <row r="954" spans="2:8" ht="13.5" customHeight="1">
      <c r="B954" s="57" t="s">
        <v>1752</v>
      </c>
      <c r="D954" s="57" t="s">
        <v>1753</v>
      </c>
      <c r="F954" s="57">
        <v>5</v>
      </c>
      <c r="G954" s="57" t="s">
        <v>1845</v>
      </c>
      <c r="H954" s="57" t="s">
        <v>1117</v>
      </c>
    </row>
    <row r="955" spans="2:8" ht="13.5" customHeight="1">
      <c r="B955" s="57" t="s">
        <v>1656</v>
      </c>
      <c r="D955" s="57" t="s">
        <v>1657</v>
      </c>
      <c r="F955" s="57">
        <v>5</v>
      </c>
      <c r="G955" s="57" t="s">
        <v>1845</v>
      </c>
      <c r="H955" s="57" t="s">
        <v>1117</v>
      </c>
    </row>
    <row r="956" spans="2:8" ht="13.5" customHeight="1">
      <c r="B956" s="57" t="s">
        <v>1814</v>
      </c>
      <c r="D956" s="57" t="s">
        <v>1814</v>
      </c>
      <c r="E956" s="57" t="s">
        <v>1815</v>
      </c>
      <c r="F956" s="57">
        <v>7</v>
      </c>
      <c r="G956" s="57" t="s">
        <v>1845</v>
      </c>
      <c r="H956" s="57" t="s">
        <v>1117</v>
      </c>
    </row>
    <row r="957" spans="2:8" ht="13.5" customHeight="1">
      <c r="B957" s="57" t="s">
        <v>1822</v>
      </c>
      <c r="D957" s="57" t="s">
        <v>1823</v>
      </c>
      <c r="F957" s="57">
        <v>10</v>
      </c>
      <c r="G957" s="57" t="s">
        <v>1845</v>
      </c>
      <c r="H957" s="57" t="s">
        <v>1117</v>
      </c>
    </row>
    <row r="958" spans="2:8" ht="13.5" customHeight="1">
      <c r="B958" s="57" t="s">
        <v>1835</v>
      </c>
      <c r="D958" s="57" t="s">
        <v>1836</v>
      </c>
      <c r="E958" s="57" t="s">
        <v>1837</v>
      </c>
      <c r="F958" s="57">
        <v>17</v>
      </c>
      <c r="G958" s="57" t="s">
        <v>1845</v>
      </c>
      <c r="H958" s="57" t="s">
        <v>1117</v>
      </c>
    </row>
    <row r="959" spans="2:8" ht="13.5" customHeight="1">
      <c r="B959" s="57" t="s">
        <v>1713</v>
      </c>
      <c r="D959" s="57" t="s">
        <v>496</v>
      </c>
      <c r="E959" s="57" t="s">
        <v>1784</v>
      </c>
      <c r="F959" s="57">
        <v>20</v>
      </c>
      <c r="G959" s="57" t="s">
        <v>1845</v>
      </c>
      <c r="H959" s="57" t="s">
        <v>1117</v>
      </c>
    </row>
    <row r="960" spans="2:8" ht="13.5" customHeight="1">
      <c r="B960" s="57" t="s">
        <v>1586</v>
      </c>
      <c r="D960" s="57" t="s">
        <v>1587</v>
      </c>
      <c r="F960" s="57">
        <v>28</v>
      </c>
      <c r="G960" s="57" t="s">
        <v>1845</v>
      </c>
      <c r="H960" s="57" t="s">
        <v>1117</v>
      </c>
    </row>
    <row r="961" spans="2:8" ht="13.5" customHeight="1">
      <c r="B961" s="57" t="s">
        <v>1667</v>
      </c>
      <c r="D961" s="57" t="s">
        <v>1668</v>
      </c>
      <c r="F961" s="57">
        <v>50</v>
      </c>
      <c r="G961" s="57" t="s">
        <v>1845</v>
      </c>
      <c r="H961" s="57" t="s">
        <v>1117</v>
      </c>
    </row>
    <row r="962" spans="2:8" ht="13.5" customHeight="1">
      <c r="B962" s="57" t="s">
        <v>1706</v>
      </c>
      <c r="D962" s="57" t="s">
        <v>1707</v>
      </c>
      <c r="F962" s="57">
        <v>86</v>
      </c>
      <c r="G962" s="57" t="s">
        <v>1845</v>
      </c>
      <c r="H962" s="57" t="s">
        <v>1117</v>
      </c>
    </row>
    <row r="963" spans="2:8" ht="13.5" customHeight="1">
      <c r="B963" s="57" t="s">
        <v>1599</v>
      </c>
      <c r="D963" s="57" t="s">
        <v>1600</v>
      </c>
      <c r="F963" s="57">
        <v>150</v>
      </c>
      <c r="G963" s="57" t="s">
        <v>1845</v>
      </c>
      <c r="H963" s="57" t="s">
        <v>1117</v>
      </c>
    </row>
    <row r="964" spans="2:8" ht="13.5" customHeight="1">
      <c r="B964" s="57" t="s">
        <v>1808</v>
      </c>
      <c r="D964" s="57" t="s">
        <v>1809</v>
      </c>
      <c r="F964" s="57">
        <v>327</v>
      </c>
      <c r="G964" s="57" t="s">
        <v>1845</v>
      </c>
      <c r="H964" s="57" t="s">
        <v>1117</v>
      </c>
    </row>
    <row r="965" spans="2:8" ht="13.5" customHeight="1">
      <c r="B965" s="57" t="s">
        <v>1710</v>
      </c>
      <c r="D965" s="57" t="s">
        <v>1711</v>
      </c>
      <c r="E965" s="57" t="s">
        <v>1712</v>
      </c>
      <c r="F965" s="57">
        <v>100</v>
      </c>
      <c r="G965" s="57" t="s">
        <v>1845</v>
      </c>
    </row>
    <row r="966" spans="2:8" ht="13.5" customHeight="1">
      <c r="B966" s="57" t="s">
        <v>1372</v>
      </c>
      <c r="D966" s="57" t="s">
        <v>1373</v>
      </c>
      <c r="F966" s="57">
        <v>1</v>
      </c>
      <c r="G966" s="57" t="s">
        <v>1418</v>
      </c>
      <c r="H966" s="57" t="s">
        <v>343</v>
      </c>
    </row>
    <row r="967" spans="2:8" ht="13.5" customHeight="1">
      <c r="B967" s="57" t="s">
        <v>1380</v>
      </c>
      <c r="D967" s="57" t="s">
        <v>1381</v>
      </c>
      <c r="F967" s="57">
        <v>2</v>
      </c>
      <c r="G967" s="57" t="s">
        <v>1418</v>
      </c>
      <c r="H967" s="57" t="s">
        <v>343</v>
      </c>
    </row>
    <row r="968" spans="2:8" ht="13.5" customHeight="1">
      <c r="B968" s="57" t="s">
        <v>1397</v>
      </c>
      <c r="D968" s="57" t="s">
        <v>1398</v>
      </c>
      <c r="F968" s="57">
        <v>2</v>
      </c>
      <c r="G968" s="57" t="s">
        <v>1418</v>
      </c>
      <c r="H968" s="57" t="s">
        <v>343</v>
      </c>
    </row>
    <row r="969" spans="2:8" ht="13.5" customHeight="1">
      <c r="B969" s="57" t="s">
        <v>1382</v>
      </c>
      <c r="D969" s="57" t="s">
        <v>1383</v>
      </c>
      <c r="F969" s="57">
        <v>2</v>
      </c>
      <c r="G969" s="57" t="s">
        <v>1418</v>
      </c>
      <c r="H969" s="57" t="s">
        <v>343</v>
      </c>
    </row>
    <row r="970" spans="2:8" ht="13.5" customHeight="1">
      <c r="B970" s="57" t="s">
        <v>1403</v>
      </c>
      <c r="D970" s="57" t="s">
        <v>1267</v>
      </c>
      <c r="F970" s="57">
        <v>2</v>
      </c>
      <c r="G970" s="57" t="s">
        <v>1418</v>
      </c>
      <c r="H970" s="57" t="s">
        <v>343</v>
      </c>
    </row>
    <row r="971" spans="2:8" ht="13.5" customHeight="1">
      <c r="B971" s="57" t="s">
        <v>1384</v>
      </c>
      <c r="D971" s="68" t="s">
        <v>1385</v>
      </c>
      <c r="F971" s="57">
        <v>2</v>
      </c>
      <c r="G971" s="57" t="s">
        <v>1418</v>
      </c>
      <c r="H971" s="57" t="s">
        <v>343</v>
      </c>
    </row>
    <row r="972" spans="2:8" ht="13.5" customHeight="1">
      <c r="B972" s="57" t="s">
        <v>1412</v>
      </c>
      <c r="D972" s="57" t="s">
        <v>1413</v>
      </c>
      <c r="F972" s="57">
        <v>2</v>
      </c>
      <c r="G972" s="57" t="s">
        <v>1418</v>
      </c>
      <c r="H972" s="57" t="s">
        <v>343</v>
      </c>
    </row>
    <row r="973" spans="2:8" ht="13.5" customHeight="1">
      <c r="B973" s="57" t="s">
        <v>1378</v>
      </c>
      <c r="D973" s="57" t="s">
        <v>1379</v>
      </c>
      <c r="F973" s="57">
        <v>2</v>
      </c>
      <c r="G973" s="57" t="s">
        <v>1418</v>
      </c>
      <c r="H973" s="57" t="s">
        <v>343</v>
      </c>
    </row>
    <row r="974" spans="2:8" ht="13.5" customHeight="1">
      <c r="B974" s="57" t="s">
        <v>1395</v>
      </c>
      <c r="D974" s="57" t="s">
        <v>1396</v>
      </c>
      <c r="F974" s="57">
        <v>2</v>
      </c>
      <c r="G974" s="57" t="s">
        <v>1418</v>
      </c>
      <c r="H974" s="57" t="s">
        <v>343</v>
      </c>
    </row>
    <row r="975" spans="2:8" ht="13.5" customHeight="1">
      <c r="B975" s="57" t="s">
        <v>1410</v>
      </c>
      <c r="D975" s="57" t="s">
        <v>1411</v>
      </c>
      <c r="F975" s="57">
        <v>2</v>
      </c>
      <c r="G975" s="57" t="s">
        <v>1418</v>
      </c>
      <c r="H975" s="57" t="s">
        <v>343</v>
      </c>
    </row>
    <row r="976" spans="2:8" ht="13.5" customHeight="1">
      <c r="B976" s="57" t="s">
        <v>1399</v>
      </c>
      <c r="D976" s="57" t="s">
        <v>1400</v>
      </c>
      <c r="F976" s="57">
        <v>2</v>
      </c>
      <c r="G976" s="57" t="s">
        <v>1418</v>
      </c>
      <c r="H976" s="57" t="s">
        <v>343</v>
      </c>
    </row>
    <row r="977" spans="2:8" ht="13.5" customHeight="1">
      <c r="B977" s="57" t="s">
        <v>1374</v>
      </c>
      <c r="D977" s="57" t="s">
        <v>1375</v>
      </c>
      <c r="F977" s="57">
        <v>2</v>
      </c>
      <c r="G977" s="57" t="s">
        <v>1418</v>
      </c>
      <c r="H977" s="57" t="s">
        <v>343</v>
      </c>
    </row>
    <row r="978" spans="2:8" ht="13.5" customHeight="1">
      <c r="B978" s="57" t="s">
        <v>1401</v>
      </c>
      <c r="D978" s="57" t="s">
        <v>1402</v>
      </c>
      <c r="F978" s="57">
        <v>4</v>
      </c>
      <c r="G978" s="57" t="s">
        <v>1418</v>
      </c>
      <c r="H978" s="57" t="s">
        <v>343</v>
      </c>
    </row>
    <row r="979" spans="2:8" ht="13.5" customHeight="1">
      <c r="B979" s="57" t="s">
        <v>1406</v>
      </c>
      <c r="D979" s="57" t="s">
        <v>1407</v>
      </c>
      <c r="F979" s="57">
        <v>5</v>
      </c>
      <c r="G979" s="57" t="s">
        <v>1418</v>
      </c>
      <c r="H979" s="57" t="s">
        <v>343</v>
      </c>
    </row>
    <row r="980" spans="2:8" ht="13.5" customHeight="1">
      <c r="B980" s="57" t="s">
        <v>1408</v>
      </c>
      <c r="D980" s="57" t="s">
        <v>1409</v>
      </c>
      <c r="F980" s="57">
        <v>5</v>
      </c>
      <c r="G980" s="57" t="s">
        <v>1418</v>
      </c>
      <c r="H980" s="57" t="s">
        <v>343</v>
      </c>
    </row>
    <row r="981" spans="2:8" ht="13.5" customHeight="1">
      <c r="B981" s="57" t="s">
        <v>1414</v>
      </c>
      <c r="D981" s="57" t="s">
        <v>1415</v>
      </c>
      <c r="F981" s="57">
        <v>5</v>
      </c>
      <c r="G981" s="57" t="s">
        <v>1418</v>
      </c>
      <c r="H981" s="57" t="s">
        <v>343</v>
      </c>
    </row>
    <row r="982" spans="2:8" ht="13.5" customHeight="1">
      <c r="B982" s="57" t="s">
        <v>1360</v>
      </c>
      <c r="D982" s="57" t="s">
        <v>1361</v>
      </c>
      <c r="F982" s="57">
        <v>6</v>
      </c>
      <c r="G982" s="57" t="s">
        <v>1418</v>
      </c>
      <c r="H982" s="57" t="s">
        <v>343</v>
      </c>
    </row>
    <row r="983" spans="2:8" ht="13.5" customHeight="1">
      <c r="B983" s="57" t="s">
        <v>1376</v>
      </c>
      <c r="D983" s="57" t="s">
        <v>1377</v>
      </c>
      <c r="F983" s="57">
        <v>6</v>
      </c>
      <c r="G983" s="57" t="s">
        <v>1418</v>
      </c>
      <c r="H983" s="57" t="s">
        <v>343</v>
      </c>
    </row>
    <row r="984" spans="2:8" ht="13.5" customHeight="1">
      <c r="B984" s="57" t="s">
        <v>1362</v>
      </c>
      <c r="D984" s="57" t="s">
        <v>1363</v>
      </c>
      <c r="F984" s="57">
        <v>7</v>
      </c>
      <c r="G984" s="57" t="s">
        <v>1418</v>
      </c>
      <c r="H984" s="57" t="s">
        <v>343</v>
      </c>
    </row>
    <row r="985" spans="2:8" ht="13.5" customHeight="1">
      <c r="B985" s="57" t="s">
        <v>1366</v>
      </c>
      <c r="D985" s="57" t="s">
        <v>1367</v>
      </c>
      <c r="F985" s="57">
        <v>12</v>
      </c>
      <c r="G985" s="57" t="s">
        <v>1418</v>
      </c>
      <c r="H985" s="57" t="s">
        <v>343</v>
      </c>
    </row>
    <row r="986" spans="2:8" ht="13.5" customHeight="1">
      <c r="B986" s="57" t="s">
        <v>1388</v>
      </c>
      <c r="D986" s="57" t="s">
        <v>1389</v>
      </c>
      <c r="F986" s="57">
        <v>25</v>
      </c>
      <c r="G986" s="57" t="s">
        <v>1418</v>
      </c>
      <c r="H986" s="57" t="s">
        <v>343</v>
      </c>
    </row>
    <row r="987" spans="2:8" ht="13.5" customHeight="1">
      <c r="B987" s="57" t="s">
        <v>1370</v>
      </c>
      <c r="D987" s="57" t="s">
        <v>1371</v>
      </c>
      <c r="F987" s="57">
        <v>26</v>
      </c>
      <c r="G987" s="57" t="s">
        <v>1418</v>
      </c>
      <c r="H987" s="57" t="s">
        <v>343</v>
      </c>
    </row>
    <row r="988" spans="2:8" ht="13.5" customHeight="1">
      <c r="B988" s="57" t="s">
        <v>1364</v>
      </c>
      <c r="D988" s="57" t="s">
        <v>1365</v>
      </c>
      <c r="F988" s="57">
        <v>30</v>
      </c>
      <c r="G988" s="57" t="s">
        <v>1418</v>
      </c>
      <c r="H988" s="57" t="s">
        <v>343</v>
      </c>
    </row>
    <row r="989" spans="2:8" ht="13.5" customHeight="1">
      <c r="B989" s="57" t="s">
        <v>1386</v>
      </c>
      <c r="D989" s="57" t="s">
        <v>1387</v>
      </c>
      <c r="F989" s="57">
        <v>30</v>
      </c>
      <c r="G989" s="57" t="s">
        <v>1418</v>
      </c>
      <c r="H989" s="57" t="s">
        <v>343</v>
      </c>
    </row>
    <row r="990" spans="2:8" ht="13.5" customHeight="1">
      <c r="B990" s="57" t="s">
        <v>1392</v>
      </c>
      <c r="D990" s="57" t="s">
        <v>1393</v>
      </c>
      <c r="F990" s="57">
        <v>31</v>
      </c>
      <c r="G990" s="57" t="s">
        <v>1418</v>
      </c>
      <c r="H990" s="57" t="s">
        <v>343</v>
      </c>
    </row>
    <row r="991" spans="2:8" ht="13.5" customHeight="1">
      <c r="B991" s="57" t="s">
        <v>1368</v>
      </c>
      <c r="D991" s="57" t="s">
        <v>1369</v>
      </c>
      <c r="F991" s="57">
        <v>49</v>
      </c>
      <c r="G991" s="57" t="s">
        <v>1418</v>
      </c>
      <c r="H991" s="57" t="s">
        <v>343</v>
      </c>
    </row>
    <row r="992" spans="2:8" ht="13.5" customHeight="1">
      <c r="B992" s="57" t="s">
        <v>1394</v>
      </c>
      <c r="D992" s="57" t="s">
        <v>846</v>
      </c>
      <c r="F992" s="57">
        <v>51</v>
      </c>
      <c r="G992" s="57" t="s">
        <v>1418</v>
      </c>
      <c r="H992" s="57" t="s">
        <v>343</v>
      </c>
    </row>
    <row r="993" spans="2:8" ht="13.5" customHeight="1">
      <c r="B993" s="57" t="s">
        <v>319</v>
      </c>
      <c r="D993" s="57" t="s">
        <v>320</v>
      </c>
      <c r="F993" s="57">
        <v>54</v>
      </c>
      <c r="G993" s="57" t="s">
        <v>1418</v>
      </c>
      <c r="H993" s="57" t="s">
        <v>343</v>
      </c>
    </row>
    <row r="994" spans="2:8" ht="13.5" customHeight="1">
      <c r="B994" s="57" t="s">
        <v>1390</v>
      </c>
      <c r="D994" s="57" t="s">
        <v>1391</v>
      </c>
      <c r="F994" s="57">
        <v>79</v>
      </c>
      <c r="G994" s="57" t="s">
        <v>1418</v>
      </c>
      <c r="H994" s="57" t="s">
        <v>343</v>
      </c>
    </row>
    <row r="995" spans="2:8" ht="13.5" customHeight="1">
      <c r="B995" s="57" t="s">
        <v>1404</v>
      </c>
      <c r="D995" s="57" t="s">
        <v>1405</v>
      </c>
      <c r="F995" s="57">
        <v>506</v>
      </c>
      <c r="G995" s="57" t="s">
        <v>1418</v>
      </c>
      <c r="H995" s="57" t="s">
        <v>344</v>
      </c>
    </row>
    <row r="996" spans="2:8" ht="13.5" customHeight="1">
      <c r="B996" s="57" t="s">
        <v>1416</v>
      </c>
      <c r="D996" s="57" t="s">
        <v>1417</v>
      </c>
      <c r="F996" s="57">
        <v>569</v>
      </c>
      <c r="G996" s="57" t="s">
        <v>1418</v>
      </c>
      <c r="H996" s="57" t="s">
        <v>344</v>
      </c>
    </row>
    <row r="997" spans="2:8" ht="13.5" customHeight="1">
      <c r="B997" s="191" t="s">
        <v>8170</v>
      </c>
      <c r="D997" s="194">
        <v>63912015521</v>
      </c>
      <c r="F997" s="57">
        <v>158</v>
      </c>
      <c r="G997" s="57" t="s">
        <v>8171</v>
      </c>
      <c r="H997" s="57" t="s">
        <v>1420</v>
      </c>
    </row>
    <row r="998" spans="2:8" ht="13.5" customHeight="1">
      <c r="B998" s="91" t="s">
        <v>8777</v>
      </c>
      <c r="D998" s="167" t="s">
        <v>8797</v>
      </c>
      <c r="F998" s="57">
        <v>1</v>
      </c>
      <c r="G998" s="57" t="s">
        <v>8799</v>
      </c>
      <c r="H998" s="57" t="s">
        <v>2791</v>
      </c>
    </row>
    <row r="999" spans="2:8" ht="13.5" customHeight="1">
      <c r="B999" s="164" t="s">
        <v>8779</v>
      </c>
      <c r="D999" s="164" t="s">
        <v>8779</v>
      </c>
      <c r="F999" s="57">
        <v>1</v>
      </c>
      <c r="G999" s="57" t="s">
        <v>8799</v>
      </c>
      <c r="H999" s="57" t="s">
        <v>2791</v>
      </c>
    </row>
    <row r="1000" spans="2:8" ht="13.5" customHeight="1">
      <c r="B1000" s="151" t="s">
        <v>8780</v>
      </c>
      <c r="D1000" s="151" t="s">
        <v>8780</v>
      </c>
      <c r="F1000" s="57">
        <v>1</v>
      </c>
      <c r="G1000" s="57" t="s">
        <v>8799</v>
      </c>
      <c r="H1000" s="57" t="s">
        <v>2791</v>
      </c>
    </row>
    <row r="1001" spans="2:8" ht="13.5" customHeight="1">
      <c r="B1001" s="151" t="s">
        <v>8781</v>
      </c>
      <c r="D1001" s="151" t="s">
        <v>8781</v>
      </c>
      <c r="F1001" s="57">
        <v>1</v>
      </c>
      <c r="G1001" s="57" t="s">
        <v>8799</v>
      </c>
      <c r="H1001" s="57" t="s">
        <v>2791</v>
      </c>
    </row>
    <row r="1002" spans="2:8" ht="13.5" customHeight="1">
      <c r="B1002" s="151" t="s">
        <v>8782</v>
      </c>
      <c r="D1002" s="151" t="s">
        <v>8782</v>
      </c>
      <c r="F1002" s="57">
        <v>1</v>
      </c>
      <c r="G1002" s="57" t="s">
        <v>8799</v>
      </c>
      <c r="H1002" s="57" t="s">
        <v>2791</v>
      </c>
    </row>
    <row r="1003" spans="2:8" ht="15">
      <c r="B1003" s="164" t="s">
        <v>8783</v>
      </c>
      <c r="D1003" s="164" t="s">
        <v>8783</v>
      </c>
      <c r="F1003" s="57">
        <v>1</v>
      </c>
      <c r="G1003" s="57" t="s">
        <v>8799</v>
      </c>
      <c r="H1003" s="57" t="s">
        <v>2791</v>
      </c>
    </row>
    <row r="1004" spans="2:8" ht="13.5" customHeight="1">
      <c r="B1004" s="91" t="s">
        <v>8761</v>
      </c>
      <c r="D1004" s="91" t="s">
        <v>8789</v>
      </c>
      <c r="F1004" s="57">
        <v>4</v>
      </c>
      <c r="G1004" s="57" t="s">
        <v>8799</v>
      </c>
      <c r="H1004" s="57" t="s">
        <v>2791</v>
      </c>
    </row>
    <row r="1005" spans="2:8" ht="13.5" customHeight="1">
      <c r="B1005" s="91" t="s">
        <v>8762</v>
      </c>
      <c r="D1005" s="91" t="s">
        <v>8790</v>
      </c>
      <c r="F1005" s="57">
        <v>4</v>
      </c>
      <c r="G1005" s="57" t="s">
        <v>8799</v>
      </c>
      <c r="H1005" s="57" t="s">
        <v>2791</v>
      </c>
    </row>
    <row r="1006" spans="2:8" ht="13.5" customHeight="1">
      <c r="B1006" s="91" t="s">
        <v>8772</v>
      </c>
      <c r="D1006" s="91" t="s">
        <v>8795</v>
      </c>
      <c r="F1006" s="57">
        <v>4</v>
      </c>
      <c r="G1006" s="57" t="s">
        <v>8799</v>
      </c>
      <c r="H1006" s="57" t="s">
        <v>2791</v>
      </c>
    </row>
    <row r="1007" spans="2:8" ht="13.5" customHeight="1">
      <c r="B1007" s="91" t="s">
        <v>8776</v>
      </c>
      <c r="D1007" s="91" t="s">
        <v>8776</v>
      </c>
      <c r="F1007" s="57">
        <v>4</v>
      </c>
      <c r="G1007" s="57" t="s">
        <v>8799</v>
      </c>
      <c r="H1007" s="57" t="s">
        <v>2791</v>
      </c>
    </row>
    <row r="1008" spans="2:8" ht="13.5" customHeight="1">
      <c r="B1008" s="91" t="s">
        <v>8758</v>
      </c>
      <c r="D1008" s="91" t="s">
        <v>8785</v>
      </c>
      <c r="F1008" s="57">
        <v>6</v>
      </c>
      <c r="G1008" s="57" t="s">
        <v>8799</v>
      </c>
      <c r="H1008" s="57" t="s">
        <v>2791</v>
      </c>
    </row>
    <row r="1009" spans="2:8" ht="13.5" customHeight="1">
      <c r="B1009" s="91" t="s">
        <v>8760</v>
      </c>
      <c r="D1009" s="167" t="s">
        <v>9185</v>
      </c>
      <c r="F1009" s="57">
        <v>6</v>
      </c>
      <c r="G1009" s="57" t="s">
        <v>8799</v>
      </c>
      <c r="H1009" s="57" t="s">
        <v>2791</v>
      </c>
    </row>
    <row r="1010" spans="2:8" ht="13.5" customHeight="1">
      <c r="B1010" s="91" t="s">
        <v>24</v>
      </c>
      <c r="D1010" s="91" t="s">
        <v>8786</v>
      </c>
      <c r="F1010" s="57">
        <v>9</v>
      </c>
      <c r="G1010" s="57" t="s">
        <v>8799</v>
      </c>
      <c r="H1010" s="57" t="s">
        <v>2791</v>
      </c>
    </row>
    <row r="1011" spans="2:8" ht="13.5" customHeight="1">
      <c r="B1011" s="91" t="s">
        <v>8765</v>
      </c>
      <c r="D1011" s="91" t="s">
        <v>8765</v>
      </c>
      <c r="F1011" s="57">
        <v>9</v>
      </c>
      <c r="G1011" s="57" t="s">
        <v>8799</v>
      </c>
      <c r="H1011" s="57" t="s">
        <v>2791</v>
      </c>
    </row>
    <row r="1012" spans="2:8" ht="13.5" customHeight="1">
      <c r="B1012" s="91" t="s">
        <v>8767</v>
      </c>
      <c r="D1012" s="91" t="s">
        <v>8793</v>
      </c>
      <c r="F1012" s="57">
        <v>9</v>
      </c>
      <c r="G1012" s="57" t="s">
        <v>8799</v>
      </c>
      <c r="H1012" s="57" t="s">
        <v>2791</v>
      </c>
    </row>
    <row r="1013" spans="2:8" ht="13.5" customHeight="1">
      <c r="B1013" s="91" t="s">
        <v>8775</v>
      </c>
      <c r="D1013" s="91" t="s">
        <v>8775</v>
      </c>
      <c r="F1013" s="57">
        <v>18</v>
      </c>
      <c r="G1013" s="57" t="s">
        <v>8799</v>
      </c>
      <c r="H1013" s="57" t="s">
        <v>2791</v>
      </c>
    </row>
    <row r="1014" spans="2:8" ht="13.5" customHeight="1">
      <c r="B1014" s="91" t="s">
        <v>8764</v>
      </c>
      <c r="D1014" s="91" t="s">
        <v>8792</v>
      </c>
      <c r="F1014" s="57">
        <v>19</v>
      </c>
      <c r="G1014" s="57" t="s">
        <v>8799</v>
      </c>
      <c r="H1014" s="57" t="s">
        <v>2791</v>
      </c>
    </row>
    <row r="1015" spans="2:8" ht="13.5" customHeight="1">
      <c r="B1015" s="91" t="s">
        <v>484</v>
      </c>
      <c r="D1015" s="91" t="s">
        <v>484</v>
      </c>
      <c r="F1015" s="57">
        <v>19</v>
      </c>
      <c r="G1015" s="57" t="s">
        <v>8799</v>
      </c>
      <c r="H1015" s="57" t="s">
        <v>2791</v>
      </c>
    </row>
    <row r="1016" spans="2:8" ht="13.5" customHeight="1">
      <c r="B1016" s="91" t="s">
        <v>8757</v>
      </c>
      <c r="D1016" s="91" t="s">
        <v>8784</v>
      </c>
      <c r="F1016" s="57">
        <v>30</v>
      </c>
      <c r="G1016" s="57" t="s">
        <v>8799</v>
      </c>
      <c r="H1016" s="57" t="s">
        <v>2791</v>
      </c>
    </row>
    <row r="1017" spans="2:8" ht="13.5" customHeight="1">
      <c r="B1017" s="91" t="s">
        <v>8759</v>
      </c>
      <c r="D1017" s="91" t="s">
        <v>8787</v>
      </c>
      <c r="F1017" s="57">
        <v>44</v>
      </c>
      <c r="G1017" s="57" t="s">
        <v>8799</v>
      </c>
      <c r="H1017" s="57" t="s">
        <v>2791</v>
      </c>
    </row>
    <row r="1018" spans="2:8" ht="13.5" customHeight="1">
      <c r="B1018" s="91" t="s">
        <v>8766</v>
      </c>
      <c r="D1018" s="91" t="s">
        <v>8766</v>
      </c>
      <c r="F1018" s="57">
        <v>47</v>
      </c>
      <c r="G1018" s="57" t="s">
        <v>8799</v>
      </c>
      <c r="H1018" s="57" t="s">
        <v>2791</v>
      </c>
    </row>
    <row r="1019" spans="2:8" ht="13.5" customHeight="1">
      <c r="B1019" s="91" t="s">
        <v>8769</v>
      </c>
      <c r="D1019" s="91" t="s">
        <v>8769</v>
      </c>
      <c r="F1019" s="57">
        <v>48</v>
      </c>
      <c r="G1019" s="57" t="s">
        <v>8799</v>
      </c>
      <c r="H1019" s="57" t="s">
        <v>2791</v>
      </c>
    </row>
    <row r="1020" spans="2:8" ht="13.5" customHeight="1">
      <c r="B1020" s="91" t="s">
        <v>24</v>
      </c>
      <c r="D1020" s="91" t="s">
        <v>2023</v>
      </c>
      <c r="F1020" s="57">
        <v>49</v>
      </c>
      <c r="G1020" s="57" t="s">
        <v>8799</v>
      </c>
      <c r="H1020" s="57" t="s">
        <v>2791</v>
      </c>
    </row>
    <row r="1021" spans="2:8" ht="13.5" customHeight="1">
      <c r="B1021" s="91" t="s">
        <v>8768</v>
      </c>
      <c r="D1021" s="91" t="s">
        <v>8794</v>
      </c>
      <c r="F1021" s="57">
        <v>49</v>
      </c>
      <c r="G1021" s="57" t="s">
        <v>8799</v>
      </c>
      <c r="H1021" s="57" t="s">
        <v>2791</v>
      </c>
    </row>
    <row r="1022" spans="2:8" ht="13.5" customHeight="1">
      <c r="B1022" s="167" t="s">
        <v>8770</v>
      </c>
      <c r="D1022" s="167" t="s">
        <v>8770</v>
      </c>
      <c r="F1022" s="57">
        <v>50</v>
      </c>
      <c r="G1022" s="57" t="s">
        <v>8799</v>
      </c>
      <c r="H1022" s="57" t="s">
        <v>2791</v>
      </c>
    </row>
    <row r="1023" spans="2:8" ht="13.5" customHeight="1">
      <c r="B1023" s="57" t="s">
        <v>4842</v>
      </c>
      <c r="D1023" s="91" t="s">
        <v>268</v>
      </c>
      <c r="F1023" s="57">
        <v>57</v>
      </c>
      <c r="G1023" s="57" t="s">
        <v>8799</v>
      </c>
      <c r="H1023" s="57" t="s">
        <v>2791</v>
      </c>
    </row>
    <row r="1024" spans="2:8" ht="13.5" customHeight="1">
      <c r="B1024" s="91" t="s">
        <v>178</v>
      </c>
      <c r="D1024" s="91" t="s">
        <v>8788</v>
      </c>
      <c r="F1024" s="57">
        <v>81</v>
      </c>
      <c r="G1024" s="57" t="s">
        <v>8799</v>
      </c>
      <c r="H1024" s="57" t="s">
        <v>2791</v>
      </c>
    </row>
    <row r="1025" spans="2:9" ht="13.5" customHeight="1">
      <c r="B1025" s="91" t="s">
        <v>8756</v>
      </c>
      <c r="D1025" s="91" t="s">
        <v>6228</v>
      </c>
      <c r="F1025" s="57">
        <v>83</v>
      </c>
      <c r="G1025" s="57" t="s">
        <v>8799</v>
      </c>
      <c r="H1025" s="57" t="s">
        <v>2791</v>
      </c>
    </row>
    <row r="1026" spans="2:9" ht="13.5" customHeight="1">
      <c r="B1026" s="91" t="s">
        <v>8771</v>
      </c>
      <c r="D1026" s="91" t="s">
        <v>1391</v>
      </c>
      <c r="F1026" s="57">
        <v>84</v>
      </c>
      <c r="G1026" s="57" t="s">
        <v>8799</v>
      </c>
      <c r="H1026" s="57" t="s">
        <v>2791</v>
      </c>
    </row>
    <row r="1027" spans="2:9" ht="13.5" customHeight="1">
      <c r="B1027" s="91" t="s">
        <v>8763</v>
      </c>
      <c r="D1027" s="91" t="s">
        <v>8791</v>
      </c>
      <c r="F1027" s="57">
        <v>88</v>
      </c>
      <c r="G1027" s="57" t="s">
        <v>8799</v>
      </c>
      <c r="H1027" s="57" t="s">
        <v>2791</v>
      </c>
    </row>
    <row r="1028" spans="2:9" ht="13.5" customHeight="1">
      <c r="B1028" s="167" t="s">
        <v>9198</v>
      </c>
      <c r="D1028" s="91" t="s">
        <v>6184</v>
      </c>
      <c r="F1028" s="57">
        <v>94</v>
      </c>
      <c r="G1028" s="57" t="s">
        <v>8799</v>
      </c>
      <c r="H1028" s="57" t="s">
        <v>2791</v>
      </c>
    </row>
    <row r="1029" spans="2:9" ht="13.5" customHeight="1">
      <c r="B1029" s="91" t="s">
        <v>8773</v>
      </c>
      <c r="D1029" s="91" t="s">
        <v>985</v>
      </c>
      <c r="F1029" s="57">
        <v>95</v>
      </c>
      <c r="G1029" s="57" t="s">
        <v>8799</v>
      </c>
      <c r="H1029" s="57" t="s">
        <v>2791</v>
      </c>
    </row>
    <row r="1030" spans="2:9" ht="13.5" customHeight="1">
      <c r="B1030" s="91" t="s">
        <v>8774</v>
      </c>
      <c r="D1030" s="91" t="s">
        <v>8796</v>
      </c>
      <c r="F1030" s="57">
        <v>98</v>
      </c>
      <c r="G1030" s="57" t="s">
        <v>8799</v>
      </c>
      <c r="H1030" s="57" t="s">
        <v>2791</v>
      </c>
    </row>
    <row r="1031" spans="2:9" ht="13.5" customHeight="1">
      <c r="B1031" s="91" t="s">
        <v>8778</v>
      </c>
      <c r="D1031" s="91" t="s">
        <v>8798</v>
      </c>
      <c r="F1031" s="57">
        <v>98</v>
      </c>
      <c r="G1031" s="57" t="s">
        <v>8799</v>
      </c>
      <c r="H1031" s="57" t="s">
        <v>2791</v>
      </c>
    </row>
    <row r="1032" spans="2:9" ht="13.5" customHeight="1">
      <c r="B1032" s="57" t="s">
        <v>2616</v>
      </c>
      <c r="D1032" s="57" t="s">
        <v>2617</v>
      </c>
      <c r="F1032" s="57">
        <v>5</v>
      </c>
      <c r="G1032" s="57" t="s">
        <v>2685</v>
      </c>
      <c r="H1032" s="57" t="s">
        <v>2680</v>
      </c>
    </row>
    <row r="1033" spans="2:9" ht="13.5" customHeight="1">
      <c r="B1033" s="57" t="s">
        <v>2614</v>
      </c>
      <c r="D1033" s="57" t="s">
        <v>2615</v>
      </c>
      <c r="E1033" s="60" t="s">
        <v>8184</v>
      </c>
      <c r="F1033" s="57">
        <v>110</v>
      </c>
      <c r="G1033" s="57" t="s">
        <v>2685</v>
      </c>
      <c r="H1033" s="57" t="s">
        <v>2680</v>
      </c>
    </row>
    <row r="1034" spans="2:9" ht="13.5" customHeight="1">
      <c r="B1034" s="57" t="s">
        <v>2543</v>
      </c>
      <c r="D1034" s="57" t="s">
        <v>2544</v>
      </c>
      <c r="F1034" s="57">
        <v>28690</v>
      </c>
      <c r="G1034" s="57" t="s">
        <v>2685</v>
      </c>
      <c r="H1034" s="57" t="s">
        <v>2674</v>
      </c>
      <c r="I1034" s="57" t="s">
        <v>2675</v>
      </c>
    </row>
    <row r="1035" spans="2:9" ht="13.5" customHeight="1">
      <c r="B1035" s="57" t="s">
        <v>2549</v>
      </c>
      <c r="D1035" s="57" t="s">
        <v>2549</v>
      </c>
      <c r="F1035" s="57">
        <v>1</v>
      </c>
      <c r="G1035" s="57" t="s">
        <v>2685</v>
      </c>
      <c r="H1035" s="57" t="s">
        <v>2672</v>
      </c>
    </row>
    <row r="1036" spans="2:9" ht="13.5" customHeight="1">
      <c r="B1036" s="57" t="s">
        <v>2596</v>
      </c>
      <c r="D1036" s="57" t="s">
        <v>2597</v>
      </c>
      <c r="F1036" s="57">
        <v>8</v>
      </c>
      <c r="G1036" s="57" t="s">
        <v>2685</v>
      </c>
      <c r="H1036" s="57" t="s">
        <v>2672</v>
      </c>
    </row>
    <row r="1037" spans="2:9" ht="13.5" customHeight="1">
      <c r="B1037" s="57" t="s">
        <v>2594</v>
      </c>
      <c r="D1037" s="57" t="s">
        <v>2595</v>
      </c>
      <c r="F1037" s="57">
        <v>9</v>
      </c>
      <c r="G1037" s="57" t="s">
        <v>2685</v>
      </c>
      <c r="H1037" s="57" t="s">
        <v>2672</v>
      </c>
    </row>
    <row r="1038" spans="2:9" ht="13.5" customHeight="1">
      <c r="B1038" s="57" t="s">
        <v>2590</v>
      </c>
      <c r="D1038" s="57" t="s">
        <v>2591</v>
      </c>
      <c r="F1038" s="57">
        <v>10</v>
      </c>
      <c r="G1038" s="57" t="s">
        <v>2685</v>
      </c>
      <c r="H1038" s="57" t="s">
        <v>2672</v>
      </c>
    </row>
    <row r="1039" spans="2:9" ht="13.5" customHeight="1">
      <c r="B1039" s="57" t="s">
        <v>2592</v>
      </c>
      <c r="D1039" s="57" t="s">
        <v>2593</v>
      </c>
      <c r="F1039" s="57">
        <v>14</v>
      </c>
      <c r="G1039" s="57" t="s">
        <v>2685</v>
      </c>
      <c r="H1039" s="57" t="s">
        <v>2672</v>
      </c>
    </row>
    <row r="1040" spans="2:9" ht="13.5" customHeight="1">
      <c r="B1040" s="57" t="s">
        <v>2535</v>
      </c>
      <c r="D1040" s="57" t="s">
        <v>2537</v>
      </c>
      <c r="E1040" s="57" t="s">
        <v>2519</v>
      </c>
      <c r="F1040" s="57">
        <v>35</v>
      </c>
      <c r="G1040" s="57" t="s">
        <v>2685</v>
      </c>
      <c r="H1040" s="57" t="s">
        <v>2672</v>
      </c>
    </row>
    <row r="1041" spans="2:9" ht="13.5" customHeight="1">
      <c r="B1041" s="57" t="s">
        <v>2535</v>
      </c>
      <c r="D1041" s="57" t="s">
        <v>2536</v>
      </c>
      <c r="E1041" s="57" t="s">
        <v>2519</v>
      </c>
      <c r="F1041" s="57">
        <v>37</v>
      </c>
      <c r="G1041" s="57" t="s">
        <v>2685</v>
      </c>
      <c r="H1041" s="57" t="s">
        <v>2672</v>
      </c>
    </row>
    <row r="1042" spans="2:9" ht="13.5" customHeight="1">
      <c r="B1042" s="57" t="s">
        <v>2603</v>
      </c>
      <c r="D1042" s="57" t="s">
        <v>2604</v>
      </c>
      <c r="F1042" s="57">
        <v>44</v>
      </c>
      <c r="G1042" s="57" t="s">
        <v>2685</v>
      </c>
      <c r="H1042" s="57" t="s">
        <v>2672</v>
      </c>
    </row>
    <row r="1043" spans="2:9" ht="13.5" customHeight="1">
      <c r="B1043" s="57" t="s">
        <v>2601</v>
      </c>
      <c r="D1043" s="57" t="s">
        <v>2602</v>
      </c>
      <c r="F1043" s="57">
        <v>44</v>
      </c>
      <c r="G1043" s="57" t="s">
        <v>2685</v>
      </c>
      <c r="H1043" s="57" t="s">
        <v>2672</v>
      </c>
    </row>
    <row r="1044" spans="2:9" ht="13.5" customHeight="1">
      <c r="B1044" s="57" t="s">
        <v>2630</v>
      </c>
      <c r="D1044" s="57" t="s">
        <v>2631</v>
      </c>
      <c r="F1044" s="57">
        <v>50</v>
      </c>
      <c r="G1044" s="57" t="s">
        <v>2685</v>
      </c>
      <c r="H1044" s="57" t="s">
        <v>2672</v>
      </c>
    </row>
    <row r="1045" spans="2:9" ht="13.5" customHeight="1">
      <c r="B1045" s="57" t="s">
        <v>2628</v>
      </c>
      <c r="D1045" s="57" t="s">
        <v>2629</v>
      </c>
      <c r="E1045" s="60" t="s">
        <v>8183</v>
      </c>
      <c r="F1045" s="57">
        <v>406</v>
      </c>
      <c r="G1045" s="57" t="s">
        <v>2685</v>
      </c>
      <c r="H1045" s="57" t="s">
        <v>2672</v>
      </c>
    </row>
    <row r="1046" spans="2:9" ht="13.5" customHeight="1">
      <c r="B1046" s="57" t="s">
        <v>2632</v>
      </c>
      <c r="D1046" s="57" t="s">
        <v>2633</v>
      </c>
      <c r="F1046" s="57">
        <v>408</v>
      </c>
      <c r="G1046" s="57" t="s">
        <v>2685</v>
      </c>
      <c r="H1046" s="57" t="s">
        <v>2672</v>
      </c>
      <c r="I1046" s="57" t="s">
        <v>2681</v>
      </c>
    </row>
    <row r="1047" spans="2:9" ht="13.5" customHeight="1">
      <c r="B1047" s="57" t="s">
        <v>2636</v>
      </c>
      <c r="D1047" s="57" t="s">
        <v>2637</v>
      </c>
      <c r="F1047" s="57">
        <v>762</v>
      </c>
      <c r="G1047" s="57" t="s">
        <v>2685</v>
      </c>
      <c r="H1047" s="57" t="s">
        <v>2672</v>
      </c>
    </row>
    <row r="1048" spans="2:9" ht="13.5" customHeight="1">
      <c r="B1048" s="57" t="s">
        <v>2626</v>
      </c>
      <c r="D1048" s="57" t="s">
        <v>2627</v>
      </c>
      <c r="F1048" s="57">
        <v>845</v>
      </c>
      <c r="G1048" s="57" t="s">
        <v>2685</v>
      </c>
      <c r="H1048" s="57" t="s">
        <v>2672</v>
      </c>
    </row>
    <row r="1049" spans="2:9" ht="13.5" customHeight="1">
      <c r="B1049" s="57" t="s">
        <v>2542</v>
      </c>
      <c r="F1049" s="57">
        <v>1897</v>
      </c>
      <c r="G1049" s="57" t="s">
        <v>2685</v>
      </c>
      <c r="H1049" s="57" t="s">
        <v>2672</v>
      </c>
    </row>
    <row r="1050" spans="2:9" ht="13.5" customHeight="1">
      <c r="B1050" s="57" t="s">
        <v>2582</v>
      </c>
      <c r="D1050" s="57" t="s">
        <v>2583</v>
      </c>
      <c r="E1050" s="57" t="s">
        <v>2583</v>
      </c>
      <c r="F1050" s="57">
        <v>554</v>
      </c>
      <c r="G1050" s="57" t="s">
        <v>2685</v>
      </c>
      <c r="H1050" s="57" t="s">
        <v>2677</v>
      </c>
      <c r="I1050" s="57" t="s">
        <v>8187</v>
      </c>
    </row>
    <row r="1051" spans="2:9" ht="13.5" customHeight="1">
      <c r="B1051" s="57" t="s">
        <v>2541</v>
      </c>
      <c r="D1051" s="57" t="s">
        <v>2365</v>
      </c>
      <c r="F1051" s="57">
        <v>20272</v>
      </c>
      <c r="G1051" s="57" t="s">
        <v>2685</v>
      </c>
      <c r="H1051" s="57" t="s">
        <v>1420</v>
      </c>
      <c r="I1051" s="57" t="s">
        <v>2673</v>
      </c>
    </row>
    <row r="1052" spans="2:9" ht="13.5" customHeight="1">
      <c r="B1052" s="57" t="s">
        <v>2403</v>
      </c>
      <c r="D1052" s="57" t="s">
        <v>2403</v>
      </c>
      <c r="E1052" s="57" t="s">
        <v>2404</v>
      </c>
      <c r="F1052" s="57">
        <v>3</v>
      </c>
      <c r="G1052" s="57" t="s">
        <v>2685</v>
      </c>
      <c r="H1052" s="57" t="s">
        <v>2664</v>
      </c>
    </row>
    <row r="1053" spans="2:9" ht="13.5" customHeight="1">
      <c r="D1053" s="57" t="s">
        <v>2454</v>
      </c>
      <c r="F1053" s="57">
        <v>9</v>
      </c>
      <c r="G1053" s="57" t="s">
        <v>2685</v>
      </c>
      <c r="H1053" s="57" t="s">
        <v>2664</v>
      </c>
    </row>
    <row r="1054" spans="2:9" ht="13.5" customHeight="1">
      <c r="B1054" s="60" t="s">
        <v>2402</v>
      </c>
      <c r="D1054" s="57" t="s">
        <v>2401</v>
      </c>
      <c r="F1054" s="57">
        <v>10</v>
      </c>
      <c r="G1054" s="57" t="s">
        <v>2685</v>
      </c>
      <c r="H1054" s="57" t="s">
        <v>2664</v>
      </c>
    </row>
    <row r="1055" spans="2:9" ht="13.5" customHeight="1">
      <c r="B1055" s="57" t="s">
        <v>2407</v>
      </c>
      <c r="D1055" s="57" t="s">
        <v>2407</v>
      </c>
      <c r="E1055" s="57" t="s">
        <v>2408</v>
      </c>
      <c r="F1055" s="57">
        <v>23</v>
      </c>
      <c r="G1055" s="57" t="s">
        <v>2685</v>
      </c>
      <c r="H1055" s="57" t="s">
        <v>2664</v>
      </c>
    </row>
    <row r="1056" spans="2:9" ht="13.5" customHeight="1">
      <c r="B1056" s="57" t="s">
        <v>2405</v>
      </c>
      <c r="D1056" s="57" t="s">
        <v>2405</v>
      </c>
      <c r="E1056" s="57" t="s">
        <v>2406</v>
      </c>
      <c r="F1056" s="57">
        <v>37</v>
      </c>
      <c r="G1056" s="57" t="s">
        <v>2685</v>
      </c>
      <c r="H1056" s="57" t="s">
        <v>2664</v>
      </c>
    </row>
    <row r="1057" spans="2:9" ht="13.5" customHeight="1">
      <c r="B1057" s="57" t="s">
        <v>2409</v>
      </c>
      <c r="D1057" s="57" t="s">
        <v>2409</v>
      </c>
      <c r="E1057" s="57" t="s">
        <v>2410</v>
      </c>
      <c r="F1057" s="57">
        <v>44</v>
      </c>
      <c r="G1057" s="57" t="s">
        <v>2685</v>
      </c>
      <c r="H1057" s="57" t="s">
        <v>2664</v>
      </c>
    </row>
    <row r="1058" spans="2:9" ht="13.5" customHeight="1">
      <c r="B1058" s="57" t="s">
        <v>2411</v>
      </c>
      <c r="D1058" s="57" t="s">
        <v>2411</v>
      </c>
      <c r="E1058" s="60" t="s">
        <v>2412</v>
      </c>
      <c r="F1058" s="57">
        <v>48</v>
      </c>
      <c r="G1058" s="57" t="s">
        <v>2685</v>
      </c>
      <c r="H1058" s="57" t="s">
        <v>2664</v>
      </c>
    </row>
    <row r="1059" spans="2:9" ht="13.5" customHeight="1">
      <c r="B1059" s="57" t="s">
        <v>2413</v>
      </c>
      <c r="D1059" s="57" t="s">
        <v>2414</v>
      </c>
      <c r="E1059" s="57" t="s">
        <v>2415</v>
      </c>
      <c r="F1059" s="57">
        <v>57</v>
      </c>
      <c r="G1059" s="57" t="s">
        <v>2685</v>
      </c>
      <c r="H1059" s="57" t="s">
        <v>2664</v>
      </c>
    </row>
    <row r="1060" spans="2:9" ht="13.5" customHeight="1">
      <c r="B1060" s="57" t="s">
        <v>2496</v>
      </c>
      <c r="D1060" s="57" t="s">
        <v>2497</v>
      </c>
      <c r="F1060" s="57">
        <v>148</v>
      </c>
      <c r="G1060" s="57" t="s">
        <v>2685</v>
      </c>
      <c r="H1060" s="57" t="s">
        <v>2664</v>
      </c>
    </row>
    <row r="1061" spans="2:9" ht="13.5" customHeight="1">
      <c r="B1061" s="57" t="s">
        <v>2494</v>
      </c>
      <c r="D1061" s="57" t="s">
        <v>2495</v>
      </c>
      <c r="F1061" s="57">
        <v>148</v>
      </c>
      <c r="G1061" s="57" t="s">
        <v>2685</v>
      </c>
      <c r="H1061" s="57" t="s">
        <v>2664</v>
      </c>
    </row>
    <row r="1062" spans="2:9" ht="13.5" customHeight="1">
      <c r="B1062" s="57" t="s">
        <v>2508</v>
      </c>
      <c r="D1062" s="57" t="s">
        <v>2509</v>
      </c>
      <c r="F1062" s="57">
        <v>148</v>
      </c>
      <c r="G1062" s="57" t="s">
        <v>2685</v>
      </c>
      <c r="H1062" s="57" t="s">
        <v>2664</v>
      </c>
    </row>
    <row r="1063" spans="2:9" ht="13.5" customHeight="1">
      <c r="B1063" s="57" t="s">
        <v>2516</v>
      </c>
      <c r="D1063" s="57" t="s">
        <v>2517</v>
      </c>
      <c r="F1063" s="57">
        <v>640</v>
      </c>
      <c r="G1063" s="57" t="s">
        <v>2685</v>
      </c>
      <c r="H1063" s="57" t="s">
        <v>2664</v>
      </c>
    </row>
    <row r="1064" spans="2:9" ht="13.5" customHeight="1">
      <c r="B1064" s="57" t="s">
        <v>2388</v>
      </c>
      <c r="D1064" s="57" t="s">
        <v>2389</v>
      </c>
      <c r="E1064" s="57" t="s">
        <v>2390</v>
      </c>
      <c r="F1064" s="57">
        <v>1</v>
      </c>
      <c r="G1064" s="57" t="s">
        <v>2685</v>
      </c>
      <c r="H1064" s="57" t="s">
        <v>2661</v>
      </c>
    </row>
    <row r="1065" spans="2:9" ht="13.5" customHeight="1">
      <c r="B1065" s="57" t="s">
        <v>2395</v>
      </c>
      <c r="D1065" s="57" t="s">
        <v>2396</v>
      </c>
      <c r="E1065" s="57" t="s">
        <v>2396</v>
      </c>
      <c r="F1065" s="57">
        <v>2</v>
      </c>
      <c r="G1065" s="57" t="s">
        <v>2685</v>
      </c>
      <c r="H1065" s="57" t="s">
        <v>2661</v>
      </c>
    </row>
    <row r="1066" spans="2:9" ht="13.5" customHeight="1">
      <c r="B1066" s="57" t="s">
        <v>2426</v>
      </c>
      <c r="D1066" s="57" t="s">
        <v>2427</v>
      </c>
      <c r="F1066" s="57">
        <v>65</v>
      </c>
      <c r="G1066" s="57" t="s">
        <v>2685</v>
      </c>
      <c r="H1066" s="57" t="s">
        <v>2661</v>
      </c>
    </row>
    <row r="1067" spans="2:9" ht="13.5" customHeight="1">
      <c r="B1067" s="57" t="s">
        <v>2418</v>
      </c>
      <c r="F1067" s="57">
        <v>92</v>
      </c>
      <c r="G1067" s="57" t="s">
        <v>2685</v>
      </c>
      <c r="H1067" s="57" t="s">
        <v>2661</v>
      </c>
    </row>
    <row r="1068" spans="2:9" ht="13.5" customHeight="1">
      <c r="B1068" s="57" t="s">
        <v>2354</v>
      </c>
      <c r="D1068" s="57" t="s">
        <v>2522</v>
      </c>
      <c r="F1068" s="57">
        <v>100</v>
      </c>
      <c r="G1068" s="57" t="s">
        <v>2685</v>
      </c>
      <c r="H1068" s="57" t="s">
        <v>2661</v>
      </c>
      <c r="I1068" s="57" t="s">
        <v>2668</v>
      </c>
    </row>
    <row r="1069" spans="2:9" ht="13.5" customHeight="1">
      <c r="B1069" s="57" t="s">
        <v>2428</v>
      </c>
      <c r="D1069" s="57" t="s">
        <v>2427</v>
      </c>
      <c r="F1069" s="57">
        <v>107</v>
      </c>
      <c r="G1069" s="57" t="s">
        <v>2685</v>
      </c>
      <c r="H1069" s="57" t="s">
        <v>2661</v>
      </c>
    </row>
    <row r="1070" spans="2:9" ht="13.5" customHeight="1">
      <c r="B1070" s="57" t="s">
        <v>2423</v>
      </c>
      <c r="F1070" s="57">
        <v>107</v>
      </c>
      <c r="G1070" s="57" t="s">
        <v>2685</v>
      </c>
      <c r="H1070" s="57" t="s">
        <v>2661</v>
      </c>
    </row>
    <row r="1071" spans="2:9" ht="13.5" customHeight="1">
      <c r="B1071" s="57" t="s">
        <v>2518</v>
      </c>
      <c r="D1071" s="57" t="s">
        <v>2519</v>
      </c>
      <c r="F1071" s="57">
        <v>112</v>
      </c>
      <c r="G1071" s="57" t="s">
        <v>2685</v>
      </c>
      <c r="H1071" s="57" t="s">
        <v>2661</v>
      </c>
      <c r="I1071" s="57" t="s">
        <v>2668</v>
      </c>
    </row>
    <row r="1072" spans="2:9" ht="13.5" customHeight="1">
      <c r="B1072" s="57" t="s">
        <v>2429</v>
      </c>
      <c r="D1072" s="57" t="s">
        <v>2430</v>
      </c>
      <c r="F1072" s="57">
        <v>119</v>
      </c>
      <c r="G1072" s="57" t="s">
        <v>2685</v>
      </c>
      <c r="H1072" s="57" t="s">
        <v>2661</v>
      </c>
    </row>
    <row r="1073" spans="2:9" ht="13.5" customHeight="1">
      <c r="B1073" s="57" t="s">
        <v>2520</v>
      </c>
      <c r="D1073" s="57" t="s">
        <v>2521</v>
      </c>
      <c r="F1073" s="57">
        <v>119</v>
      </c>
      <c r="G1073" s="57" t="s">
        <v>2685</v>
      </c>
      <c r="H1073" s="57" t="s">
        <v>2661</v>
      </c>
      <c r="I1073" s="57" t="s">
        <v>2668</v>
      </c>
    </row>
    <row r="1074" spans="2:9" ht="13.5" customHeight="1">
      <c r="B1074" s="57" t="s">
        <v>2399</v>
      </c>
      <c r="D1074" s="57" t="s">
        <v>2400</v>
      </c>
      <c r="E1074" s="57" t="s">
        <v>2400</v>
      </c>
      <c r="F1074" s="57">
        <v>128</v>
      </c>
      <c r="G1074" s="57" t="s">
        <v>2685</v>
      </c>
      <c r="H1074" s="57" t="s">
        <v>2661</v>
      </c>
    </row>
    <row r="1075" spans="2:9" ht="13.5" customHeight="1">
      <c r="B1075" s="57" t="s">
        <v>2350</v>
      </c>
      <c r="D1075" s="57" t="s">
        <v>2351</v>
      </c>
      <c r="E1075" s="57" t="s">
        <v>2350</v>
      </c>
      <c r="F1075" s="57">
        <v>129</v>
      </c>
      <c r="G1075" s="57" t="s">
        <v>2685</v>
      </c>
      <c r="H1075" s="57" t="s">
        <v>2661</v>
      </c>
    </row>
    <row r="1076" spans="2:9" ht="13.5" customHeight="1">
      <c r="B1076" s="57" t="s">
        <v>2431</v>
      </c>
      <c r="D1076" s="57" t="s">
        <v>2430</v>
      </c>
      <c r="F1076" s="57">
        <v>131</v>
      </c>
      <c r="G1076" s="57" t="s">
        <v>2685</v>
      </c>
      <c r="H1076" s="57" t="s">
        <v>2661</v>
      </c>
    </row>
    <row r="1077" spans="2:9" ht="13.5" customHeight="1">
      <c r="B1077" s="57" t="s">
        <v>2419</v>
      </c>
      <c r="F1077" s="57">
        <v>157</v>
      </c>
      <c r="G1077" s="57" t="s">
        <v>2685</v>
      </c>
      <c r="H1077" s="57" t="s">
        <v>2661</v>
      </c>
    </row>
    <row r="1078" spans="2:9" ht="13.5" customHeight="1">
      <c r="B1078" s="57" t="s">
        <v>2391</v>
      </c>
      <c r="D1078" s="57" t="s">
        <v>2392</v>
      </c>
      <c r="E1078" s="57" t="s">
        <v>2392</v>
      </c>
      <c r="F1078" s="57">
        <v>177</v>
      </c>
      <c r="G1078" s="57" t="s">
        <v>2685</v>
      </c>
      <c r="H1078" s="57" t="s">
        <v>2661</v>
      </c>
      <c r="I1078" s="57" t="s">
        <v>1119</v>
      </c>
    </row>
    <row r="1079" spans="2:9" ht="13.5" customHeight="1">
      <c r="B1079" s="57" t="s">
        <v>2424</v>
      </c>
      <c r="F1079" s="57">
        <v>229</v>
      </c>
      <c r="G1079" s="57" t="s">
        <v>2685</v>
      </c>
      <c r="H1079" s="57" t="s">
        <v>2661</v>
      </c>
    </row>
    <row r="1080" spans="2:9" ht="13.5" customHeight="1">
      <c r="B1080" s="57" t="s">
        <v>2420</v>
      </c>
      <c r="F1080" s="57">
        <v>251</v>
      </c>
      <c r="G1080" s="57" t="s">
        <v>2685</v>
      </c>
      <c r="H1080" s="57" t="s">
        <v>2661</v>
      </c>
    </row>
    <row r="1081" spans="2:9" ht="13.5" customHeight="1">
      <c r="B1081" s="57" t="s">
        <v>2421</v>
      </c>
      <c r="F1081" s="57">
        <v>1010</v>
      </c>
      <c r="G1081" s="57" t="s">
        <v>2685</v>
      </c>
      <c r="H1081" s="57" t="s">
        <v>2661</v>
      </c>
    </row>
    <row r="1082" spans="2:9" ht="13.5" customHeight="1">
      <c r="B1082" s="57" t="s">
        <v>2425</v>
      </c>
      <c r="F1082" s="57">
        <v>107</v>
      </c>
      <c r="G1082" s="57" t="s">
        <v>2685</v>
      </c>
      <c r="H1082" s="57" t="s">
        <v>2665</v>
      </c>
    </row>
    <row r="1083" spans="2:9" ht="13.5" customHeight="1">
      <c r="B1083" s="57" t="s">
        <v>2422</v>
      </c>
      <c r="F1083" s="57">
        <v>180</v>
      </c>
      <c r="G1083" s="57" t="s">
        <v>2685</v>
      </c>
      <c r="H1083" s="57" t="s">
        <v>2665</v>
      </c>
    </row>
    <row r="1084" spans="2:9" ht="13.5" customHeight="1">
      <c r="B1084" s="57" t="s">
        <v>2314</v>
      </c>
      <c r="D1084" s="57" t="s">
        <v>2314</v>
      </c>
      <c r="E1084" s="57" t="s">
        <v>2315</v>
      </c>
      <c r="F1084" s="57">
        <v>3</v>
      </c>
      <c r="G1084" s="57" t="s">
        <v>2685</v>
      </c>
      <c r="H1084" s="57" t="s">
        <v>2657</v>
      </c>
    </row>
    <row r="1085" spans="2:9" ht="13.5" customHeight="1">
      <c r="B1085" s="57" t="s">
        <v>2302</v>
      </c>
      <c r="D1085" s="57" t="s">
        <v>2303</v>
      </c>
      <c r="F1085" s="57">
        <v>50</v>
      </c>
      <c r="G1085" s="57" t="s">
        <v>2685</v>
      </c>
      <c r="H1085" s="57" t="s">
        <v>2657</v>
      </c>
    </row>
    <row r="1086" spans="2:9" ht="13.5" customHeight="1">
      <c r="B1086" s="57" t="s">
        <v>2347</v>
      </c>
      <c r="D1086" s="57" t="s">
        <v>2348</v>
      </c>
      <c r="E1086" s="57" t="s">
        <v>2349</v>
      </c>
      <c r="F1086" s="57">
        <v>90</v>
      </c>
      <c r="G1086" s="57" t="s">
        <v>2685</v>
      </c>
      <c r="H1086" s="57" t="s">
        <v>2657</v>
      </c>
    </row>
    <row r="1087" spans="2:9" ht="13.5" customHeight="1">
      <c r="B1087" s="57" t="s">
        <v>2344</v>
      </c>
      <c r="D1087" s="57" t="s">
        <v>2345</v>
      </c>
      <c r="E1087" s="57" t="s">
        <v>2346</v>
      </c>
      <c r="F1087" s="57">
        <v>479</v>
      </c>
      <c r="G1087" s="57" t="s">
        <v>2685</v>
      </c>
      <c r="H1087" s="57" t="s">
        <v>2657</v>
      </c>
    </row>
    <row r="1088" spans="2:9" ht="13.5" customHeight="1">
      <c r="B1088" s="57" t="s">
        <v>2397</v>
      </c>
      <c r="D1088" s="57" t="s">
        <v>2398</v>
      </c>
      <c r="F1088" s="57">
        <v>3</v>
      </c>
      <c r="G1088" s="57" t="s">
        <v>2685</v>
      </c>
      <c r="H1088" s="57" t="s">
        <v>2658</v>
      </c>
    </row>
    <row r="1089" spans="2:8" ht="13.5" customHeight="1">
      <c r="B1089" s="57" t="s">
        <v>2352</v>
      </c>
      <c r="D1089" s="57" t="s">
        <v>2353</v>
      </c>
      <c r="E1089" s="57" t="s">
        <v>2353</v>
      </c>
      <c r="F1089" s="57">
        <v>7</v>
      </c>
      <c r="G1089" s="57" t="s">
        <v>2685</v>
      </c>
      <c r="H1089" s="57" t="s">
        <v>2658</v>
      </c>
    </row>
    <row r="1090" spans="2:8" ht="13.5" customHeight="1">
      <c r="B1090" s="57" t="s">
        <v>2313</v>
      </c>
      <c r="D1090" s="57" t="s">
        <v>2313</v>
      </c>
      <c r="E1090" s="57" t="s">
        <v>2312</v>
      </c>
      <c r="F1090" s="57">
        <v>9</v>
      </c>
      <c r="G1090" s="57" t="s">
        <v>2685</v>
      </c>
      <c r="H1090" s="57" t="s">
        <v>2658</v>
      </c>
    </row>
    <row r="1091" spans="2:8" ht="13.5" customHeight="1">
      <c r="B1091" s="57" t="s">
        <v>2311</v>
      </c>
      <c r="D1091" s="57" t="s">
        <v>2311</v>
      </c>
      <c r="E1091" s="57" t="s">
        <v>2312</v>
      </c>
      <c r="F1091" s="57">
        <v>9</v>
      </c>
      <c r="G1091" s="57" t="s">
        <v>2685</v>
      </c>
      <c r="H1091" s="57" t="s">
        <v>2658</v>
      </c>
    </row>
    <row r="1092" spans="2:8" ht="13.5" customHeight="1">
      <c r="B1092" s="57" t="s">
        <v>2378</v>
      </c>
      <c r="D1092" s="57" t="s">
        <v>2379</v>
      </c>
      <c r="E1092" s="57" t="s">
        <v>2380</v>
      </c>
      <c r="F1092" s="57">
        <v>78</v>
      </c>
      <c r="G1092" s="57" t="s">
        <v>2685</v>
      </c>
      <c r="H1092" s="57" t="s">
        <v>2658</v>
      </c>
    </row>
    <row r="1093" spans="2:8" ht="13.5" customHeight="1">
      <c r="B1093" s="57" t="s">
        <v>2354</v>
      </c>
      <c r="D1093" s="57" t="s">
        <v>2355</v>
      </c>
      <c r="E1093" s="57" t="s">
        <v>2356</v>
      </c>
      <c r="F1093" s="57">
        <v>158</v>
      </c>
      <c r="G1093" s="57" t="s">
        <v>2685</v>
      </c>
      <c r="H1093" s="57" t="s">
        <v>2658</v>
      </c>
    </row>
    <row r="1094" spans="2:8" ht="13.5" customHeight="1">
      <c r="B1094" s="57" t="s">
        <v>2366</v>
      </c>
      <c r="D1094" s="57" t="s">
        <v>2366</v>
      </c>
      <c r="E1094" s="57" t="s">
        <v>2367</v>
      </c>
      <c r="F1094" s="57">
        <v>52</v>
      </c>
      <c r="G1094" s="57" t="s">
        <v>2685</v>
      </c>
      <c r="H1094" s="57" t="s">
        <v>2663</v>
      </c>
    </row>
    <row r="1095" spans="2:8" ht="13.5" customHeight="1">
      <c r="B1095" s="57" t="s">
        <v>2362</v>
      </c>
      <c r="D1095" s="57" t="s">
        <v>2363</v>
      </c>
      <c r="F1095" s="57">
        <v>55</v>
      </c>
      <c r="G1095" s="57" t="s">
        <v>2685</v>
      </c>
      <c r="H1095" s="57" t="s">
        <v>2663</v>
      </c>
    </row>
    <row r="1096" spans="2:8" ht="13.5" customHeight="1">
      <c r="B1096" s="57" t="s">
        <v>2523</v>
      </c>
      <c r="D1096" s="57" t="s">
        <v>2524</v>
      </c>
      <c r="F1096" s="57">
        <v>75</v>
      </c>
      <c r="G1096" s="57" t="s">
        <v>2685</v>
      </c>
      <c r="H1096" s="57" t="s">
        <v>2663</v>
      </c>
    </row>
    <row r="1097" spans="2:8" ht="13.5" customHeight="1">
      <c r="B1097" s="57" t="s">
        <v>2364</v>
      </c>
      <c r="D1097" s="57" t="s">
        <v>2365</v>
      </c>
      <c r="F1097" s="57">
        <v>110</v>
      </c>
      <c r="G1097" s="57" t="s">
        <v>2685</v>
      </c>
      <c r="H1097" s="57" t="s">
        <v>2663</v>
      </c>
    </row>
    <row r="1098" spans="2:8" ht="13.5" customHeight="1">
      <c r="B1098" s="57" t="s">
        <v>2416</v>
      </c>
      <c r="D1098" s="57" t="s">
        <v>2417</v>
      </c>
      <c r="F1098" s="57">
        <v>175</v>
      </c>
      <c r="G1098" s="57" t="s">
        <v>2685</v>
      </c>
      <c r="H1098" s="57" t="s">
        <v>2662</v>
      </c>
    </row>
    <row r="1099" spans="2:8" ht="13.5" customHeight="1">
      <c r="B1099" s="57" t="s">
        <v>2393</v>
      </c>
      <c r="D1099" s="60" t="s">
        <v>8186</v>
      </c>
      <c r="E1099" s="57" t="s">
        <v>2394</v>
      </c>
      <c r="F1099" s="57">
        <v>500</v>
      </c>
      <c r="G1099" s="57" t="s">
        <v>2685</v>
      </c>
      <c r="H1099" s="57" t="s">
        <v>2662</v>
      </c>
    </row>
    <row r="1100" spans="2:8" ht="13.5" customHeight="1">
      <c r="B1100" s="57" t="s">
        <v>2360</v>
      </c>
      <c r="D1100" s="57" t="s">
        <v>2361</v>
      </c>
      <c r="F1100" s="57">
        <v>792</v>
      </c>
      <c r="G1100" s="57" t="s">
        <v>2685</v>
      </c>
      <c r="H1100" s="57" t="s">
        <v>2662</v>
      </c>
    </row>
    <row r="1101" spans="2:8" ht="13.5" customHeight="1">
      <c r="B1101" s="57" t="s">
        <v>2357</v>
      </c>
      <c r="D1101" s="57" t="s">
        <v>2358</v>
      </c>
      <c r="E1101" s="57" t="s">
        <v>2359</v>
      </c>
      <c r="F1101" s="57">
        <v>3900</v>
      </c>
      <c r="G1101" s="57" t="s">
        <v>2685</v>
      </c>
      <c r="H1101" s="57" t="s">
        <v>2662</v>
      </c>
    </row>
    <row r="1102" spans="2:8" ht="13.5" customHeight="1">
      <c r="B1102" s="57" t="s">
        <v>2385</v>
      </c>
      <c r="D1102" s="57" t="s">
        <v>2386</v>
      </c>
      <c r="E1102" s="57" t="s">
        <v>2387</v>
      </c>
      <c r="F1102" s="57">
        <v>2</v>
      </c>
      <c r="G1102" s="57" t="s">
        <v>2685</v>
      </c>
      <c r="H1102" s="57" t="s">
        <v>1116</v>
      </c>
    </row>
    <row r="1103" spans="2:8" ht="13.5" customHeight="1">
      <c r="B1103" s="57" t="s">
        <v>2640</v>
      </c>
      <c r="D1103" s="57" t="s">
        <v>2641</v>
      </c>
      <c r="F1103" s="57">
        <v>14</v>
      </c>
      <c r="G1103" s="57" t="s">
        <v>2685</v>
      </c>
      <c r="H1103" s="57" t="s">
        <v>343</v>
      </c>
    </row>
    <row r="1104" spans="2:8" ht="13.5" customHeight="1">
      <c r="B1104" s="57" t="s">
        <v>2316</v>
      </c>
      <c r="D1104" s="57" t="s">
        <v>2317</v>
      </c>
      <c r="F1104" s="57">
        <v>23</v>
      </c>
      <c r="G1104" s="57" t="s">
        <v>2685</v>
      </c>
      <c r="H1104" s="57" t="s">
        <v>343</v>
      </c>
    </row>
    <row r="1105" spans="2:8" ht="13.5" customHeight="1">
      <c r="B1105" s="57" t="s">
        <v>2452</v>
      </c>
      <c r="D1105" s="57" t="s">
        <v>2453</v>
      </c>
      <c r="F1105" s="57">
        <v>40</v>
      </c>
      <c r="G1105" s="57" t="s">
        <v>2685</v>
      </c>
      <c r="H1105" s="57" t="s">
        <v>343</v>
      </c>
    </row>
    <row r="1106" spans="2:8" ht="13.5" customHeight="1">
      <c r="B1106" s="57" t="s">
        <v>2438</v>
      </c>
      <c r="D1106" s="57" t="s">
        <v>2439</v>
      </c>
      <c r="F1106" s="57">
        <v>428</v>
      </c>
      <c r="G1106" s="57" t="s">
        <v>2685</v>
      </c>
      <c r="H1106" s="57" t="s">
        <v>343</v>
      </c>
    </row>
    <row r="1107" spans="2:8" ht="13.5" customHeight="1">
      <c r="B1107" s="57" t="s">
        <v>2473</v>
      </c>
      <c r="D1107" s="57" t="s">
        <v>2474</v>
      </c>
      <c r="F1107" s="57">
        <v>47</v>
      </c>
      <c r="G1107" s="57" t="s">
        <v>2685</v>
      </c>
      <c r="H1107" s="57" t="s">
        <v>344</v>
      </c>
    </row>
    <row r="1108" spans="2:8" ht="13.5" customHeight="1">
      <c r="B1108" s="57" t="s">
        <v>2440</v>
      </c>
      <c r="D1108" s="57" t="s">
        <v>1922</v>
      </c>
      <c r="F1108" s="57">
        <v>75</v>
      </c>
      <c r="G1108" s="57" t="s">
        <v>2685</v>
      </c>
      <c r="H1108" s="57" t="s">
        <v>344</v>
      </c>
    </row>
    <row r="1109" spans="2:8" ht="13.5" customHeight="1">
      <c r="B1109" s="57" t="s">
        <v>2492</v>
      </c>
      <c r="D1109" s="57" t="s">
        <v>2493</v>
      </c>
      <c r="F1109" s="57">
        <v>82</v>
      </c>
      <c r="G1109" s="57" t="s">
        <v>2685</v>
      </c>
      <c r="H1109" s="57" t="s">
        <v>344</v>
      </c>
    </row>
    <row r="1110" spans="2:8" ht="13.5" customHeight="1">
      <c r="B1110" s="57" t="s">
        <v>2479</v>
      </c>
      <c r="D1110" s="57" t="s">
        <v>2480</v>
      </c>
      <c r="F1110" s="57">
        <v>125</v>
      </c>
      <c r="G1110" s="57" t="s">
        <v>2685</v>
      </c>
      <c r="H1110" s="57" t="s">
        <v>344</v>
      </c>
    </row>
    <row r="1111" spans="2:8" ht="13.5" customHeight="1">
      <c r="B1111" s="57" t="s">
        <v>2461</v>
      </c>
      <c r="D1111" s="57" t="s">
        <v>2462</v>
      </c>
      <c r="F1111" s="57">
        <v>4</v>
      </c>
      <c r="G1111" s="57" t="s">
        <v>2685</v>
      </c>
      <c r="H1111" s="57" t="s">
        <v>345</v>
      </c>
    </row>
    <row r="1112" spans="2:8" ht="13.5" customHeight="1">
      <c r="B1112" s="57" t="s">
        <v>2306</v>
      </c>
      <c r="D1112" s="57" t="s">
        <v>2307</v>
      </c>
      <c r="F1112" s="57">
        <v>5</v>
      </c>
      <c r="G1112" s="57" t="s">
        <v>2685</v>
      </c>
      <c r="H1112" s="57" t="s">
        <v>345</v>
      </c>
    </row>
    <row r="1113" spans="2:8" ht="13.5" customHeight="1">
      <c r="B1113" s="57" t="s">
        <v>2487</v>
      </c>
      <c r="D1113" s="57" t="s">
        <v>2488</v>
      </c>
      <c r="E1113" s="57" t="s">
        <v>2489</v>
      </c>
      <c r="F1113" s="57">
        <v>8</v>
      </c>
      <c r="G1113" s="57" t="s">
        <v>2685</v>
      </c>
      <c r="H1113" s="57" t="s">
        <v>345</v>
      </c>
    </row>
    <row r="1114" spans="2:8" ht="13.5" customHeight="1">
      <c r="B1114" s="57" t="s">
        <v>960</v>
      </c>
      <c r="D1114" s="57" t="s">
        <v>2297</v>
      </c>
      <c r="F1114" s="57">
        <v>11</v>
      </c>
      <c r="G1114" s="57" t="s">
        <v>2685</v>
      </c>
      <c r="H1114" s="57" t="s">
        <v>345</v>
      </c>
    </row>
    <row r="1115" spans="2:8" ht="13.5" customHeight="1">
      <c r="B1115" s="57" t="s">
        <v>2481</v>
      </c>
      <c r="D1115" s="57" t="s">
        <v>2482</v>
      </c>
      <c r="F1115" s="57">
        <v>12</v>
      </c>
      <c r="G1115" s="57" t="s">
        <v>2685</v>
      </c>
      <c r="H1115" s="57" t="s">
        <v>345</v>
      </c>
    </row>
    <row r="1116" spans="2:8" ht="13.5" customHeight="1">
      <c r="B1116" s="57" t="s">
        <v>2514</v>
      </c>
      <c r="D1116" s="57" t="s">
        <v>2515</v>
      </c>
      <c r="F1116" s="57">
        <v>12</v>
      </c>
      <c r="G1116" s="57" t="s">
        <v>2685</v>
      </c>
      <c r="H1116" s="57" t="s">
        <v>345</v>
      </c>
    </row>
    <row r="1117" spans="2:8" ht="13.5" customHeight="1">
      <c r="B1117" s="57" t="s">
        <v>2475</v>
      </c>
      <c r="D1117" s="57" t="s">
        <v>2476</v>
      </c>
      <c r="F1117" s="57">
        <v>13</v>
      </c>
      <c r="G1117" s="57" t="s">
        <v>2685</v>
      </c>
      <c r="H1117" s="57" t="s">
        <v>345</v>
      </c>
    </row>
    <row r="1118" spans="2:8" ht="13.5" customHeight="1">
      <c r="B1118" s="57" t="s">
        <v>2490</v>
      </c>
      <c r="D1118" s="57" t="s">
        <v>2491</v>
      </c>
      <c r="F1118" s="57">
        <v>16</v>
      </c>
      <c r="G1118" s="57" t="s">
        <v>2685</v>
      </c>
      <c r="H1118" s="57" t="s">
        <v>345</v>
      </c>
    </row>
    <row r="1119" spans="2:8" ht="13.5" customHeight="1">
      <c r="B1119" s="57" t="s">
        <v>2502</v>
      </c>
      <c r="D1119" s="57" t="s">
        <v>2503</v>
      </c>
      <c r="F1119" s="57">
        <v>17</v>
      </c>
      <c r="G1119" s="57" t="s">
        <v>2685</v>
      </c>
      <c r="H1119" s="57" t="s">
        <v>345</v>
      </c>
    </row>
    <row r="1120" spans="2:8" ht="13.5" customHeight="1">
      <c r="B1120" s="57" t="s">
        <v>2477</v>
      </c>
      <c r="D1120" s="57" t="s">
        <v>2478</v>
      </c>
      <c r="F1120" s="57">
        <v>37</v>
      </c>
      <c r="G1120" s="57" t="s">
        <v>2685</v>
      </c>
      <c r="H1120" s="57" t="s">
        <v>345</v>
      </c>
    </row>
    <row r="1121" spans="2:8" ht="13.5" customHeight="1">
      <c r="B1121" s="57" t="s">
        <v>2500</v>
      </c>
      <c r="D1121" s="57" t="s">
        <v>2501</v>
      </c>
      <c r="F1121" s="57">
        <v>48</v>
      </c>
      <c r="G1121" s="57" t="s">
        <v>2685</v>
      </c>
      <c r="H1121" s="57" t="s">
        <v>345</v>
      </c>
    </row>
    <row r="1122" spans="2:8" ht="13.5" customHeight="1">
      <c r="B1122" s="57" t="s">
        <v>1024</v>
      </c>
      <c r="D1122" s="57" t="s">
        <v>2336</v>
      </c>
      <c r="F1122" s="57">
        <v>2</v>
      </c>
      <c r="G1122" s="57" t="s">
        <v>2685</v>
      </c>
      <c r="H1122" s="57" t="s">
        <v>919</v>
      </c>
    </row>
    <row r="1123" spans="2:8" ht="13.5" customHeight="1">
      <c r="B1123" s="57" t="s">
        <v>2483</v>
      </c>
      <c r="D1123" s="57" t="s">
        <v>2484</v>
      </c>
      <c r="F1123" s="57">
        <v>8</v>
      </c>
      <c r="G1123" s="57" t="s">
        <v>2685</v>
      </c>
      <c r="H1123" s="57" t="s">
        <v>919</v>
      </c>
    </row>
    <row r="1124" spans="2:8" ht="13.5" customHeight="1">
      <c r="B1124" s="57" t="s">
        <v>2329</v>
      </c>
      <c r="D1124" s="57" t="s">
        <v>2330</v>
      </c>
      <c r="E1124" s="57" t="s">
        <v>2331</v>
      </c>
      <c r="F1124" s="57">
        <v>11</v>
      </c>
      <c r="G1124" s="57" t="s">
        <v>2685</v>
      </c>
      <c r="H1124" s="57" t="s">
        <v>919</v>
      </c>
    </row>
    <row r="1125" spans="2:8" ht="13.5" customHeight="1">
      <c r="B1125" s="57" t="s">
        <v>2469</v>
      </c>
      <c r="D1125" s="57" t="s">
        <v>2470</v>
      </c>
      <c r="F1125" s="57">
        <v>18</v>
      </c>
      <c r="G1125" s="57" t="s">
        <v>2685</v>
      </c>
      <c r="H1125" s="57" t="s">
        <v>919</v>
      </c>
    </row>
    <row r="1126" spans="2:8" ht="13.5" customHeight="1">
      <c r="B1126" s="57" t="s">
        <v>2506</v>
      </c>
      <c r="D1126" s="57" t="s">
        <v>2507</v>
      </c>
      <c r="F1126" s="57">
        <v>19</v>
      </c>
      <c r="G1126" s="57" t="s">
        <v>2685</v>
      </c>
      <c r="H1126" s="57" t="s">
        <v>919</v>
      </c>
    </row>
    <row r="1127" spans="2:8" ht="13.5" customHeight="1">
      <c r="B1127" s="57" t="s">
        <v>976</v>
      </c>
      <c r="D1127" s="57" t="s">
        <v>977</v>
      </c>
      <c r="F1127" s="57">
        <v>21</v>
      </c>
      <c r="G1127" s="57" t="s">
        <v>2685</v>
      </c>
      <c r="H1127" s="57" t="s">
        <v>919</v>
      </c>
    </row>
    <row r="1128" spans="2:8" ht="13.5" customHeight="1">
      <c r="B1128" s="57" t="s">
        <v>2485</v>
      </c>
      <c r="D1128" s="57" t="s">
        <v>2486</v>
      </c>
      <c r="F1128" s="57">
        <v>40</v>
      </c>
      <c r="G1128" s="57" t="s">
        <v>2685</v>
      </c>
      <c r="H1128" s="57" t="s">
        <v>919</v>
      </c>
    </row>
    <row r="1129" spans="2:8" ht="13.5" customHeight="1">
      <c r="B1129" s="57" t="s">
        <v>2455</v>
      </c>
      <c r="D1129" s="57" t="s">
        <v>2456</v>
      </c>
      <c r="F1129" s="57">
        <v>43</v>
      </c>
      <c r="G1129" s="57" t="s">
        <v>2685</v>
      </c>
      <c r="H1129" s="57" t="s">
        <v>919</v>
      </c>
    </row>
    <row r="1130" spans="2:8" ht="13.5" customHeight="1">
      <c r="B1130" s="57" t="s">
        <v>2467</v>
      </c>
      <c r="D1130" s="57" t="s">
        <v>2468</v>
      </c>
      <c r="F1130" s="57">
        <v>44</v>
      </c>
      <c r="G1130" s="57" t="s">
        <v>2685</v>
      </c>
      <c r="H1130" s="57" t="s">
        <v>919</v>
      </c>
    </row>
    <row r="1131" spans="2:8" ht="13.5" customHeight="1">
      <c r="B1131" s="57" t="s">
        <v>2300</v>
      </c>
      <c r="D1131" s="57" t="s">
        <v>2301</v>
      </c>
      <c r="F1131" s="57">
        <v>44</v>
      </c>
      <c r="G1131" s="57" t="s">
        <v>2685</v>
      </c>
      <c r="H1131" s="57" t="s">
        <v>919</v>
      </c>
    </row>
    <row r="1132" spans="2:8" ht="13.5" customHeight="1">
      <c r="B1132" s="57" t="s">
        <v>2457</v>
      </c>
      <c r="D1132" s="57" t="s">
        <v>2458</v>
      </c>
      <c r="F1132" s="57">
        <v>48</v>
      </c>
      <c r="G1132" s="57" t="s">
        <v>2685</v>
      </c>
      <c r="H1132" s="57" t="s">
        <v>919</v>
      </c>
    </row>
    <row r="1133" spans="2:8" ht="13.5" customHeight="1">
      <c r="B1133" s="57" t="s">
        <v>2498</v>
      </c>
      <c r="D1133" s="57" t="s">
        <v>2499</v>
      </c>
      <c r="F1133" s="57">
        <v>95</v>
      </c>
      <c r="G1133" s="57" t="s">
        <v>2685</v>
      </c>
      <c r="H1133" s="57" t="s">
        <v>919</v>
      </c>
    </row>
    <row r="1134" spans="2:8" ht="13.5" customHeight="1">
      <c r="B1134" s="57" t="s">
        <v>2504</v>
      </c>
      <c r="D1134" s="57" t="s">
        <v>2505</v>
      </c>
      <c r="F1134" s="57">
        <v>96</v>
      </c>
      <c r="G1134" s="57" t="s">
        <v>2685</v>
      </c>
      <c r="H1134" s="57" t="s">
        <v>919</v>
      </c>
    </row>
    <row r="1135" spans="2:8" ht="13.5" customHeight="1">
      <c r="B1135" s="57" t="s">
        <v>2459</v>
      </c>
      <c r="D1135" s="57" t="s">
        <v>2460</v>
      </c>
      <c r="F1135" s="57">
        <v>111</v>
      </c>
      <c r="G1135" s="57" t="s">
        <v>2685</v>
      </c>
      <c r="H1135" s="57" t="s">
        <v>919</v>
      </c>
    </row>
    <row r="1136" spans="2:8" ht="13.5" customHeight="1">
      <c r="B1136" s="57" t="s">
        <v>2510</v>
      </c>
      <c r="D1136" s="57" t="s">
        <v>2511</v>
      </c>
      <c r="F1136" s="57">
        <v>142</v>
      </c>
      <c r="G1136" s="57" t="s">
        <v>2685</v>
      </c>
      <c r="H1136" s="57" t="s">
        <v>919</v>
      </c>
    </row>
    <row r="1137" spans="2:9" ht="13.5" customHeight="1">
      <c r="B1137" s="57" t="s">
        <v>2445</v>
      </c>
      <c r="D1137" s="57" t="s">
        <v>2446</v>
      </c>
      <c r="E1137" s="57" t="s">
        <v>2447</v>
      </c>
      <c r="F1137" s="57">
        <v>1087</v>
      </c>
      <c r="G1137" s="57" t="s">
        <v>2685</v>
      </c>
      <c r="H1137" s="57" t="s">
        <v>919</v>
      </c>
      <c r="I1137" s="57" t="s">
        <v>2667</v>
      </c>
    </row>
    <row r="1138" spans="2:9" ht="13.5" customHeight="1">
      <c r="B1138" s="57" t="s">
        <v>2295</v>
      </c>
      <c r="D1138" s="57" t="s">
        <v>2296</v>
      </c>
      <c r="F1138" s="57">
        <v>1</v>
      </c>
      <c r="G1138" s="57" t="s">
        <v>2685</v>
      </c>
      <c r="H1138" s="57" t="s">
        <v>918</v>
      </c>
    </row>
    <row r="1139" spans="2:9" ht="13.5" customHeight="1">
      <c r="B1139" s="57" t="s">
        <v>2320</v>
      </c>
      <c r="D1139" s="57" t="s">
        <v>2321</v>
      </c>
      <c r="F1139" s="57">
        <v>4</v>
      </c>
      <c r="G1139" s="57" t="s">
        <v>2685</v>
      </c>
      <c r="H1139" s="57" t="s">
        <v>918</v>
      </c>
    </row>
    <row r="1140" spans="2:9" ht="13.5" customHeight="1">
      <c r="B1140" s="57" t="s">
        <v>2368</v>
      </c>
      <c r="D1140" s="57" t="s">
        <v>2369</v>
      </c>
      <c r="F1140" s="57">
        <v>7</v>
      </c>
      <c r="G1140" s="57" t="s">
        <v>2685</v>
      </c>
      <c r="H1140" s="57" t="s">
        <v>918</v>
      </c>
    </row>
    <row r="1141" spans="2:9" ht="13.5" customHeight="1">
      <c r="B1141" s="57" t="s">
        <v>2654</v>
      </c>
      <c r="D1141" s="57" t="s">
        <v>2655</v>
      </c>
      <c r="F1141" s="57">
        <v>8</v>
      </c>
      <c r="G1141" s="57" t="s">
        <v>2685</v>
      </c>
      <c r="H1141" s="57" t="s">
        <v>918</v>
      </c>
    </row>
    <row r="1142" spans="2:9" ht="13.5" customHeight="1">
      <c r="B1142" s="57" t="s">
        <v>2334</v>
      </c>
      <c r="D1142" s="57" t="s">
        <v>2335</v>
      </c>
      <c r="F1142" s="57">
        <v>9</v>
      </c>
      <c r="G1142" s="57" t="s">
        <v>2685</v>
      </c>
      <c r="H1142" s="57" t="s">
        <v>918</v>
      </c>
    </row>
    <row r="1143" spans="2:9" ht="13.5" customHeight="1">
      <c r="B1143" s="57" t="s">
        <v>2318</v>
      </c>
      <c r="D1143" s="57" t="s">
        <v>2319</v>
      </c>
      <c r="F1143" s="57">
        <v>10</v>
      </c>
      <c r="G1143" s="57" t="s">
        <v>2685</v>
      </c>
      <c r="H1143" s="57" t="s">
        <v>918</v>
      </c>
    </row>
    <row r="1144" spans="2:9" ht="13.5" customHeight="1">
      <c r="B1144" s="57" t="s">
        <v>2308</v>
      </c>
      <c r="D1144" s="57" t="s">
        <v>2309</v>
      </c>
      <c r="E1144" s="57" t="s">
        <v>2310</v>
      </c>
      <c r="F1144" s="57">
        <v>16</v>
      </c>
      <c r="G1144" s="57" t="s">
        <v>2685</v>
      </c>
      <c r="H1144" s="57" t="s">
        <v>918</v>
      </c>
    </row>
    <row r="1145" spans="2:9" ht="13.5" customHeight="1">
      <c r="B1145" s="57" t="s">
        <v>2463</v>
      </c>
      <c r="D1145" s="57" t="s">
        <v>2464</v>
      </c>
      <c r="F1145" s="57">
        <v>37</v>
      </c>
      <c r="G1145" s="57" t="s">
        <v>2685</v>
      </c>
      <c r="H1145" s="57" t="s">
        <v>918</v>
      </c>
    </row>
    <row r="1146" spans="2:9" ht="13.5" customHeight="1">
      <c r="B1146" s="57" t="s">
        <v>2512</v>
      </c>
      <c r="D1146" s="57" t="s">
        <v>2513</v>
      </c>
      <c r="F1146" s="57">
        <v>40</v>
      </c>
      <c r="G1146" s="57" t="s">
        <v>2685</v>
      </c>
      <c r="H1146" s="57" t="s">
        <v>918</v>
      </c>
    </row>
    <row r="1147" spans="2:9" ht="13.5" customHeight="1">
      <c r="B1147" s="57" t="s">
        <v>2304</v>
      </c>
      <c r="D1147" s="57" t="s">
        <v>2305</v>
      </c>
      <c r="F1147" s="57">
        <v>48</v>
      </c>
      <c r="G1147" s="57" t="s">
        <v>2685</v>
      </c>
      <c r="H1147" s="57" t="s">
        <v>918</v>
      </c>
    </row>
    <row r="1148" spans="2:9" ht="13.5" customHeight="1">
      <c r="B1148" s="57" t="s">
        <v>2291</v>
      </c>
      <c r="D1148" s="57" t="s">
        <v>2292</v>
      </c>
      <c r="F1148" s="57">
        <v>49</v>
      </c>
      <c r="G1148" s="57" t="s">
        <v>2685</v>
      </c>
      <c r="H1148" s="57" t="s">
        <v>918</v>
      </c>
    </row>
    <row r="1149" spans="2:9" ht="13.5" customHeight="1">
      <c r="B1149" s="57" t="s">
        <v>2332</v>
      </c>
      <c r="D1149" s="57" t="s">
        <v>2333</v>
      </c>
      <c r="F1149" s="57">
        <v>53</v>
      </c>
      <c r="G1149" s="57" t="s">
        <v>2685</v>
      </c>
      <c r="H1149" s="57" t="s">
        <v>918</v>
      </c>
    </row>
    <row r="1150" spans="2:9" ht="13.5" customHeight="1">
      <c r="B1150" s="57" t="s">
        <v>2465</v>
      </c>
      <c r="D1150" s="57" t="s">
        <v>2466</v>
      </c>
      <c r="F1150" s="57">
        <v>56</v>
      </c>
      <c r="G1150" s="57" t="s">
        <v>2685</v>
      </c>
      <c r="H1150" s="57" t="s">
        <v>918</v>
      </c>
    </row>
    <row r="1151" spans="2:9" ht="13.5" customHeight="1">
      <c r="B1151" s="57" t="s">
        <v>2471</v>
      </c>
      <c r="D1151" s="68" t="s">
        <v>2472</v>
      </c>
      <c r="F1151" s="57">
        <v>78</v>
      </c>
      <c r="G1151" s="57" t="s">
        <v>2685</v>
      </c>
      <c r="H1151" s="57" t="s">
        <v>918</v>
      </c>
    </row>
    <row r="1152" spans="2:9" ht="13.5" customHeight="1">
      <c r="B1152" s="57" t="s">
        <v>2373</v>
      </c>
      <c r="D1152" s="57" t="s">
        <v>2374</v>
      </c>
      <c r="F1152" s="57">
        <v>94</v>
      </c>
      <c r="G1152" s="57" t="s">
        <v>2685</v>
      </c>
      <c r="H1152" s="57" t="s">
        <v>918</v>
      </c>
    </row>
    <row r="1153" spans="2:9" ht="13.5" customHeight="1">
      <c r="B1153" s="57" t="s">
        <v>2298</v>
      </c>
      <c r="D1153" s="57" t="s">
        <v>2299</v>
      </c>
      <c r="F1153" s="57">
        <v>98</v>
      </c>
      <c r="G1153" s="57" t="s">
        <v>2685</v>
      </c>
      <c r="H1153" s="57" t="s">
        <v>918</v>
      </c>
    </row>
    <row r="1154" spans="2:9" ht="13.5" customHeight="1">
      <c r="B1154" s="57" t="s">
        <v>2638</v>
      </c>
      <c r="D1154" s="57" t="s">
        <v>2639</v>
      </c>
      <c r="F1154" s="57">
        <v>6</v>
      </c>
      <c r="G1154" s="57" t="s">
        <v>2685</v>
      </c>
      <c r="H1154" s="57" t="s">
        <v>1114</v>
      </c>
      <c r="I1154" s="57" t="s">
        <v>2683</v>
      </c>
    </row>
    <row r="1155" spans="2:9" ht="13.5" customHeight="1">
      <c r="B1155" s="57" t="s">
        <v>2450</v>
      </c>
      <c r="D1155" s="57" t="s">
        <v>2451</v>
      </c>
      <c r="F1155" s="57">
        <v>10</v>
      </c>
      <c r="G1155" s="57" t="s">
        <v>2685</v>
      </c>
      <c r="H1155" s="57" t="s">
        <v>1114</v>
      </c>
    </row>
    <row r="1156" spans="2:9" ht="13.5" customHeight="1">
      <c r="B1156" s="57" t="s">
        <v>2448</v>
      </c>
      <c r="D1156" s="57" t="s">
        <v>2449</v>
      </c>
      <c r="F1156" s="57">
        <v>15</v>
      </c>
      <c r="G1156" s="57" t="s">
        <v>2685</v>
      </c>
      <c r="H1156" s="57" t="s">
        <v>1114</v>
      </c>
    </row>
    <row r="1157" spans="2:9" ht="13.5" customHeight="1">
      <c r="B1157" s="57" t="s">
        <v>2434</v>
      </c>
      <c r="D1157" s="57" t="s">
        <v>2435</v>
      </c>
      <c r="F1157" s="57">
        <v>19</v>
      </c>
      <c r="G1157" s="57" t="s">
        <v>2685</v>
      </c>
      <c r="H1157" s="57" t="s">
        <v>1114</v>
      </c>
    </row>
    <row r="1158" spans="2:9" ht="13.5" customHeight="1">
      <c r="B1158" s="57" t="s">
        <v>2441</v>
      </c>
      <c r="D1158" s="57" t="s">
        <v>2442</v>
      </c>
      <c r="F1158" s="57">
        <v>40</v>
      </c>
      <c r="G1158" s="57" t="s">
        <v>2685</v>
      </c>
      <c r="H1158" s="57" t="s">
        <v>1114</v>
      </c>
    </row>
    <row r="1159" spans="2:9" ht="13.5" customHeight="1">
      <c r="B1159" s="57" t="s">
        <v>2436</v>
      </c>
      <c r="D1159" s="57" t="s">
        <v>2437</v>
      </c>
      <c r="F1159" s="57">
        <v>40</v>
      </c>
      <c r="G1159" s="57" t="s">
        <v>2685</v>
      </c>
      <c r="H1159" s="57" t="s">
        <v>1114</v>
      </c>
    </row>
    <row r="1160" spans="2:9" ht="13.5" customHeight="1">
      <c r="B1160" s="57" t="s">
        <v>1004</v>
      </c>
      <c r="D1160" s="57" t="s">
        <v>1005</v>
      </c>
      <c r="F1160" s="57">
        <v>43</v>
      </c>
      <c r="G1160" s="57" t="s">
        <v>2685</v>
      </c>
      <c r="H1160" s="57" t="s">
        <v>1114</v>
      </c>
    </row>
    <row r="1161" spans="2:9" ht="13.5" customHeight="1">
      <c r="B1161" s="57" t="s">
        <v>2443</v>
      </c>
      <c r="D1161" s="57" t="s">
        <v>2444</v>
      </c>
      <c r="F1161" s="57">
        <v>92</v>
      </c>
      <c r="G1161" s="57" t="s">
        <v>2685</v>
      </c>
      <c r="H1161" s="57" t="s">
        <v>1114</v>
      </c>
    </row>
    <row r="1162" spans="2:9" ht="13.5" customHeight="1">
      <c r="B1162" s="57" t="s">
        <v>2322</v>
      </c>
      <c r="D1162" s="57" t="s">
        <v>2323</v>
      </c>
      <c r="F1162" s="57">
        <v>4</v>
      </c>
      <c r="G1162" s="57" t="s">
        <v>2685</v>
      </c>
      <c r="H1162" s="57" t="s">
        <v>1347</v>
      </c>
    </row>
    <row r="1163" spans="2:9" ht="13.5" customHeight="1">
      <c r="B1163" s="57" t="s">
        <v>2609</v>
      </c>
      <c r="D1163" s="57">
        <v>61204023021</v>
      </c>
      <c r="F1163" s="57">
        <v>8</v>
      </c>
      <c r="G1163" s="57" t="s">
        <v>2685</v>
      </c>
      <c r="H1163" s="57" t="s">
        <v>2669</v>
      </c>
    </row>
    <row r="1164" spans="2:9" ht="13.5" customHeight="1">
      <c r="B1164" s="57" t="s">
        <v>2533</v>
      </c>
      <c r="D1164" s="57" t="s">
        <v>2534</v>
      </c>
      <c r="F1164" s="57">
        <v>24</v>
      </c>
      <c r="G1164" s="57" t="s">
        <v>2685</v>
      </c>
      <c r="H1164" s="57" t="s">
        <v>2669</v>
      </c>
    </row>
    <row r="1165" spans="2:9" ht="13.5" customHeight="1">
      <c r="B1165" s="57" t="s">
        <v>2530</v>
      </c>
      <c r="D1165" s="57" t="s">
        <v>2531</v>
      </c>
      <c r="E1165" s="57" t="s">
        <v>2532</v>
      </c>
      <c r="F1165" s="57">
        <v>40</v>
      </c>
      <c r="G1165" s="57" t="s">
        <v>2685</v>
      </c>
      <c r="H1165" s="57" t="s">
        <v>2669</v>
      </c>
    </row>
    <row r="1166" spans="2:9" ht="13.5" customHeight="1">
      <c r="B1166" s="57" t="s">
        <v>2580</v>
      </c>
      <c r="D1166" s="57" t="s">
        <v>2581</v>
      </c>
      <c r="E1166" s="57">
        <v>7448640416</v>
      </c>
      <c r="F1166" s="57">
        <v>49</v>
      </c>
      <c r="G1166" s="57" t="s">
        <v>2685</v>
      </c>
      <c r="H1166" s="57" t="s">
        <v>2669</v>
      </c>
      <c r="I1166" s="57">
        <v>7448640416</v>
      </c>
    </row>
    <row r="1167" spans="2:9" ht="13.5" customHeight="1">
      <c r="B1167" s="57" t="s">
        <v>2566</v>
      </c>
      <c r="D1167" s="57" t="s">
        <v>2567</v>
      </c>
      <c r="F1167" s="57">
        <v>58</v>
      </c>
      <c r="G1167" s="57" t="s">
        <v>2685</v>
      </c>
      <c r="H1167" s="57" t="s">
        <v>2669</v>
      </c>
    </row>
    <row r="1168" spans="2:9" ht="13.5" customHeight="1">
      <c r="B1168" s="57" t="s">
        <v>2564</v>
      </c>
      <c r="D1168" s="57" t="s">
        <v>2565</v>
      </c>
      <c r="E1168" s="57" t="s">
        <v>2565</v>
      </c>
      <c r="F1168" s="57">
        <v>108</v>
      </c>
      <c r="G1168" s="57" t="s">
        <v>2685</v>
      </c>
      <c r="H1168" s="57" t="s">
        <v>2669</v>
      </c>
      <c r="I1168" s="57" t="s">
        <v>2565</v>
      </c>
    </row>
    <row r="1169" spans="2:9" ht="13.5" customHeight="1">
      <c r="B1169" s="57" t="s">
        <v>2525</v>
      </c>
      <c r="D1169" s="57" t="s">
        <v>2526</v>
      </c>
      <c r="F1169" s="57">
        <v>258</v>
      </c>
      <c r="G1169" s="57" t="s">
        <v>2685</v>
      </c>
      <c r="H1169" s="57" t="s">
        <v>2669</v>
      </c>
    </row>
    <row r="1170" spans="2:9" ht="13.5" customHeight="1">
      <c r="B1170" s="57" t="s">
        <v>2432</v>
      </c>
      <c r="D1170" s="57" t="s">
        <v>2433</v>
      </c>
      <c r="F1170" s="57">
        <v>5</v>
      </c>
      <c r="G1170" s="57" t="s">
        <v>2685</v>
      </c>
      <c r="H1170" s="57" t="s">
        <v>2666</v>
      </c>
    </row>
    <row r="1171" spans="2:9" ht="13.5" customHeight="1">
      <c r="B1171" s="57" t="s">
        <v>2568</v>
      </c>
      <c r="D1171" s="57" t="s">
        <v>2569</v>
      </c>
      <c r="F1171" s="57">
        <v>8</v>
      </c>
      <c r="G1171" s="57" t="s">
        <v>2685</v>
      </c>
      <c r="H1171" s="57" t="s">
        <v>2666</v>
      </c>
    </row>
    <row r="1172" spans="2:9" ht="13.5" customHeight="1">
      <c r="B1172" s="57" t="s">
        <v>2584</v>
      </c>
      <c r="D1172" s="57" t="s">
        <v>2585</v>
      </c>
      <c r="F1172" s="57">
        <v>9</v>
      </c>
      <c r="G1172" s="57" t="s">
        <v>2685</v>
      </c>
      <c r="H1172" s="57" t="s">
        <v>2666</v>
      </c>
    </row>
    <row r="1173" spans="2:9" ht="13.5" customHeight="1">
      <c r="B1173" s="57" t="s">
        <v>2326</v>
      </c>
      <c r="D1173" s="68">
        <v>1803468</v>
      </c>
      <c r="E1173" s="57" t="s">
        <v>8015</v>
      </c>
      <c r="F1173" s="57">
        <v>3</v>
      </c>
      <c r="G1173" s="57" t="s">
        <v>2685</v>
      </c>
      <c r="H1173" s="57" t="s">
        <v>2659</v>
      </c>
      <c r="I1173" s="57">
        <v>691321300006</v>
      </c>
    </row>
    <row r="1174" spans="2:9" ht="13.5" customHeight="1">
      <c r="B1174" s="57" t="s">
        <v>2328</v>
      </c>
      <c r="D1174" s="57">
        <v>1803455</v>
      </c>
      <c r="E1174" s="57" t="s">
        <v>8014</v>
      </c>
      <c r="F1174" s="57">
        <v>8</v>
      </c>
      <c r="G1174" s="57" t="s">
        <v>2685</v>
      </c>
      <c r="H1174" s="57" t="s">
        <v>2659</v>
      </c>
    </row>
    <row r="1175" spans="2:9" ht="13.5" customHeight="1">
      <c r="B1175" s="57" t="s">
        <v>2652</v>
      </c>
      <c r="D1175" s="57" t="s">
        <v>2653</v>
      </c>
      <c r="F1175" s="57">
        <v>10</v>
      </c>
      <c r="G1175" s="57" t="s">
        <v>2685</v>
      </c>
      <c r="H1175" s="57" t="s">
        <v>2659</v>
      </c>
      <c r="I1175" s="57" t="s">
        <v>2684</v>
      </c>
    </row>
    <row r="1176" spans="2:9" ht="13.5" customHeight="1">
      <c r="B1176" s="57" t="s">
        <v>2648</v>
      </c>
      <c r="D1176" s="57" t="s">
        <v>2649</v>
      </c>
      <c r="F1176" s="57">
        <v>11</v>
      </c>
      <c r="G1176" s="57" t="s">
        <v>2685</v>
      </c>
      <c r="H1176" s="57" t="s">
        <v>2659</v>
      </c>
      <c r="I1176" s="57" t="s">
        <v>2684</v>
      </c>
    </row>
    <row r="1177" spans="2:9" ht="13.5" customHeight="1">
      <c r="B1177" s="57" t="s">
        <v>2371</v>
      </c>
      <c r="D1177" s="57" t="s">
        <v>2372</v>
      </c>
      <c r="E1177" s="57" t="s">
        <v>5460</v>
      </c>
      <c r="F1177" s="57">
        <v>26</v>
      </c>
      <c r="G1177" s="57" t="s">
        <v>2685</v>
      </c>
      <c r="H1177" s="57" t="s">
        <v>2659</v>
      </c>
      <c r="I1177" s="57">
        <v>691321300004</v>
      </c>
    </row>
    <row r="1178" spans="2:9" ht="13.5" customHeight="1">
      <c r="B1178" s="57" t="s">
        <v>2377</v>
      </c>
      <c r="D1178" s="57">
        <v>1860883</v>
      </c>
      <c r="E1178" s="57" t="s">
        <v>8016</v>
      </c>
      <c r="F1178" s="57">
        <v>87</v>
      </c>
      <c r="G1178" s="57" t="s">
        <v>2685</v>
      </c>
      <c r="H1178" s="57" t="s">
        <v>2659</v>
      </c>
      <c r="I1178" s="57">
        <v>691361300005</v>
      </c>
    </row>
    <row r="1179" spans="2:9" ht="13.5" customHeight="1">
      <c r="B1179" s="57" t="s">
        <v>2650</v>
      </c>
      <c r="D1179" s="57" t="s">
        <v>2651</v>
      </c>
      <c r="F1179" s="57">
        <v>266</v>
      </c>
      <c r="G1179" s="57" t="s">
        <v>2685</v>
      </c>
      <c r="H1179" s="57" t="s">
        <v>2659</v>
      </c>
      <c r="I1179" s="57" t="s">
        <v>2684</v>
      </c>
    </row>
    <row r="1180" spans="2:9" ht="13.5" customHeight="1">
      <c r="B1180" s="57" t="s">
        <v>2370</v>
      </c>
      <c r="D1180" s="57">
        <v>61900511121</v>
      </c>
      <c r="F1180" s="57">
        <v>1</v>
      </c>
      <c r="G1180" s="57" t="s">
        <v>2685</v>
      </c>
      <c r="H1180" s="57" t="s">
        <v>2656</v>
      </c>
    </row>
    <row r="1181" spans="2:9" ht="13.5" customHeight="1">
      <c r="B1181" s="57" t="s">
        <v>2342</v>
      </c>
      <c r="D1181" s="57" t="s">
        <v>2343</v>
      </c>
      <c r="F1181" s="57">
        <v>1</v>
      </c>
      <c r="G1181" s="57" t="s">
        <v>2685</v>
      </c>
      <c r="H1181" s="57" t="s">
        <v>2656</v>
      </c>
    </row>
    <row r="1182" spans="2:9" ht="13.5" customHeight="1">
      <c r="B1182" s="57" t="s">
        <v>2375</v>
      </c>
      <c r="D1182" s="57" t="s">
        <v>2376</v>
      </c>
      <c r="F1182" s="57">
        <v>4</v>
      </c>
      <c r="G1182" s="57" t="s">
        <v>2685</v>
      </c>
      <c r="H1182" s="57" t="s">
        <v>2656</v>
      </c>
    </row>
    <row r="1183" spans="2:9" ht="13.5" customHeight="1">
      <c r="B1183" s="57" t="s">
        <v>2293</v>
      </c>
      <c r="D1183" s="57" t="s">
        <v>2294</v>
      </c>
      <c r="F1183" s="57">
        <v>5</v>
      </c>
      <c r="G1183" s="57" t="s">
        <v>2685</v>
      </c>
      <c r="H1183" s="57" t="s">
        <v>2656</v>
      </c>
    </row>
    <row r="1184" spans="2:9" ht="13.5" customHeight="1">
      <c r="B1184" s="57" t="s">
        <v>2340</v>
      </c>
      <c r="D1184" s="57" t="s">
        <v>2341</v>
      </c>
      <c r="F1184" s="57">
        <v>5</v>
      </c>
      <c r="G1184" s="57" t="s">
        <v>2685</v>
      </c>
      <c r="H1184" s="57" t="s">
        <v>2656</v>
      </c>
    </row>
    <row r="1185" spans="2:9" ht="13.5" customHeight="1">
      <c r="B1185" s="57" t="s">
        <v>2383</v>
      </c>
      <c r="D1185" s="57" t="s">
        <v>2384</v>
      </c>
      <c r="F1185" s="57">
        <v>76</v>
      </c>
      <c r="G1185" s="57" t="s">
        <v>2685</v>
      </c>
      <c r="H1185" s="57" t="s">
        <v>2656</v>
      </c>
    </row>
    <row r="1186" spans="2:9" ht="13.5" customHeight="1">
      <c r="B1186" s="57" t="s">
        <v>950</v>
      </c>
      <c r="D1186" s="57" t="s">
        <v>2324</v>
      </c>
      <c r="E1186" s="57" t="s">
        <v>2325</v>
      </c>
      <c r="F1186" s="57">
        <v>137</v>
      </c>
      <c r="G1186" s="57" t="s">
        <v>2685</v>
      </c>
      <c r="H1186" s="57" t="s">
        <v>2656</v>
      </c>
      <c r="I1186" s="57" t="s">
        <v>2325</v>
      </c>
    </row>
    <row r="1187" spans="2:9" ht="13.5" customHeight="1">
      <c r="B1187" s="57" t="s">
        <v>2381</v>
      </c>
      <c r="D1187" s="57" t="s">
        <v>2382</v>
      </c>
      <c r="F1187" s="57">
        <v>149</v>
      </c>
      <c r="G1187" s="57" t="s">
        <v>2685</v>
      </c>
      <c r="H1187" s="57" t="s">
        <v>2656</v>
      </c>
    </row>
    <row r="1188" spans="2:9" ht="13.5" customHeight="1">
      <c r="B1188" s="57" t="s">
        <v>952</v>
      </c>
      <c r="D1188" s="57" t="s">
        <v>2327</v>
      </c>
      <c r="E1188" s="57" t="s">
        <v>953</v>
      </c>
      <c r="F1188" s="57">
        <v>200</v>
      </c>
      <c r="G1188" s="57" t="s">
        <v>2685</v>
      </c>
      <c r="H1188" s="57" t="s">
        <v>2656</v>
      </c>
      <c r="I1188" s="57" t="s">
        <v>953</v>
      </c>
    </row>
    <row r="1189" spans="2:9" ht="13.5" customHeight="1">
      <c r="B1189" s="57" t="s">
        <v>2572</v>
      </c>
      <c r="D1189" s="57" t="s">
        <v>2573</v>
      </c>
      <c r="F1189" s="57">
        <v>3</v>
      </c>
      <c r="G1189" s="57" t="s">
        <v>2685</v>
      </c>
      <c r="H1189" s="57" t="s">
        <v>2670</v>
      </c>
    </row>
    <row r="1190" spans="2:9" ht="13.5" customHeight="1">
      <c r="B1190" s="57" t="s">
        <v>2605</v>
      </c>
      <c r="D1190" s="57" t="s">
        <v>2606</v>
      </c>
      <c r="F1190" s="57">
        <v>5</v>
      </c>
      <c r="G1190" s="57" t="s">
        <v>2685</v>
      </c>
      <c r="H1190" s="57" t="s">
        <v>2670</v>
      </c>
    </row>
    <row r="1191" spans="2:9" ht="13.5" customHeight="1">
      <c r="B1191" s="57" t="s">
        <v>1041</v>
      </c>
      <c r="D1191" s="57" t="s">
        <v>1042</v>
      </c>
      <c r="F1191" s="57">
        <v>8</v>
      </c>
      <c r="G1191" s="57" t="s">
        <v>2685</v>
      </c>
      <c r="H1191" s="57" t="s">
        <v>2670</v>
      </c>
    </row>
    <row r="1192" spans="2:9" ht="13.5" customHeight="1">
      <c r="B1192" s="57" t="s">
        <v>2570</v>
      </c>
      <c r="D1192" s="57" t="s">
        <v>2571</v>
      </c>
      <c r="E1192" s="57" t="s">
        <v>2571</v>
      </c>
      <c r="F1192" s="57">
        <v>9</v>
      </c>
      <c r="G1192" s="57" t="s">
        <v>2685</v>
      </c>
      <c r="H1192" s="57" t="s">
        <v>2670</v>
      </c>
    </row>
    <row r="1193" spans="2:9" ht="13.5" customHeight="1">
      <c r="B1193" s="57" t="s">
        <v>2574</v>
      </c>
      <c r="D1193" s="57" t="s">
        <v>2575</v>
      </c>
      <c r="E1193" s="57" t="s">
        <v>2575</v>
      </c>
      <c r="F1193" s="57">
        <v>9</v>
      </c>
      <c r="G1193" s="57" t="s">
        <v>2685</v>
      </c>
      <c r="H1193" s="57" t="s">
        <v>2670</v>
      </c>
      <c r="I1193" s="57" t="s">
        <v>2575</v>
      </c>
    </row>
    <row r="1194" spans="2:9" ht="13.5" customHeight="1">
      <c r="B1194" s="57" t="s">
        <v>2576</v>
      </c>
      <c r="D1194" s="57" t="s">
        <v>2577</v>
      </c>
      <c r="F1194" s="57">
        <v>10</v>
      </c>
      <c r="G1194" s="57" t="s">
        <v>2685</v>
      </c>
      <c r="H1194" s="57" t="s">
        <v>2670</v>
      </c>
    </row>
    <row r="1195" spans="2:9" ht="13.5" customHeight="1">
      <c r="B1195" s="57" t="s">
        <v>2556</v>
      </c>
      <c r="D1195" s="57">
        <v>22272031</v>
      </c>
      <c r="F1195" s="57">
        <v>29</v>
      </c>
      <c r="G1195" s="57" t="s">
        <v>2685</v>
      </c>
      <c r="H1195" s="57" t="s">
        <v>2670</v>
      </c>
    </row>
    <row r="1196" spans="2:9" ht="13.5" customHeight="1">
      <c r="B1196" s="57" t="s">
        <v>2562</v>
      </c>
      <c r="D1196" s="57" t="s">
        <v>2563</v>
      </c>
      <c r="F1196" s="57">
        <v>29</v>
      </c>
      <c r="G1196" s="57" t="s">
        <v>2685</v>
      </c>
      <c r="H1196" s="57" t="s">
        <v>2670</v>
      </c>
    </row>
    <row r="1197" spans="2:9" ht="13.5" customHeight="1">
      <c r="B1197" s="57" t="s">
        <v>2560</v>
      </c>
      <c r="D1197" s="57" t="s">
        <v>2561</v>
      </c>
      <c r="F1197" s="57">
        <v>39</v>
      </c>
      <c r="G1197" s="57" t="s">
        <v>2685</v>
      </c>
      <c r="H1197" s="57" t="s">
        <v>2670</v>
      </c>
    </row>
    <row r="1198" spans="2:9" ht="13.5" customHeight="1">
      <c r="B1198" s="57" t="s">
        <v>952</v>
      </c>
      <c r="D1198" s="57" t="s">
        <v>2327</v>
      </c>
      <c r="E1198" s="57" t="s">
        <v>2527</v>
      </c>
      <c r="F1198" s="57">
        <v>43</v>
      </c>
      <c r="G1198" s="57" t="s">
        <v>2685</v>
      </c>
      <c r="H1198" s="57" t="s">
        <v>2670</v>
      </c>
    </row>
    <row r="1199" spans="2:9" ht="13.5" customHeight="1">
      <c r="B1199" s="57" t="s">
        <v>2557</v>
      </c>
      <c r="D1199" s="68" t="s">
        <v>2558</v>
      </c>
      <c r="E1199" s="57" t="s">
        <v>2559</v>
      </c>
      <c r="F1199" s="57">
        <v>64</v>
      </c>
      <c r="G1199" s="57" t="s">
        <v>2685</v>
      </c>
      <c r="H1199" s="57" t="s">
        <v>2670</v>
      </c>
    </row>
    <row r="1200" spans="2:9" ht="13.5" customHeight="1">
      <c r="B1200" s="57" t="s">
        <v>2610</v>
      </c>
      <c r="D1200" s="57" t="s">
        <v>2611</v>
      </c>
      <c r="F1200" s="57">
        <v>8</v>
      </c>
      <c r="G1200" s="57" t="s">
        <v>2685</v>
      </c>
      <c r="H1200" s="57" t="s">
        <v>2679</v>
      </c>
    </row>
    <row r="1201" spans="2:9" ht="13.5" customHeight="1">
      <c r="D1201" s="57" t="s">
        <v>2642</v>
      </c>
      <c r="F1201" s="57">
        <v>1</v>
      </c>
      <c r="G1201" s="57" t="s">
        <v>2685</v>
      </c>
      <c r="H1201" s="57" t="s">
        <v>2678</v>
      </c>
    </row>
    <row r="1202" spans="2:9" ht="13.5" customHeight="1">
      <c r="B1202" s="57" t="s">
        <v>2607</v>
      </c>
      <c r="D1202" s="57" t="s">
        <v>2608</v>
      </c>
      <c r="F1202" s="57">
        <v>7</v>
      </c>
      <c r="G1202" s="57" t="s">
        <v>2685</v>
      </c>
      <c r="H1202" s="57" t="s">
        <v>2678</v>
      </c>
    </row>
    <row r="1203" spans="2:9" ht="13.5" customHeight="1">
      <c r="B1203" s="57" t="s">
        <v>2612</v>
      </c>
      <c r="D1203" s="57" t="s">
        <v>2613</v>
      </c>
      <c r="F1203" s="57">
        <v>314</v>
      </c>
      <c r="G1203" s="57" t="s">
        <v>2685</v>
      </c>
      <c r="H1203" s="57" t="s">
        <v>2678</v>
      </c>
    </row>
    <row r="1204" spans="2:9" ht="13.5" customHeight="1">
      <c r="B1204" s="57" t="s">
        <v>2634</v>
      </c>
      <c r="D1204" s="57" t="s">
        <v>2635</v>
      </c>
      <c r="F1204" s="57">
        <v>2</v>
      </c>
      <c r="G1204" s="57" t="s">
        <v>2685</v>
      </c>
      <c r="H1204" s="57" t="s">
        <v>2682</v>
      </c>
    </row>
    <row r="1205" spans="2:9" ht="13.5" customHeight="1">
      <c r="B1205" s="57" t="s">
        <v>2645</v>
      </c>
      <c r="D1205" s="57" t="s">
        <v>2646</v>
      </c>
      <c r="F1205" s="57">
        <v>2</v>
      </c>
      <c r="G1205" s="57" t="s">
        <v>2685</v>
      </c>
      <c r="H1205" s="57" t="s">
        <v>2660</v>
      </c>
    </row>
    <row r="1206" spans="2:9" ht="13.5" customHeight="1">
      <c r="B1206" s="57" t="s">
        <v>2586</v>
      </c>
      <c r="D1206" s="57" t="s">
        <v>2587</v>
      </c>
      <c r="F1206" s="57">
        <v>2</v>
      </c>
      <c r="G1206" s="57" t="s">
        <v>2685</v>
      </c>
      <c r="H1206" s="57" t="s">
        <v>2660</v>
      </c>
    </row>
    <row r="1207" spans="2:9" ht="13.5" customHeight="1">
      <c r="B1207" s="57" t="s">
        <v>2624</v>
      </c>
      <c r="D1207" s="68" t="s">
        <v>2625</v>
      </c>
      <c r="F1207" s="57">
        <v>55</v>
      </c>
      <c r="G1207" s="57" t="s">
        <v>2685</v>
      </c>
      <c r="H1207" s="57" t="s">
        <v>2660</v>
      </c>
    </row>
    <row r="1208" spans="2:9" ht="13.5" customHeight="1">
      <c r="B1208" s="57" t="s">
        <v>2540</v>
      </c>
      <c r="D1208" s="60" t="s">
        <v>8185</v>
      </c>
      <c r="F1208" s="57">
        <v>100</v>
      </c>
      <c r="G1208" s="57" t="s">
        <v>2685</v>
      </c>
      <c r="H1208" s="57" t="s">
        <v>2660</v>
      </c>
    </row>
    <row r="1209" spans="2:9" ht="13.5" customHeight="1">
      <c r="B1209" s="57" t="s">
        <v>2643</v>
      </c>
      <c r="D1209" s="57" t="s">
        <v>2644</v>
      </c>
      <c r="F1209" s="57">
        <v>113</v>
      </c>
      <c r="G1209" s="57" t="s">
        <v>2685</v>
      </c>
      <c r="H1209" s="57" t="s">
        <v>2660</v>
      </c>
    </row>
    <row r="1210" spans="2:9" ht="13.5" customHeight="1">
      <c r="B1210" s="57" t="s">
        <v>2337</v>
      </c>
      <c r="D1210" s="57" t="s">
        <v>2338</v>
      </c>
      <c r="E1210" s="57" t="s">
        <v>2339</v>
      </c>
      <c r="F1210" s="57">
        <v>165</v>
      </c>
      <c r="G1210" s="57" t="s">
        <v>2685</v>
      </c>
      <c r="H1210" s="57" t="s">
        <v>2660</v>
      </c>
    </row>
    <row r="1211" spans="2:9" ht="13.5" customHeight="1">
      <c r="B1211" s="57" t="s">
        <v>2598</v>
      </c>
      <c r="D1211" s="57" t="s">
        <v>2599</v>
      </c>
      <c r="E1211" s="57" t="s">
        <v>2600</v>
      </c>
      <c r="F1211" s="57">
        <v>277</v>
      </c>
      <c r="G1211" s="57" t="s">
        <v>2685</v>
      </c>
      <c r="H1211" s="57" t="s">
        <v>2660</v>
      </c>
      <c r="I1211" s="57" t="s">
        <v>2600</v>
      </c>
    </row>
    <row r="1212" spans="2:9" ht="13.5" customHeight="1">
      <c r="B1212" s="57" t="s">
        <v>2538</v>
      </c>
      <c r="D1212" s="57" t="s">
        <v>2539</v>
      </c>
      <c r="F1212" s="57">
        <v>315</v>
      </c>
      <c r="G1212" s="57" t="s">
        <v>2685</v>
      </c>
      <c r="H1212" s="57" t="s">
        <v>2660</v>
      </c>
    </row>
    <row r="1213" spans="2:9" ht="13.5" customHeight="1">
      <c r="B1213" s="57" t="s">
        <v>2622</v>
      </c>
      <c r="D1213" s="68" t="s">
        <v>2623</v>
      </c>
      <c r="F1213" s="57">
        <v>427</v>
      </c>
      <c r="G1213" s="57" t="s">
        <v>2685</v>
      </c>
      <c r="H1213" s="57" t="s">
        <v>2660</v>
      </c>
    </row>
    <row r="1214" spans="2:9" ht="13.5" customHeight="1">
      <c r="B1214" s="57" t="s">
        <v>2550</v>
      </c>
      <c r="D1214" s="57">
        <v>1843075</v>
      </c>
      <c r="E1214" s="57" t="s">
        <v>2551</v>
      </c>
      <c r="F1214" s="57">
        <v>46</v>
      </c>
      <c r="G1214" s="57" t="s">
        <v>2685</v>
      </c>
      <c r="H1214" s="57" t="s">
        <v>2676</v>
      </c>
      <c r="I1214" s="57" t="s">
        <v>2551</v>
      </c>
    </row>
    <row r="1215" spans="2:9" ht="13.5" customHeight="1">
      <c r="B1215" s="57" t="s">
        <v>2620</v>
      </c>
      <c r="D1215" s="68">
        <v>1778001</v>
      </c>
      <c r="E1215" s="68" t="s">
        <v>2621</v>
      </c>
      <c r="F1215" s="57">
        <v>47</v>
      </c>
      <c r="G1215" s="57" t="s">
        <v>2685</v>
      </c>
      <c r="H1215" s="57" t="s">
        <v>2676</v>
      </c>
      <c r="I1215" s="57" t="s">
        <v>2621</v>
      </c>
    </row>
    <row r="1216" spans="2:9" ht="13.5" customHeight="1">
      <c r="B1216" s="57" t="s">
        <v>2588</v>
      </c>
      <c r="D1216" s="68">
        <v>1857906</v>
      </c>
      <c r="E1216" s="57" t="s">
        <v>2589</v>
      </c>
      <c r="F1216" s="57">
        <v>49</v>
      </c>
      <c r="G1216" s="57" t="s">
        <v>2685</v>
      </c>
      <c r="H1216" s="57" t="s">
        <v>2676</v>
      </c>
      <c r="I1216" s="57" t="s">
        <v>2589</v>
      </c>
    </row>
    <row r="1217" spans="2:9" ht="13.5" customHeight="1">
      <c r="B1217" s="57" t="s">
        <v>2545</v>
      </c>
      <c r="D1217" s="57">
        <v>1803594</v>
      </c>
      <c r="E1217" s="92" t="s">
        <v>2546</v>
      </c>
      <c r="F1217" s="57">
        <v>91</v>
      </c>
      <c r="G1217" s="57" t="s">
        <v>2685</v>
      </c>
      <c r="H1217" s="57" t="s">
        <v>2676</v>
      </c>
      <c r="I1217" s="57" t="s">
        <v>2546</v>
      </c>
    </row>
    <row r="1218" spans="2:9" ht="13.5" customHeight="1">
      <c r="B1218" s="57" t="s">
        <v>2547</v>
      </c>
      <c r="D1218" s="57">
        <v>1803581</v>
      </c>
      <c r="E1218" s="57" t="s">
        <v>2548</v>
      </c>
      <c r="F1218" s="57">
        <v>98</v>
      </c>
      <c r="G1218" s="57" t="s">
        <v>2685</v>
      </c>
      <c r="H1218" s="57" t="s">
        <v>2676</v>
      </c>
      <c r="I1218" s="57" t="s">
        <v>2548</v>
      </c>
    </row>
    <row r="1219" spans="2:9" ht="13.5" customHeight="1">
      <c r="B1219" s="57" t="s">
        <v>2554</v>
      </c>
      <c r="D1219" s="57">
        <v>1843091</v>
      </c>
      <c r="E1219" s="57" t="s">
        <v>2555</v>
      </c>
      <c r="F1219" s="57">
        <v>13</v>
      </c>
      <c r="G1219" s="57" t="s">
        <v>2685</v>
      </c>
      <c r="H1219" s="57" t="s">
        <v>2671</v>
      </c>
      <c r="I1219" s="57" t="s">
        <v>2555</v>
      </c>
    </row>
    <row r="1220" spans="2:9" ht="13.5" customHeight="1">
      <c r="B1220" s="57" t="s">
        <v>2552</v>
      </c>
      <c r="D1220" s="57">
        <v>1843088</v>
      </c>
      <c r="E1220" s="57" t="s">
        <v>2553</v>
      </c>
      <c r="F1220" s="57">
        <v>44</v>
      </c>
      <c r="G1220" s="57" t="s">
        <v>2685</v>
      </c>
      <c r="H1220" s="57" t="s">
        <v>2671</v>
      </c>
      <c r="I1220" s="57" t="s">
        <v>2553</v>
      </c>
    </row>
    <row r="1221" spans="2:9" ht="13.5" customHeight="1">
      <c r="B1221" s="57" t="s">
        <v>2578</v>
      </c>
      <c r="D1221" s="68">
        <v>1776524</v>
      </c>
      <c r="E1221" s="57" t="s">
        <v>2579</v>
      </c>
      <c r="F1221" s="57">
        <v>45</v>
      </c>
      <c r="G1221" s="57" t="s">
        <v>2685</v>
      </c>
      <c r="H1221" s="57" t="s">
        <v>2671</v>
      </c>
    </row>
    <row r="1222" spans="2:9" ht="13.5" customHeight="1">
      <c r="B1222" s="57" t="s">
        <v>2528</v>
      </c>
      <c r="D1222" s="57">
        <v>1803439</v>
      </c>
      <c r="E1222" s="57" t="s">
        <v>2529</v>
      </c>
      <c r="F1222" s="57">
        <v>58</v>
      </c>
      <c r="G1222" s="57" t="s">
        <v>2685</v>
      </c>
      <c r="H1222" s="57" t="s">
        <v>2671</v>
      </c>
      <c r="I1222" s="57" t="s">
        <v>2529</v>
      </c>
    </row>
    <row r="1223" spans="2:9" ht="13.5" customHeight="1">
      <c r="B1223" s="57" t="s">
        <v>2647</v>
      </c>
      <c r="D1223" s="57">
        <v>1803578</v>
      </c>
      <c r="E1223" s="57">
        <v>691321300002</v>
      </c>
      <c r="F1223" s="57">
        <v>114</v>
      </c>
      <c r="G1223" s="57" t="s">
        <v>2685</v>
      </c>
      <c r="H1223" s="57" t="s">
        <v>2671</v>
      </c>
      <c r="I1223" s="57">
        <v>691321300002</v>
      </c>
    </row>
    <row r="1224" spans="2:9" ht="13.5" customHeight="1">
      <c r="B1224" s="57" t="s">
        <v>2618</v>
      </c>
      <c r="D1224" s="57">
        <v>1803578</v>
      </c>
      <c r="E1224" s="57" t="s">
        <v>2619</v>
      </c>
      <c r="F1224" s="57">
        <v>406</v>
      </c>
      <c r="G1224" s="57" t="s">
        <v>2685</v>
      </c>
      <c r="H1224" s="57" t="s">
        <v>2671</v>
      </c>
      <c r="I1224" s="57" t="s">
        <v>2619</v>
      </c>
    </row>
    <row r="1225" spans="2:9" ht="13.5" customHeight="1">
      <c r="B1225" s="57" t="s">
        <v>2144</v>
      </c>
      <c r="D1225" s="57" t="s">
        <v>2145</v>
      </c>
      <c r="F1225" s="57">
        <v>1</v>
      </c>
      <c r="G1225" s="57" t="s">
        <v>2290</v>
      </c>
      <c r="H1225" s="57" t="s">
        <v>343</v>
      </c>
    </row>
    <row r="1226" spans="2:9" ht="13.5" customHeight="1">
      <c r="B1226" s="57" t="s">
        <v>2094</v>
      </c>
      <c r="D1226" s="57" t="s">
        <v>2095</v>
      </c>
      <c r="F1226" s="57">
        <v>2</v>
      </c>
      <c r="G1226" s="57" t="s">
        <v>2290</v>
      </c>
      <c r="H1226" s="57" t="s">
        <v>343</v>
      </c>
    </row>
    <row r="1227" spans="2:9" ht="13.5" customHeight="1">
      <c r="B1227" s="57" t="s">
        <v>2100</v>
      </c>
      <c r="D1227" s="57" t="s">
        <v>2101</v>
      </c>
      <c r="F1227" s="57">
        <v>2</v>
      </c>
      <c r="G1227" s="57" t="s">
        <v>2290</v>
      </c>
      <c r="H1227" s="57" t="s">
        <v>343</v>
      </c>
    </row>
    <row r="1228" spans="2:9" ht="13.5" customHeight="1">
      <c r="B1228" s="57" t="s">
        <v>2157</v>
      </c>
      <c r="D1228" s="57" t="s">
        <v>2158</v>
      </c>
      <c r="F1228" s="57">
        <v>2</v>
      </c>
      <c r="G1228" s="57" t="s">
        <v>2290</v>
      </c>
      <c r="H1228" s="57" t="s">
        <v>343</v>
      </c>
    </row>
    <row r="1229" spans="2:9" ht="13.5" customHeight="1">
      <c r="B1229" s="57" t="s">
        <v>1886</v>
      </c>
      <c r="D1229" s="57" t="s">
        <v>1886</v>
      </c>
      <c r="F1229" s="57">
        <v>2</v>
      </c>
      <c r="G1229" s="57" t="s">
        <v>2290</v>
      </c>
      <c r="H1229" s="57" t="s">
        <v>343</v>
      </c>
    </row>
    <row r="1230" spans="2:9" ht="13.5" customHeight="1">
      <c r="B1230" s="57" t="s">
        <v>2138</v>
      </c>
      <c r="D1230" s="57" t="s">
        <v>2139</v>
      </c>
      <c r="E1230" s="57" t="s">
        <v>2140</v>
      </c>
      <c r="F1230" s="57">
        <v>2</v>
      </c>
      <c r="G1230" s="57" t="s">
        <v>2290</v>
      </c>
      <c r="H1230" s="57" t="s">
        <v>343</v>
      </c>
    </row>
    <row r="1231" spans="2:9" ht="13.5" customHeight="1">
      <c r="B1231" s="57" t="s">
        <v>2129</v>
      </c>
      <c r="D1231" s="57" t="s">
        <v>2130</v>
      </c>
      <c r="F1231" s="57">
        <v>4</v>
      </c>
      <c r="G1231" s="57" t="s">
        <v>2290</v>
      </c>
      <c r="H1231" s="57" t="s">
        <v>343</v>
      </c>
    </row>
    <row r="1232" spans="2:9" ht="13.5" customHeight="1">
      <c r="B1232" s="57" t="s">
        <v>2131</v>
      </c>
      <c r="D1232" s="57" t="s">
        <v>2132</v>
      </c>
      <c r="F1232" s="57">
        <v>4</v>
      </c>
      <c r="G1232" s="57" t="s">
        <v>2290</v>
      </c>
      <c r="H1232" s="57" t="s">
        <v>343</v>
      </c>
    </row>
    <row r="1233" spans="2:9" ht="13.5" customHeight="1">
      <c r="B1233" s="57" t="s">
        <v>2141</v>
      </c>
      <c r="D1233" s="68" t="s">
        <v>2142</v>
      </c>
      <c r="E1233" s="57" t="s">
        <v>2143</v>
      </c>
      <c r="F1233" s="57">
        <v>4</v>
      </c>
      <c r="G1233" s="57" t="s">
        <v>2290</v>
      </c>
      <c r="H1233" s="57" t="s">
        <v>343</v>
      </c>
      <c r="I1233" s="68"/>
    </row>
    <row r="1234" spans="2:9" ht="13.5" customHeight="1">
      <c r="D1234" s="57" t="s">
        <v>2167</v>
      </c>
      <c r="F1234" s="57">
        <v>5</v>
      </c>
      <c r="G1234" s="57" t="s">
        <v>2290</v>
      </c>
      <c r="H1234" s="57" t="s">
        <v>343</v>
      </c>
    </row>
    <row r="1235" spans="2:9" ht="13.5" customHeight="1">
      <c r="B1235" s="57" t="s">
        <v>2127</v>
      </c>
      <c r="D1235" s="57" t="s">
        <v>2128</v>
      </c>
      <c r="F1235" s="57">
        <v>5</v>
      </c>
      <c r="G1235" s="57" t="s">
        <v>2290</v>
      </c>
      <c r="H1235" s="57" t="s">
        <v>343</v>
      </c>
    </row>
    <row r="1236" spans="2:9" ht="13.5" customHeight="1">
      <c r="B1236" s="57" t="s">
        <v>2104</v>
      </c>
      <c r="D1236" s="57" t="s">
        <v>2105</v>
      </c>
      <c r="E1236" s="57" t="s">
        <v>2106</v>
      </c>
      <c r="F1236" s="57">
        <v>9</v>
      </c>
      <c r="G1236" s="57" t="s">
        <v>2290</v>
      </c>
      <c r="H1236" s="57" t="s">
        <v>343</v>
      </c>
    </row>
    <row r="1237" spans="2:9" ht="13.5" customHeight="1">
      <c r="B1237" s="57" t="s">
        <v>2092</v>
      </c>
      <c r="D1237" s="57" t="s">
        <v>2093</v>
      </c>
      <c r="F1237" s="57">
        <v>10</v>
      </c>
      <c r="G1237" s="57" t="s">
        <v>2290</v>
      </c>
      <c r="H1237" s="57" t="s">
        <v>343</v>
      </c>
    </row>
    <row r="1238" spans="2:9" ht="13.5" customHeight="1">
      <c r="B1238" s="57" t="s">
        <v>2102</v>
      </c>
      <c r="D1238" s="57" t="s">
        <v>2103</v>
      </c>
      <c r="F1238" s="57">
        <v>10</v>
      </c>
      <c r="G1238" s="57" t="s">
        <v>2290</v>
      </c>
      <c r="H1238" s="57" t="s">
        <v>343</v>
      </c>
    </row>
    <row r="1239" spans="2:9" ht="13.5" customHeight="1">
      <c r="B1239" s="57" t="s">
        <v>2007</v>
      </c>
      <c r="D1239" s="57" t="s">
        <v>2008</v>
      </c>
      <c r="F1239" s="57">
        <v>11</v>
      </c>
      <c r="G1239" s="57" t="s">
        <v>2290</v>
      </c>
      <c r="H1239" s="57" t="s">
        <v>343</v>
      </c>
    </row>
    <row r="1240" spans="2:9" ht="13.5" customHeight="1">
      <c r="B1240" s="57" t="s">
        <v>2133</v>
      </c>
      <c r="D1240" s="57" t="s">
        <v>2134</v>
      </c>
      <c r="E1240" s="57" t="s">
        <v>2135</v>
      </c>
      <c r="F1240" s="57">
        <v>13</v>
      </c>
      <c r="G1240" s="57" t="s">
        <v>2290</v>
      </c>
      <c r="H1240" s="57" t="s">
        <v>343</v>
      </c>
    </row>
    <row r="1241" spans="2:9" ht="13.5" customHeight="1">
      <c r="B1241" s="57" t="s">
        <v>2117</v>
      </c>
      <c r="D1241" s="57" t="s">
        <v>2118</v>
      </c>
      <c r="F1241" s="57">
        <v>18</v>
      </c>
      <c r="G1241" s="57" t="s">
        <v>2290</v>
      </c>
      <c r="H1241" s="57" t="s">
        <v>343</v>
      </c>
    </row>
    <row r="1242" spans="2:9" ht="13.5" customHeight="1">
      <c r="B1242" s="57" t="s">
        <v>2109</v>
      </c>
      <c r="D1242" s="57" t="s">
        <v>2110</v>
      </c>
      <c r="F1242" s="57">
        <v>20</v>
      </c>
      <c r="G1242" s="57" t="s">
        <v>2290</v>
      </c>
      <c r="H1242" s="57" t="s">
        <v>343</v>
      </c>
    </row>
    <row r="1243" spans="2:9" ht="13.5" customHeight="1">
      <c r="B1243" s="57" t="s">
        <v>2076</v>
      </c>
      <c r="D1243" s="57" t="s">
        <v>2077</v>
      </c>
      <c r="F1243" s="57">
        <v>24</v>
      </c>
      <c r="G1243" s="57" t="s">
        <v>2290</v>
      </c>
      <c r="H1243" s="57" t="s">
        <v>343</v>
      </c>
    </row>
    <row r="1244" spans="2:9" ht="13.5" customHeight="1">
      <c r="B1244" s="57" t="s">
        <v>1985</v>
      </c>
      <c r="D1244" s="57" t="s">
        <v>1986</v>
      </c>
      <c r="F1244" s="57">
        <v>28</v>
      </c>
      <c r="G1244" s="57" t="s">
        <v>2290</v>
      </c>
      <c r="H1244" s="57" t="s">
        <v>343</v>
      </c>
    </row>
    <row r="1245" spans="2:9" ht="13.5" customHeight="1">
      <c r="B1245" s="57" t="s">
        <v>2078</v>
      </c>
      <c r="D1245" s="57" t="s">
        <v>2079</v>
      </c>
      <c r="E1245" s="57" t="s">
        <v>2080</v>
      </c>
      <c r="F1245" s="57">
        <v>30</v>
      </c>
      <c r="G1245" s="57" t="s">
        <v>2290</v>
      </c>
      <c r="H1245" s="57" t="s">
        <v>343</v>
      </c>
    </row>
    <row r="1246" spans="2:9" ht="13.5" customHeight="1">
      <c r="B1246" s="57" t="s">
        <v>2084</v>
      </c>
      <c r="D1246" s="57" t="s">
        <v>2085</v>
      </c>
      <c r="F1246" s="57">
        <v>38</v>
      </c>
      <c r="G1246" s="57" t="s">
        <v>2290</v>
      </c>
      <c r="H1246" s="57" t="s">
        <v>343</v>
      </c>
    </row>
    <row r="1247" spans="2:9" ht="13.5" customHeight="1">
      <c r="B1247" s="57" t="s">
        <v>2152</v>
      </c>
      <c r="D1247" s="57" t="s">
        <v>2153</v>
      </c>
      <c r="F1247" s="57">
        <v>70</v>
      </c>
      <c r="G1247" s="57" t="s">
        <v>2290</v>
      </c>
      <c r="H1247" s="57" t="s">
        <v>343</v>
      </c>
    </row>
    <row r="1248" spans="2:9" ht="13.5" customHeight="1">
      <c r="B1248" s="57" t="s">
        <v>2111</v>
      </c>
      <c r="D1248" s="57" t="s">
        <v>2112</v>
      </c>
      <c r="F1248" s="57">
        <v>100</v>
      </c>
      <c r="G1248" s="57" t="s">
        <v>2290</v>
      </c>
      <c r="H1248" s="57" t="s">
        <v>343</v>
      </c>
    </row>
    <row r="1249" spans="2:8" ht="13.5" customHeight="1">
      <c r="B1249" s="57" t="s">
        <v>2116</v>
      </c>
      <c r="D1249" s="57" t="s">
        <v>743</v>
      </c>
      <c r="F1249" s="57">
        <v>101</v>
      </c>
      <c r="G1249" s="57" t="s">
        <v>2290</v>
      </c>
      <c r="H1249" s="57" t="s">
        <v>343</v>
      </c>
    </row>
    <row r="1250" spans="2:8" ht="13.5" customHeight="1">
      <c r="B1250" s="57" t="s">
        <v>2114</v>
      </c>
      <c r="D1250" s="57" t="s">
        <v>2115</v>
      </c>
      <c r="F1250" s="57">
        <v>113</v>
      </c>
      <c r="G1250" s="57" t="s">
        <v>2290</v>
      </c>
      <c r="H1250" s="57" t="s">
        <v>343</v>
      </c>
    </row>
    <row r="1251" spans="2:8" ht="25.5" customHeight="1">
      <c r="B1251" s="57" t="s">
        <v>2195</v>
      </c>
      <c r="D1251" s="57" t="s">
        <v>2202</v>
      </c>
      <c r="E1251" s="57" t="s">
        <v>2203</v>
      </c>
      <c r="F1251" s="57">
        <v>1</v>
      </c>
      <c r="G1251" s="57" t="s">
        <v>2290</v>
      </c>
      <c r="H1251" s="57" t="s">
        <v>344</v>
      </c>
    </row>
    <row r="1252" spans="2:8" ht="13.5" customHeight="1">
      <c r="B1252" s="57" t="s">
        <v>2198</v>
      </c>
      <c r="D1252" s="57" t="s">
        <v>2199</v>
      </c>
      <c r="F1252" s="57">
        <v>3</v>
      </c>
      <c r="G1252" s="57" t="s">
        <v>2290</v>
      </c>
      <c r="H1252" s="57" t="s">
        <v>344</v>
      </c>
    </row>
    <row r="1253" spans="2:8" ht="13.5" customHeight="1">
      <c r="B1253" s="57" t="s">
        <v>2191</v>
      </c>
      <c r="D1253" s="57" t="s">
        <v>2192</v>
      </c>
      <c r="F1253" s="57">
        <v>10</v>
      </c>
      <c r="G1253" s="57" t="s">
        <v>2290</v>
      </c>
      <c r="H1253" s="57" t="s">
        <v>344</v>
      </c>
    </row>
    <row r="1254" spans="2:8" ht="13.5" customHeight="1">
      <c r="B1254" s="57" t="s">
        <v>2072</v>
      </c>
      <c r="D1254" s="57" t="s">
        <v>2072</v>
      </c>
      <c r="F1254" s="57">
        <v>18</v>
      </c>
      <c r="G1254" s="57" t="s">
        <v>2290</v>
      </c>
      <c r="H1254" s="57" t="s">
        <v>344</v>
      </c>
    </row>
    <row r="1255" spans="2:8" ht="13.5" customHeight="1">
      <c r="B1255" s="57" t="s">
        <v>2187</v>
      </c>
      <c r="D1255" s="57" t="s">
        <v>2188</v>
      </c>
      <c r="F1255" s="57">
        <v>18</v>
      </c>
      <c r="G1255" s="57" t="s">
        <v>2290</v>
      </c>
      <c r="H1255" s="57" t="s">
        <v>344</v>
      </c>
    </row>
    <row r="1256" spans="2:8" ht="13.5" customHeight="1">
      <c r="B1256" s="57" t="s">
        <v>2090</v>
      </c>
      <c r="D1256" s="57" t="s">
        <v>2091</v>
      </c>
      <c r="F1256" s="57">
        <v>22</v>
      </c>
      <c r="G1256" s="57" t="s">
        <v>2290</v>
      </c>
      <c r="H1256" s="57" t="s">
        <v>344</v>
      </c>
    </row>
    <row r="1257" spans="2:8" ht="13.5" customHeight="1">
      <c r="B1257" s="57" t="s">
        <v>1967</v>
      </c>
      <c r="D1257" s="57" t="s">
        <v>1968</v>
      </c>
      <c r="F1257" s="57">
        <v>28</v>
      </c>
      <c r="G1257" s="57" t="s">
        <v>2290</v>
      </c>
      <c r="H1257" s="57" t="s">
        <v>344</v>
      </c>
    </row>
    <row r="1258" spans="2:8" ht="13.5" customHeight="1">
      <c r="B1258" s="57" t="s">
        <v>2107</v>
      </c>
      <c r="D1258" s="57" t="s">
        <v>320</v>
      </c>
      <c r="E1258" s="57" t="s">
        <v>2108</v>
      </c>
      <c r="F1258" s="57">
        <v>29</v>
      </c>
      <c r="G1258" s="57" t="s">
        <v>2290</v>
      </c>
      <c r="H1258" s="57" t="s">
        <v>344</v>
      </c>
    </row>
    <row r="1259" spans="2:8" ht="13.5" customHeight="1">
      <c r="B1259" s="57" t="s">
        <v>1916</v>
      </c>
      <c r="D1259" s="57" t="s">
        <v>1917</v>
      </c>
      <c r="F1259" s="57">
        <v>32</v>
      </c>
      <c r="G1259" s="57" t="s">
        <v>2290</v>
      </c>
      <c r="H1259" s="57" t="s">
        <v>344</v>
      </c>
    </row>
    <row r="1260" spans="2:8" ht="13.5" customHeight="1">
      <c r="B1260" s="57" t="s">
        <v>2147</v>
      </c>
      <c r="D1260" s="57" t="s">
        <v>2148</v>
      </c>
      <c r="E1260" s="57" t="s">
        <v>2149</v>
      </c>
      <c r="F1260" s="57">
        <v>34</v>
      </c>
      <c r="G1260" s="57" t="s">
        <v>2290</v>
      </c>
      <c r="H1260" s="57" t="s">
        <v>344</v>
      </c>
    </row>
    <row r="1261" spans="2:8" ht="13.5" customHeight="1">
      <c r="B1261" s="57" t="s">
        <v>2056</v>
      </c>
      <c r="D1261" s="57" t="s">
        <v>2057</v>
      </c>
      <c r="F1261" s="57">
        <v>47</v>
      </c>
      <c r="G1261" s="57" t="s">
        <v>2290</v>
      </c>
      <c r="H1261" s="57" t="s">
        <v>344</v>
      </c>
    </row>
    <row r="1262" spans="2:8" ht="13.5" customHeight="1">
      <c r="D1262" s="57" t="s">
        <v>1696</v>
      </c>
      <c r="F1262" s="57">
        <v>63</v>
      </c>
      <c r="G1262" s="57" t="s">
        <v>2290</v>
      </c>
      <c r="H1262" s="57" t="s">
        <v>344</v>
      </c>
    </row>
    <row r="1263" spans="2:8" ht="13.5" customHeight="1">
      <c r="B1263" s="57" t="s">
        <v>2154</v>
      </c>
      <c r="D1263" s="57" t="s">
        <v>2155</v>
      </c>
      <c r="F1263" s="57">
        <v>122</v>
      </c>
      <c r="G1263" s="57" t="s">
        <v>2290</v>
      </c>
      <c r="H1263" s="57" t="s">
        <v>344</v>
      </c>
    </row>
    <row r="1264" spans="2:8" ht="13.5" customHeight="1">
      <c r="B1264" s="57" t="s">
        <v>2185</v>
      </c>
      <c r="D1264" s="57" t="s">
        <v>2186</v>
      </c>
      <c r="F1264" s="57">
        <v>122</v>
      </c>
      <c r="G1264" s="57" t="s">
        <v>2290</v>
      </c>
      <c r="H1264" s="57" t="s">
        <v>344</v>
      </c>
    </row>
    <row r="1265" spans="2:8" ht="13.5" customHeight="1">
      <c r="B1265" s="57" t="s">
        <v>2180</v>
      </c>
      <c r="D1265" s="57" t="s">
        <v>2181</v>
      </c>
      <c r="F1265" s="57">
        <v>155</v>
      </c>
      <c r="G1265" s="57" t="s">
        <v>2290</v>
      </c>
      <c r="H1265" s="57" t="s">
        <v>344</v>
      </c>
    </row>
    <row r="1266" spans="2:8" ht="13.5" customHeight="1">
      <c r="B1266" s="57" t="s">
        <v>1959</v>
      </c>
      <c r="D1266" s="57" t="s">
        <v>1960</v>
      </c>
      <c r="F1266" s="57">
        <v>199</v>
      </c>
      <c r="G1266" s="57" t="s">
        <v>2290</v>
      </c>
      <c r="H1266" s="57" t="s">
        <v>344</v>
      </c>
    </row>
    <row r="1267" spans="2:8" ht="13.5" customHeight="1">
      <c r="D1267" s="57" t="s">
        <v>2190</v>
      </c>
      <c r="F1267" s="57">
        <v>3</v>
      </c>
      <c r="G1267" s="57" t="s">
        <v>2290</v>
      </c>
      <c r="H1267" s="57" t="s">
        <v>345</v>
      </c>
    </row>
    <row r="1268" spans="2:8" ht="13.5" customHeight="1">
      <c r="B1268" s="57" t="s">
        <v>2195</v>
      </c>
      <c r="D1268" s="57" t="s">
        <v>2196</v>
      </c>
      <c r="E1268" s="57" t="s">
        <v>2197</v>
      </c>
      <c r="F1268" s="57">
        <v>3</v>
      </c>
      <c r="G1268" s="57" t="s">
        <v>2290</v>
      </c>
      <c r="H1268" s="57" t="s">
        <v>345</v>
      </c>
    </row>
    <row r="1269" spans="2:8" ht="13.5" customHeight="1">
      <c r="B1269" s="57" t="s">
        <v>2123</v>
      </c>
      <c r="D1269" s="57" t="s">
        <v>2124</v>
      </c>
      <c r="F1269" s="57">
        <v>5</v>
      </c>
      <c r="G1269" s="57" t="s">
        <v>2290</v>
      </c>
      <c r="H1269" s="57" t="s">
        <v>345</v>
      </c>
    </row>
    <row r="1270" spans="2:8" ht="13.5" customHeight="1">
      <c r="B1270" s="57" t="s">
        <v>2046</v>
      </c>
      <c r="D1270" s="57" t="s">
        <v>2047</v>
      </c>
      <c r="F1270" s="57">
        <v>5</v>
      </c>
      <c r="G1270" s="57" t="s">
        <v>2290</v>
      </c>
      <c r="H1270" s="57" t="s">
        <v>345</v>
      </c>
    </row>
    <row r="1271" spans="2:8" ht="13.5" customHeight="1">
      <c r="B1271" s="57" t="s">
        <v>2073</v>
      </c>
      <c r="D1271" s="57" t="s">
        <v>2073</v>
      </c>
      <c r="E1271" s="57" t="s">
        <v>2074</v>
      </c>
      <c r="F1271" s="57">
        <v>10</v>
      </c>
      <c r="G1271" s="57" t="s">
        <v>2290</v>
      </c>
      <c r="H1271" s="57" t="s">
        <v>345</v>
      </c>
    </row>
    <row r="1272" spans="2:8" ht="13.5" customHeight="1">
      <c r="B1272" s="57" t="s">
        <v>2193</v>
      </c>
      <c r="D1272" s="57" t="s">
        <v>2194</v>
      </c>
      <c r="F1272" s="57">
        <v>10</v>
      </c>
      <c r="G1272" s="57" t="s">
        <v>2290</v>
      </c>
      <c r="H1272" s="57" t="s">
        <v>345</v>
      </c>
    </row>
    <row r="1273" spans="2:8" ht="13.5" customHeight="1">
      <c r="B1273" s="57" t="s">
        <v>2071</v>
      </c>
      <c r="D1273" s="57" t="s">
        <v>2071</v>
      </c>
      <c r="F1273" s="57">
        <v>12</v>
      </c>
      <c r="G1273" s="57" t="s">
        <v>2290</v>
      </c>
      <c r="H1273" s="57" t="s">
        <v>345</v>
      </c>
    </row>
    <row r="1274" spans="2:8" ht="13.5" customHeight="1">
      <c r="B1274" s="57" t="s">
        <v>2067</v>
      </c>
      <c r="D1274" s="57" t="s">
        <v>2068</v>
      </c>
      <c r="E1274" s="57" t="s">
        <v>2067</v>
      </c>
      <c r="F1274" s="57">
        <v>14</v>
      </c>
      <c r="G1274" s="57" t="s">
        <v>2290</v>
      </c>
      <c r="H1274" s="57" t="s">
        <v>345</v>
      </c>
    </row>
    <row r="1275" spans="2:8" ht="13.5" customHeight="1">
      <c r="B1275" s="57" t="s">
        <v>2183</v>
      </c>
      <c r="D1275" s="57" t="s">
        <v>2183</v>
      </c>
      <c r="E1275" s="57" t="s">
        <v>2184</v>
      </c>
      <c r="F1275" s="57">
        <v>15</v>
      </c>
      <c r="G1275" s="57" t="s">
        <v>2290</v>
      </c>
      <c r="H1275" s="57" t="s">
        <v>345</v>
      </c>
    </row>
    <row r="1276" spans="2:8" ht="13.5" customHeight="1">
      <c r="B1276" s="57" t="s">
        <v>2069</v>
      </c>
      <c r="D1276" s="57" t="s">
        <v>2070</v>
      </c>
      <c r="E1276" s="57" t="s">
        <v>2069</v>
      </c>
      <c r="F1276" s="57">
        <v>15</v>
      </c>
      <c r="G1276" s="57" t="s">
        <v>2290</v>
      </c>
      <c r="H1276" s="57" t="s">
        <v>345</v>
      </c>
    </row>
    <row r="1277" spans="2:8" ht="13.5" customHeight="1">
      <c r="B1277" s="57" t="s">
        <v>2021</v>
      </c>
      <c r="D1277" s="57" t="s">
        <v>2022</v>
      </c>
      <c r="F1277" s="57">
        <v>17</v>
      </c>
      <c r="G1277" s="57" t="s">
        <v>2290</v>
      </c>
      <c r="H1277" s="57" t="s">
        <v>345</v>
      </c>
    </row>
    <row r="1278" spans="2:8" ht="13.5" customHeight="1">
      <c r="B1278" s="57" t="s">
        <v>2026</v>
      </c>
      <c r="D1278" s="57" t="s">
        <v>2027</v>
      </c>
      <c r="F1278" s="57">
        <v>25</v>
      </c>
      <c r="G1278" s="57" t="s">
        <v>2290</v>
      </c>
      <c r="H1278" s="57" t="s">
        <v>345</v>
      </c>
    </row>
    <row r="1279" spans="2:8" ht="13.5" customHeight="1">
      <c r="B1279" s="57" t="s">
        <v>2019</v>
      </c>
      <c r="D1279" s="57" t="s">
        <v>2020</v>
      </c>
      <c r="F1279" s="57">
        <v>28</v>
      </c>
      <c r="G1279" s="57" t="s">
        <v>2290</v>
      </c>
      <c r="H1279" s="57" t="s">
        <v>345</v>
      </c>
    </row>
    <row r="1280" spans="2:8" ht="13.5" customHeight="1">
      <c r="B1280" s="57" t="s">
        <v>1892</v>
      </c>
      <c r="D1280" s="57" t="s">
        <v>1893</v>
      </c>
      <c r="F1280" s="57">
        <v>30</v>
      </c>
      <c r="G1280" s="57" t="s">
        <v>2290</v>
      </c>
      <c r="H1280" s="57" t="s">
        <v>345</v>
      </c>
    </row>
    <row r="1281" spans="2:8" ht="13.5" customHeight="1">
      <c r="B1281" s="57" t="s">
        <v>2058</v>
      </c>
      <c r="D1281" s="57" t="s">
        <v>741</v>
      </c>
      <c r="F1281" s="57">
        <v>35</v>
      </c>
      <c r="G1281" s="57" t="s">
        <v>2290</v>
      </c>
      <c r="H1281" s="57" t="s">
        <v>345</v>
      </c>
    </row>
    <row r="1282" spans="2:8" ht="13.5" customHeight="1">
      <c r="B1282" s="57" t="s">
        <v>2060</v>
      </c>
      <c r="D1282" s="57" t="s">
        <v>2061</v>
      </c>
      <c r="F1282" s="57">
        <v>38</v>
      </c>
      <c r="G1282" s="57" t="s">
        <v>2290</v>
      </c>
      <c r="H1282" s="57" t="s">
        <v>345</v>
      </c>
    </row>
    <row r="1283" spans="2:8" ht="13.5" customHeight="1">
      <c r="B1283" s="57" t="s">
        <v>2040</v>
      </c>
      <c r="D1283" s="57" t="s">
        <v>2041</v>
      </c>
      <c r="F1283" s="57">
        <v>44</v>
      </c>
      <c r="G1283" s="57" t="s">
        <v>2290</v>
      </c>
      <c r="H1283" s="57" t="s">
        <v>345</v>
      </c>
    </row>
    <row r="1284" spans="2:8" ht="13.5" customHeight="1">
      <c r="B1284" s="57" t="s">
        <v>1998</v>
      </c>
      <c r="D1284" s="57" t="s">
        <v>1999</v>
      </c>
      <c r="F1284" s="57">
        <v>47</v>
      </c>
      <c r="G1284" s="57" t="s">
        <v>2290</v>
      </c>
      <c r="H1284" s="57" t="s">
        <v>345</v>
      </c>
    </row>
    <row r="1285" spans="2:8" ht="13.5" customHeight="1">
      <c r="B1285" s="57" t="s">
        <v>1863</v>
      </c>
      <c r="D1285" s="57" t="s">
        <v>1864</v>
      </c>
      <c r="F1285" s="57">
        <v>50</v>
      </c>
      <c r="G1285" s="57" t="s">
        <v>2290</v>
      </c>
      <c r="H1285" s="57" t="s">
        <v>345</v>
      </c>
    </row>
    <row r="1286" spans="2:8" ht="13.5" customHeight="1">
      <c r="B1286" s="57" t="s">
        <v>1933</v>
      </c>
      <c r="D1286" s="57" t="s">
        <v>1934</v>
      </c>
      <c r="E1286" s="57" t="s">
        <v>1935</v>
      </c>
      <c r="F1286" s="57">
        <v>95</v>
      </c>
      <c r="G1286" s="57" t="s">
        <v>2290</v>
      </c>
      <c r="H1286" s="57" t="s">
        <v>345</v>
      </c>
    </row>
    <row r="1287" spans="2:8" ht="13.5" customHeight="1">
      <c r="B1287" s="57" t="s">
        <v>1883</v>
      </c>
      <c r="D1287" s="57" t="s">
        <v>391</v>
      </c>
      <c r="F1287" s="57">
        <v>4</v>
      </c>
      <c r="G1287" s="57" t="s">
        <v>2290</v>
      </c>
      <c r="H1287" s="57" t="s">
        <v>919</v>
      </c>
    </row>
    <row r="1288" spans="2:8" ht="13.5" customHeight="1">
      <c r="B1288" s="57" t="s">
        <v>2165</v>
      </c>
      <c r="D1288" s="57" t="s">
        <v>1763</v>
      </c>
      <c r="F1288" s="57">
        <v>7</v>
      </c>
      <c r="G1288" s="57" t="s">
        <v>2290</v>
      </c>
      <c r="H1288" s="57" t="s">
        <v>919</v>
      </c>
    </row>
    <row r="1289" spans="2:8" ht="13.5" customHeight="1">
      <c r="B1289" s="57" t="s">
        <v>2163</v>
      </c>
      <c r="D1289" s="57" t="s">
        <v>2164</v>
      </c>
      <c r="F1289" s="57">
        <v>8</v>
      </c>
      <c r="G1289" s="57" t="s">
        <v>2290</v>
      </c>
      <c r="H1289" s="57" t="s">
        <v>919</v>
      </c>
    </row>
    <row r="1290" spans="2:8" ht="13.5" customHeight="1">
      <c r="B1290" s="57" t="s">
        <v>1921</v>
      </c>
      <c r="D1290" s="57" t="s">
        <v>1922</v>
      </c>
      <c r="F1290" s="57">
        <v>10</v>
      </c>
      <c r="G1290" s="57" t="s">
        <v>2290</v>
      </c>
      <c r="H1290" s="57" t="s">
        <v>919</v>
      </c>
    </row>
    <row r="1291" spans="2:8" ht="13.5" customHeight="1">
      <c r="B1291" s="57" t="s">
        <v>1867</v>
      </c>
      <c r="D1291" s="57" t="s">
        <v>1868</v>
      </c>
      <c r="E1291" s="57" t="s">
        <v>1869</v>
      </c>
      <c r="F1291" s="57">
        <v>10</v>
      </c>
      <c r="G1291" s="57" t="s">
        <v>2290</v>
      </c>
      <c r="H1291" s="57" t="s">
        <v>919</v>
      </c>
    </row>
    <row r="1292" spans="2:8" ht="13.5" customHeight="1">
      <c r="B1292" s="57" t="s">
        <v>1881</v>
      </c>
      <c r="D1292" s="57" t="s">
        <v>1882</v>
      </c>
      <c r="F1292" s="57">
        <v>12</v>
      </c>
      <c r="G1292" s="57" t="s">
        <v>2290</v>
      </c>
      <c r="H1292" s="57" t="s">
        <v>919</v>
      </c>
    </row>
    <row r="1293" spans="2:8" ht="13.5" customHeight="1">
      <c r="B1293" s="57" t="s">
        <v>1674</v>
      </c>
      <c r="D1293" s="57" t="s">
        <v>1675</v>
      </c>
      <c r="F1293" s="57">
        <v>13</v>
      </c>
      <c r="G1293" s="57" t="s">
        <v>2290</v>
      </c>
      <c r="H1293" s="57" t="s">
        <v>919</v>
      </c>
    </row>
    <row r="1294" spans="2:8" ht="13.5" customHeight="1">
      <c r="B1294" s="57" t="s">
        <v>1870</v>
      </c>
      <c r="D1294" s="57" t="s">
        <v>1871</v>
      </c>
      <c r="E1294" s="57" t="s">
        <v>1872</v>
      </c>
      <c r="F1294" s="57">
        <v>13</v>
      </c>
      <c r="G1294" s="57" t="s">
        <v>2290</v>
      </c>
      <c r="H1294" s="57" t="s">
        <v>919</v>
      </c>
    </row>
    <row r="1295" spans="2:8" ht="13.5" customHeight="1">
      <c r="B1295" s="57" t="s">
        <v>1873</v>
      </c>
      <c r="D1295" s="57" t="s">
        <v>1874</v>
      </c>
      <c r="E1295" s="57" t="s">
        <v>1875</v>
      </c>
      <c r="F1295" s="57">
        <v>14</v>
      </c>
      <c r="G1295" s="57" t="s">
        <v>2290</v>
      </c>
      <c r="H1295" s="57" t="s">
        <v>919</v>
      </c>
    </row>
    <row r="1296" spans="2:8" ht="13.5" customHeight="1">
      <c r="B1296" s="57" t="s">
        <v>1929</v>
      </c>
      <c r="D1296" s="57" t="s">
        <v>1930</v>
      </c>
      <c r="F1296" s="57">
        <v>15</v>
      </c>
      <c r="G1296" s="57" t="s">
        <v>2290</v>
      </c>
      <c r="H1296" s="57" t="s">
        <v>919</v>
      </c>
    </row>
    <row r="1297" spans="2:8" ht="13.5" customHeight="1">
      <c r="B1297" s="57" t="s">
        <v>1898</v>
      </c>
      <c r="D1297" s="57" t="s">
        <v>1899</v>
      </c>
      <c r="E1297" s="57" t="s">
        <v>1900</v>
      </c>
      <c r="F1297" s="57">
        <v>17</v>
      </c>
      <c r="G1297" s="57" t="s">
        <v>2290</v>
      </c>
      <c r="H1297" s="57" t="s">
        <v>919</v>
      </c>
    </row>
    <row r="1298" spans="2:8" ht="13.5" customHeight="1">
      <c r="B1298" s="57" t="s">
        <v>2030</v>
      </c>
      <c r="D1298" s="57" t="s">
        <v>2031</v>
      </c>
      <c r="E1298" s="68" t="s">
        <v>2032</v>
      </c>
      <c r="F1298" s="57">
        <v>17</v>
      </c>
      <c r="G1298" s="57" t="s">
        <v>2290</v>
      </c>
      <c r="H1298" s="57" t="s">
        <v>919</v>
      </c>
    </row>
    <row r="1299" spans="2:8" ht="13.5" customHeight="1">
      <c r="B1299" s="57" t="s">
        <v>1851</v>
      </c>
      <c r="D1299" s="57" t="s">
        <v>1852</v>
      </c>
      <c r="E1299" s="68" t="s">
        <v>1853</v>
      </c>
      <c r="F1299" s="57">
        <v>23</v>
      </c>
      <c r="G1299" s="57" t="s">
        <v>2290</v>
      </c>
      <c r="H1299" s="57" t="s">
        <v>919</v>
      </c>
    </row>
    <row r="1300" spans="2:8" ht="13.5" customHeight="1">
      <c r="B1300" s="57" t="s">
        <v>2002</v>
      </c>
      <c r="D1300" s="57" t="s">
        <v>2003</v>
      </c>
      <c r="E1300" s="57" t="s">
        <v>2004</v>
      </c>
      <c r="F1300" s="57">
        <v>23</v>
      </c>
      <c r="G1300" s="57" t="s">
        <v>2290</v>
      </c>
      <c r="H1300" s="57" t="s">
        <v>919</v>
      </c>
    </row>
    <row r="1301" spans="2:8" ht="13.5" customHeight="1">
      <c r="B1301" s="57" t="s">
        <v>1856</v>
      </c>
      <c r="D1301" s="57" t="s">
        <v>1857</v>
      </c>
      <c r="F1301" s="57">
        <v>23</v>
      </c>
      <c r="G1301" s="57" t="s">
        <v>2290</v>
      </c>
      <c r="H1301" s="57" t="s">
        <v>919</v>
      </c>
    </row>
    <row r="1302" spans="2:8" ht="13.5" customHeight="1">
      <c r="B1302" s="57" t="s">
        <v>1969</v>
      </c>
      <c r="D1302" s="57" t="s">
        <v>1970</v>
      </c>
      <c r="F1302" s="57">
        <v>24</v>
      </c>
      <c r="G1302" s="57" t="s">
        <v>2290</v>
      </c>
      <c r="H1302" s="57" t="s">
        <v>919</v>
      </c>
    </row>
    <row r="1303" spans="2:8" ht="13.5" customHeight="1">
      <c r="D1303" s="57" t="s">
        <v>2169</v>
      </c>
      <c r="F1303" s="57">
        <v>24</v>
      </c>
      <c r="G1303" s="57" t="s">
        <v>2290</v>
      </c>
      <c r="H1303" s="57" t="s">
        <v>919</v>
      </c>
    </row>
    <row r="1304" spans="2:8" ht="13.5" customHeight="1">
      <c r="B1304" s="57" t="s">
        <v>2048</v>
      </c>
      <c r="D1304" s="57" t="s">
        <v>2049</v>
      </c>
      <c r="F1304" s="57">
        <v>25</v>
      </c>
      <c r="G1304" s="57" t="s">
        <v>2290</v>
      </c>
      <c r="H1304" s="57" t="s">
        <v>919</v>
      </c>
    </row>
    <row r="1305" spans="2:8" ht="13.5" customHeight="1">
      <c r="B1305" s="57" t="s">
        <v>1925</v>
      </c>
      <c r="D1305" s="57" t="s">
        <v>1926</v>
      </c>
      <c r="E1305" s="68"/>
      <c r="F1305" s="57">
        <v>25</v>
      </c>
      <c r="G1305" s="57" t="s">
        <v>2290</v>
      </c>
      <c r="H1305" s="57" t="s">
        <v>919</v>
      </c>
    </row>
    <row r="1306" spans="2:8" ht="13.5" customHeight="1">
      <c r="B1306" s="57" t="s">
        <v>1919</v>
      </c>
      <c r="D1306" s="57" t="s">
        <v>1920</v>
      </c>
      <c r="E1306" s="68"/>
      <c r="F1306" s="57">
        <v>25</v>
      </c>
      <c r="G1306" s="57" t="s">
        <v>2290</v>
      </c>
      <c r="H1306" s="57" t="s">
        <v>919</v>
      </c>
    </row>
    <row r="1307" spans="2:8" ht="13.5" customHeight="1">
      <c r="B1307" s="57" t="s">
        <v>1854</v>
      </c>
      <c r="D1307" s="57" t="s">
        <v>1855</v>
      </c>
      <c r="E1307" s="68"/>
      <c r="F1307" s="57">
        <v>26</v>
      </c>
      <c r="G1307" s="57" t="s">
        <v>2290</v>
      </c>
      <c r="H1307" s="57" t="s">
        <v>919</v>
      </c>
    </row>
    <row r="1308" spans="2:8" ht="13.5" customHeight="1">
      <c r="B1308" s="57" t="s">
        <v>1965</v>
      </c>
      <c r="D1308" s="57" t="s">
        <v>1966</v>
      </c>
      <c r="E1308" s="68"/>
      <c r="F1308" s="57">
        <v>26</v>
      </c>
      <c r="G1308" s="57" t="s">
        <v>2290</v>
      </c>
      <c r="H1308" s="57" t="s">
        <v>919</v>
      </c>
    </row>
    <row r="1309" spans="2:8" ht="13.5" customHeight="1">
      <c r="B1309" s="57" t="s">
        <v>1878</v>
      </c>
      <c r="D1309" s="57" t="s">
        <v>472</v>
      </c>
      <c r="E1309" s="68"/>
      <c r="F1309" s="57">
        <v>26</v>
      </c>
      <c r="G1309" s="57" t="s">
        <v>2290</v>
      </c>
      <c r="H1309" s="57" t="s">
        <v>919</v>
      </c>
    </row>
    <row r="1310" spans="2:8" ht="13.5" customHeight="1">
      <c r="B1310" s="57" t="s">
        <v>1879</v>
      </c>
      <c r="D1310" s="57" t="s">
        <v>1880</v>
      </c>
      <c r="E1310" s="68"/>
      <c r="F1310" s="57">
        <v>26</v>
      </c>
      <c r="G1310" s="57" t="s">
        <v>2290</v>
      </c>
      <c r="H1310" s="57" t="s">
        <v>919</v>
      </c>
    </row>
    <row r="1311" spans="2:8" ht="13.5" customHeight="1">
      <c r="B1311" s="57" t="s">
        <v>1911</v>
      </c>
      <c r="D1311" s="57" t="s">
        <v>1367</v>
      </c>
      <c r="E1311" s="68"/>
      <c r="F1311" s="57">
        <v>29</v>
      </c>
      <c r="G1311" s="57" t="s">
        <v>2290</v>
      </c>
      <c r="H1311" s="57" t="s">
        <v>919</v>
      </c>
    </row>
    <row r="1312" spans="2:8" ht="13.5" customHeight="1">
      <c r="B1312" s="57" t="s">
        <v>2161</v>
      </c>
      <c r="D1312" s="57" t="s">
        <v>2162</v>
      </c>
      <c r="E1312" s="68"/>
      <c r="F1312" s="57">
        <v>30</v>
      </c>
      <c r="G1312" s="57" t="s">
        <v>2290</v>
      </c>
      <c r="H1312" s="57" t="s">
        <v>919</v>
      </c>
    </row>
    <row r="1313" spans="2:8" ht="13.5" customHeight="1">
      <c r="B1313" s="57" t="s">
        <v>1861</v>
      </c>
      <c r="D1313" s="57" t="s">
        <v>1862</v>
      </c>
      <c r="F1313" s="57">
        <v>31</v>
      </c>
      <c r="G1313" s="57" t="s">
        <v>2290</v>
      </c>
      <c r="H1313" s="57" t="s">
        <v>919</v>
      </c>
    </row>
    <row r="1314" spans="2:8" ht="13.5" customHeight="1">
      <c r="B1314" s="57" t="s">
        <v>1865</v>
      </c>
      <c r="D1314" s="57" t="s">
        <v>1866</v>
      </c>
      <c r="F1314" s="57">
        <v>31</v>
      </c>
      <c r="G1314" s="57" t="s">
        <v>2290</v>
      </c>
      <c r="H1314" s="57" t="s">
        <v>919</v>
      </c>
    </row>
    <row r="1315" spans="2:8" ht="13.5" customHeight="1">
      <c r="B1315" s="57" t="s">
        <v>1849</v>
      </c>
      <c r="D1315" s="57" t="s">
        <v>1850</v>
      </c>
      <c r="F1315" s="57">
        <v>32</v>
      </c>
      <c r="G1315" s="57" t="s">
        <v>2290</v>
      </c>
      <c r="H1315" s="57" t="s">
        <v>919</v>
      </c>
    </row>
    <row r="1316" spans="2:8" ht="13.5" customHeight="1">
      <c r="B1316" s="57" t="s">
        <v>2081</v>
      </c>
      <c r="D1316" s="57" t="s">
        <v>2082</v>
      </c>
      <c r="E1316" s="57" t="s">
        <v>2083</v>
      </c>
      <c r="F1316" s="57">
        <v>39</v>
      </c>
      <c r="G1316" s="57" t="s">
        <v>2290</v>
      </c>
      <c r="H1316" s="57" t="s">
        <v>919</v>
      </c>
    </row>
    <row r="1317" spans="2:8" ht="13.5" customHeight="1">
      <c r="B1317" s="57" t="s">
        <v>2054</v>
      </c>
      <c r="D1317" s="57" t="s">
        <v>2055</v>
      </c>
      <c r="F1317" s="57">
        <v>39</v>
      </c>
      <c r="G1317" s="57" t="s">
        <v>2290</v>
      </c>
      <c r="H1317" s="57" t="s">
        <v>919</v>
      </c>
    </row>
    <row r="1318" spans="2:8" ht="13.5" customHeight="1">
      <c r="B1318" s="57" t="s">
        <v>1977</v>
      </c>
      <c r="D1318" s="57" t="s">
        <v>1978</v>
      </c>
      <c r="F1318" s="57">
        <v>40</v>
      </c>
      <c r="G1318" s="57" t="s">
        <v>2290</v>
      </c>
      <c r="H1318" s="57" t="s">
        <v>919</v>
      </c>
    </row>
    <row r="1319" spans="2:8" ht="13.5" customHeight="1">
      <c r="B1319" s="57" t="s">
        <v>2154</v>
      </c>
      <c r="D1319" s="57" t="s">
        <v>2156</v>
      </c>
      <c r="F1319" s="57">
        <v>56</v>
      </c>
      <c r="G1319" s="57" t="s">
        <v>2290</v>
      </c>
      <c r="H1319" s="57" t="s">
        <v>919</v>
      </c>
    </row>
    <row r="1320" spans="2:8" ht="13.5" customHeight="1">
      <c r="D1320" s="57" t="s">
        <v>2168</v>
      </c>
      <c r="F1320" s="57">
        <v>76</v>
      </c>
      <c r="G1320" s="57" t="s">
        <v>2290</v>
      </c>
      <c r="H1320" s="57" t="s">
        <v>919</v>
      </c>
    </row>
    <row r="1321" spans="2:8" ht="13.5" customHeight="1">
      <c r="B1321" s="57" t="s">
        <v>2050</v>
      </c>
      <c r="D1321" s="57" t="s">
        <v>2051</v>
      </c>
      <c r="E1321" s="57" t="s">
        <v>2052</v>
      </c>
      <c r="F1321" s="57">
        <v>77</v>
      </c>
      <c r="G1321" s="57" t="s">
        <v>2290</v>
      </c>
      <c r="H1321" s="57" t="s">
        <v>919</v>
      </c>
    </row>
    <row r="1322" spans="2:8" ht="13.5" customHeight="1">
      <c r="B1322" s="57" t="s">
        <v>1884</v>
      </c>
      <c r="D1322" s="57" t="s">
        <v>1885</v>
      </c>
      <c r="F1322" s="57">
        <v>470</v>
      </c>
      <c r="G1322" s="57" t="s">
        <v>2290</v>
      </c>
      <c r="H1322" s="57" t="s">
        <v>919</v>
      </c>
    </row>
    <row r="1323" spans="2:8" ht="13.5" customHeight="1">
      <c r="B1323" s="57" t="s">
        <v>1846</v>
      </c>
      <c r="D1323" s="57" t="s">
        <v>1847</v>
      </c>
      <c r="E1323" s="68" t="s">
        <v>1848</v>
      </c>
      <c r="F1323" s="57">
        <v>775</v>
      </c>
      <c r="G1323" s="57" t="s">
        <v>2290</v>
      </c>
      <c r="H1323" s="57" t="s">
        <v>919</v>
      </c>
    </row>
    <row r="1324" spans="2:8" ht="13.5" customHeight="1">
      <c r="B1324" s="57" t="s">
        <v>1979</v>
      </c>
      <c r="D1324" s="57" t="s">
        <v>1980</v>
      </c>
      <c r="F1324" s="57">
        <v>4</v>
      </c>
      <c r="G1324" s="57" t="s">
        <v>2290</v>
      </c>
      <c r="H1324" s="57" t="s">
        <v>918</v>
      </c>
    </row>
    <row r="1325" spans="2:8" ht="13.5" customHeight="1">
      <c r="B1325" s="57" t="s">
        <v>2177</v>
      </c>
      <c r="D1325" s="57" t="s">
        <v>286</v>
      </c>
      <c r="F1325" s="57">
        <v>8</v>
      </c>
      <c r="G1325" s="57" t="s">
        <v>2290</v>
      </c>
      <c r="H1325" s="57" t="s">
        <v>918</v>
      </c>
    </row>
    <row r="1326" spans="2:8" ht="13.5" customHeight="1">
      <c r="B1326" s="57" t="s">
        <v>2174</v>
      </c>
      <c r="D1326" s="57" t="s">
        <v>2175</v>
      </c>
      <c r="F1326" s="57">
        <v>9</v>
      </c>
      <c r="G1326" s="57" t="s">
        <v>2290</v>
      </c>
      <c r="H1326" s="57" t="s">
        <v>918</v>
      </c>
    </row>
    <row r="1327" spans="2:8" ht="13.5" customHeight="1">
      <c r="B1327" s="57" t="s">
        <v>2000</v>
      </c>
      <c r="D1327" s="57" t="s">
        <v>2001</v>
      </c>
      <c r="F1327" s="57">
        <v>10</v>
      </c>
      <c r="G1327" s="57" t="s">
        <v>2290</v>
      </c>
      <c r="H1327" s="57" t="s">
        <v>918</v>
      </c>
    </row>
    <row r="1328" spans="2:8" ht="13.5" customHeight="1">
      <c r="B1328" s="57" t="s">
        <v>2178</v>
      </c>
      <c r="D1328" s="68" t="s">
        <v>2179</v>
      </c>
      <c r="F1328" s="57">
        <v>10</v>
      </c>
      <c r="G1328" s="57" t="s">
        <v>2290</v>
      </c>
      <c r="H1328" s="57" t="s">
        <v>918</v>
      </c>
    </row>
    <row r="1329" spans="2:8" ht="13.5" customHeight="1">
      <c r="B1329" s="57" t="s">
        <v>1993</v>
      </c>
      <c r="D1329" s="57" t="s">
        <v>1994</v>
      </c>
      <c r="F1329" s="57">
        <v>12</v>
      </c>
      <c r="G1329" s="57" t="s">
        <v>2290</v>
      </c>
      <c r="H1329" s="57" t="s">
        <v>918</v>
      </c>
    </row>
    <row r="1330" spans="2:8" ht="13.5" customHeight="1">
      <c r="B1330" s="57" t="s">
        <v>2005</v>
      </c>
      <c r="D1330" s="57" t="s">
        <v>2006</v>
      </c>
      <c r="F1330" s="57">
        <v>12</v>
      </c>
      <c r="G1330" s="57" t="s">
        <v>2290</v>
      </c>
      <c r="H1330" s="57" t="s">
        <v>918</v>
      </c>
    </row>
    <row r="1331" spans="2:8" ht="13.5" customHeight="1">
      <c r="B1331" s="57" t="s">
        <v>2009</v>
      </c>
      <c r="D1331" s="57" t="s">
        <v>2010</v>
      </c>
      <c r="F1331" s="57">
        <v>15</v>
      </c>
      <c r="G1331" s="57" t="s">
        <v>2290</v>
      </c>
      <c r="H1331" s="57" t="s">
        <v>918</v>
      </c>
    </row>
    <row r="1332" spans="2:8" ht="13.5" customHeight="1">
      <c r="B1332" s="57" t="s">
        <v>1940</v>
      </c>
      <c r="D1332" s="57" t="s">
        <v>1941</v>
      </c>
      <c r="F1332" s="57">
        <v>21</v>
      </c>
      <c r="G1332" s="57" t="s">
        <v>2290</v>
      </c>
      <c r="H1332" s="57" t="s">
        <v>918</v>
      </c>
    </row>
    <row r="1333" spans="2:8" ht="13.5" customHeight="1">
      <c r="B1333" s="57" t="s">
        <v>1923</v>
      </c>
      <c r="D1333" s="57" t="s">
        <v>1924</v>
      </c>
      <c r="F1333" s="57">
        <v>22</v>
      </c>
      <c r="G1333" s="57" t="s">
        <v>2290</v>
      </c>
      <c r="H1333" s="57" t="s">
        <v>918</v>
      </c>
    </row>
    <row r="1334" spans="2:8" ht="13.5" customHeight="1">
      <c r="B1334" s="57" t="s">
        <v>1896</v>
      </c>
      <c r="D1334" s="57" t="s">
        <v>1897</v>
      </c>
      <c r="F1334" s="57">
        <v>24</v>
      </c>
      <c r="G1334" s="57" t="s">
        <v>2290</v>
      </c>
      <c r="H1334" s="57" t="s">
        <v>918</v>
      </c>
    </row>
    <row r="1335" spans="2:8" ht="13.5" customHeight="1">
      <c r="B1335" s="57" t="s">
        <v>1948</v>
      </c>
      <c r="D1335" s="57" t="s">
        <v>1949</v>
      </c>
      <c r="F1335" s="57">
        <v>24</v>
      </c>
      <c r="G1335" s="57" t="s">
        <v>2290</v>
      </c>
      <c r="H1335" s="57" t="s">
        <v>918</v>
      </c>
    </row>
    <row r="1336" spans="2:8" ht="13.5" customHeight="1">
      <c r="B1336" s="57" t="s">
        <v>1946</v>
      </c>
      <c r="D1336" s="57" t="s">
        <v>1947</v>
      </c>
      <c r="F1336" s="57">
        <v>24</v>
      </c>
      <c r="G1336" s="57" t="s">
        <v>2290</v>
      </c>
      <c r="H1336" s="57" t="s">
        <v>918</v>
      </c>
    </row>
    <row r="1337" spans="2:8" ht="13.5" customHeight="1">
      <c r="B1337" s="57" t="s">
        <v>1987</v>
      </c>
      <c r="D1337" s="57" t="s">
        <v>1988</v>
      </c>
      <c r="F1337" s="57">
        <v>25</v>
      </c>
      <c r="G1337" s="57" t="s">
        <v>2290</v>
      </c>
      <c r="H1337" s="57" t="s">
        <v>918</v>
      </c>
    </row>
    <row r="1338" spans="2:8" ht="13.5" customHeight="1">
      <c r="B1338" s="57" t="s">
        <v>1991</v>
      </c>
      <c r="D1338" s="57" t="s">
        <v>1992</v>
      </c>
      <c r="F1338" s="57">
        <v>26</v>
      </c>
      <c r="G1338" s="57" t="s">
        <v>2290</v>
      </c>
      <c r="H1338" s="57" t="s">
        <v>918</v>
      </c>
    </row>
    <row r="1339" spans="2:8" ht="13.5" customHeight="1">
      <c r="B1339" s="57" t="s">
        <v>1953</v>
      </c>
      <c r="D1339" s="57" t="s">
        <v>1954</v>
      </c>
      <c r="F1339" s="57">
        <v>27</v>
      </c>
      <c r="G1339" s="57" t="s">
        <v>2290</v>
      </c>
      <c r="H1339" s="57" t="s">
        <v>918</v>
      </c>
    </row>
    <row r="1340" spans="2:8" ht="13.5" customHeight="1">
      <c r="B1340" s="57" t="s">
        <v>1973</v>
      </c>
      <c r="D1340" s="57" t="s">
        <v>1974</v>
      </c>
      <c r="F1340" s="57">
        <v>27</v>
      </c>
      <c r="G1340" s="57" t="s">
        <v>2290</v>
      </c>
      <c r="H1340" s="57" t="s">
        <v>918</v>
      </c>
    </row>
    <row r="1341" spans="2:8" ht="13.5" customHeight="1">
      <c r="B1341" s="57" t="s">
        <v>1961</v>
      </c>
      <c r="D1341" s="57" t="s">
        <v>1962</v>
      </c>
      <c r="F1341" s="57">
        <v>27</v>
      </c>
      <c r="G1341" s="57" t="s">
        <v>2290</v>
      </c>
      <c r="H1341" s="57" t="s">
        <v>918</v>
      </c>
    </row>
    <row r="1342" spans="2:8" ht="13.5" customHeight="1">
      <c r="B1342" s="57" t="s">
        <v>1989</v>
      </c>
      <c r="D1342" s="57" t="s">
        <v>1990</v>
      </c>
      <c r="F1342" s="57">
        <v>28</v>
      </c>
      <c r="G1342" s="57" t="s">
        <v>2290</v>
      </c>
      <c r="H1342" s="57" t="s">
        <v>918</v>
      </c>
    </row>
    <row r="1343" spans="2:8" ht="13.5" customHeight="1">
      <c r="B1343" s="57" t="s">
        <v>2172</v>
      </c>
      <c r="D1343" s="57" t="s">
        <v>2173</v>
      </c>
      <c r="F1343" s="57">
        <v>30</v>
      </c>
      <c r="G1343" s="57" t="s">
        <v>2290</v>
      </c>
      <c r="H1343" s="57" t="s">
        <v>918</v>
      </c>
    </row>
    <row r="1344" spans="2:8" ht="13.5" customHeight="1">
      <c r="B1344" s="57" t="s">
        <v>2170</v>
      </c>
      <c r="D1344" s="57" t="s">
        <v>2171</v>
      </c>
      <c r="F1344" s="57">
        <v>30</v>
      </c>
      <c r="G1344" s="57" t="s">
        <v>2290</v>
      </c>
      <c r="H1344" s="57" t="s">
        <v>918</v>
      </c>
    </row>
    <row r="1345" spans="2:8" ht="13.5" customHeight="1">
      <c r="B1345" s="57" t="s">
        <v>2176</v>
      </c>
      <c r="D1345" s="57" t="s">
        <v>327</v>
      </c>
      <c r="F1345" s="57">
        <v>30</v>
      </c>
      <c r="G1345" s="57" t="s">
        <v>2290</v>
      </c>
      <c r="H1345" s="57" t="s">
        <v>918</v>
      </c>
    </row>
    <row r="1346" spans="2:8" ht="13.5" customHeight="1">
      <c r="B1346" s="57" t="s">
        <v>1907</v>
      </c>
      <c r="D1346" s="57" t="s">
        <v>1908</v>
      </c>
      <c r="F1346" s="57">
        <v>34</v>
      </c>
      <c r="G1346" s="57" t="s">
        <v>2290</v>
      </c>
      <c r="H1346" s="57" t="s">
        <v>918</v>
      </c>
    </row>
    <row r="1347" spans="2:8" ht="13.5" customHeight="1">
      <c r="B1347" s="57" t="s">
        <v>2159</v>
      </c>
      <c r="D1347" s="57" t="s">
        <v>2160</v>
      </c>
      <c r="F1347" s="57">
        <v>40</v>
      </c>
      <c r="G1347" s="57" t="s">
        <v>2290</v>
      </c>
      <c r="H1347" s="57" t="s">
        <v>918</v>
      </c>
    </row>
    <row r="1348" spans="2:8" ht="13.5" customHeight="1">
      <c r="B1348" s="57" t="s">
        <v>1957</v>
      </c>
      <c r="D1348" s="57" t="s">
        <v>1958</v>
      </c>
      <c r="F1348" s="57">
        <v>63</v>
      </c>
      <c r="G1348" s="57" t="s">
        <v>2290</v>
      </c>
      <c r="H1348" s="57" t="s">
        <v>918</v>
      </c>
    </row>
    <row r="1349" spans="2:8" ht="13.5" customHeight="1">
      <c r="B1349" s="57" t="s">
        <v>2024</v>
      </c>
      <c r="D1349" s="57" t="s">
        <v>2025</v>
      </c>
      <c r="F1349" s="57">
        <v>130</v>
      </c>
      <c r="G1349" s="57" t="s">
        <v>2290</v>
      </c>
      <c r="H1349" s="57" t="s">
        <v>918</v>
      </c>
    </row>
    <row r="1350" spans="2:8" ht="13.5" customHeight="1">
      <c r="B1350" s="57" t="s">
        <v>1912</v>
      </c>
      <c r="D1350" s="57" t="s">
        <v>1913</v>
      </c>
      <c r="F1350" s="57">
        <v>22</v>
      </c>
      <c r="G1350" s="57" t="s">
        <v>2290</v>
      </c>
      <c r="H1350" s="57" t="s">
        <v>1114</v>
      </c>
    </row>
    <row r="1351" spans="2:8" ht="13.5" customHeight="1">
      <c r="B1351" s="57" t="s">
        <v>1876</v>
      </c>
      <c r="D1351" s="57" t="s">
        <v>1877</v>
      </c>
      <c r="F1351" s="57">
        <v>24</v>
      </c>
      <c r="G1351" s="57" t="s">
        <v>2290</v>
      </c>
      <c r="H1351" s="57" t="s">
        <v>1114</v>
      </c>
    </row>
    <row r="1352" spans="2:8" ht="13.5" customHeight="1">
      <c r="B1352" s="57" t="s">
        <v>1914</v>
      </c>
      <c r="D1352" s="57" t="s">
        <v>1915</v>
      </c>
      <c r="F1352" s="57">
        <v>220</v>
      </c>
      <c r="G1352" s="57" t="s">
        <v>2290</v>
      </c>
      <c r="H1352" s="57" t="s">
        <v>1114</v>
      </c>
    </row>
    <row r="1353" spans="2:8" ht="13.5" customHeight="1">
      <c r="B1353" s="57" t="s">
        <v>2200</v>
      </c>
      <c r="D1353" s="57" t="s">
        <v>2201</v>
      </c>
      <c r="F1353" s="57">
        <v>3</v>
      </c>
      <c r="G1353" s="57" t="s">
        <v>2290</v>
      </c>
      <c r="H1353" s="57" t="s">
        <v>1115</v>
      </c>
    </row>
    <row r="1354" spans="2:8" ht="13.5" customHeight="1">
      <c r="B1354" s="57" t="s">
        <v>2075</v>
      </c>
      <c r="D1354" s="57" t="s">
        <v>2075</v>
      </c>
      <c r="F1354" s="57">
        <v>8</v>
      </c>
      <c r="G1354" s="57" t="s">
        <v>2290</v>
      </c>
      <c r="H1354" s="57" t="s">
        <v>1115</v>
      </c>
    </row>
    <row r="1355" spans="2:8" ht="13.5" customHeight="1">
      <c r="B1355" s="57" t="s">
        <v>1936</v>
      </c>
      <c r="D1355" s="57" t="s">
        <v>1937</v>
      </c>
      <c r="F1355" s="57">
        <v>12</v>
      </c>
      <c r="G1355" s="57" t="s">
        <v>2290</v>
      </c>
      <c r="H1355" s="57" t="s">
        <v>1115</v>
      </c>
    </row>
    <row r="1356" spans="2:8" ht="13.5" customHeight="1">
      <c r="B1356" s="57" t="s">
        <v>1938</v>
      </c>
      <c r="D1356" s="57" t="s">
        <v>1939</v>
      </c>
      <c r="F1356" s="57">
        <v>12</v>
      </c>
      <c r="G1356" s="57" t="s">
        <v>2290</v>
      </c>
      <c r="H1356" s="57" t="s">
        <v>1115</v>
      </c>
    </row>
    <row r="1357" spans="2:8" ht="13.5" customHeight="1">
      <c r="B1357" s="57" t="s">
        <v>1950</v>
      </c>
      <c r="D1357" s="57" t="s">
        <v>1951</v>
      </c>
      <c r="F1357" s="57">
        <v>12</v>
      </c>
      <c r="G1357" s="57" t="s">
        <v>2290</v>
      </c>
      <c r="H1357" s="57" t="s">
        <v>1115</v>
      </c>
    </row>
    <row r="1358" spans="2:8" ht="13.5" customHeight="1">
      <c r="B1358" s="57" t="s">
        <v>1931</v>
      </c>
      <c r="D1358" s="57" t="s">
        <v>1932</v>
      </c>
      <c r="F1358" s="57">
        <v>12</v>
      </c>
      <c r="G1358" s="57" t="s">
        <v>2290</v>
      </c>
      <c r="H1358" s="57" t="s">
        <v>1115</v>
      </c>
    </row>
    <row r="1359" spans="2:8" ht="13.5" customHeight="1">
      <c r="B1359" s="57" t="s">
        <v>1927</v>
      </c>
      <c r="D1359" s="57" t="s">
        <v>1928</v>
      </c>
      <c r="F1359" s="57">
        <v>14</v>
      </c>
      <c r="G1359" s="57" t="s">
        <v>2290</v>
      </c>
      <c r="H1359" s="57" t="s">
        <v>1115</v>
      </c>
    </row>
    <row r="1360" spans="2:8" ht="13.5" customHeight="1">
      <c r="B1360" s="57" t="s">
        <v>2011</v>
      </c>
      <c r="D1360" s="57" t="s">
        <v>2012</v>
      </c>
      <c r="E1360" s="57" t="s">
        <v>2013</v>
      </c>
      <c r="F1360" s="57">
        <v>15</v>
      </c>
      <c r="G1360" s="57" t="s">
        <v>2290</v>
      </c>
      <c r="H1360" s="57" t="s">
        <v>1115</v>
      </c>
    </row>
    <row r="1361" spans="2:8" ht="13.5" customHeight="1">
      <c r="B1361" s="57" t="s">
        <v>1894</v>
      </c>
      <c r="D1361" s="57" t="s">
        <v>1895</v>
      </c>
      <c r="F1361" s="57">
        <v>20</v>
      </c>
      <c r="G1361" s="57" t="s">
        <v>2290</v>
      </c>
      <c r="H1361" s="57" t="s">
        <v>1115</v>
      </c>
    </row>
    <row r="1362" spans="2:8" ht="13.5" customHeight="1">
      <c r="B1362" s="57" t="s">
        <v>1944</v>
      </c>
      <c r="D1362" s="57" t="s">
        <v>1945</v>
      </c>
      <c r="F1362" s="57">
        <v>21</v>
      </c>
      <c r="G1362" s="57" t="s">
        <v>2290</v>
      </c>
      <c r="H1362" s="57" t="s">
        <v>1115</v>
      </c>
    </row>
    <row r="1363" spans="2:8" ht="13.5" customHeight="1">
      <c r="B1363" s="57" t="s">
        <v>1903</v>
      </c>
      <c r="D1363" s="57" t="s">
        <v>1904</v>
      </c>
      <c r="F1363" s="57">
        <v>23</v>
      </c>
      <c r="G1363" s="57" t="s">
        <v>2290</v>
      </c>
      <c r="H1363" s="57" t="s">
        <v>1115</v>
      </c>
    </row>
    <row r="1364" spans="2:8" ht="13.5" customHeight="1">
      <c r="B1364" s="57" t="s">
        <v>2014</v>
      </c>
      <c r="D1364" s="57" t="s">
        <v>2015</v>
      </c>
      <c r="E1364" s="57" t="s">
        <v>2016</v>
      </c>
      <c r="F1364" s="57">
        <v>24</v>
      </c>
      <c r="G1364" s="57" t="s">
        <v>2290</v>
      </c>
      <c r="H1364" s="57" t="s">
        <v>1115</v>
      </c>
    </row>
    <row r="1365" spans="2:8" ht="13.5" customHeight="1">
      <c r="B1365" s="57" t="s">
        <v>1981</v>
      </c>
      <c r="D1365" s="57" t="s">
        <v>1982</v>
      </c>
      <c r="F1365" s="57">
        <v>24</v>
      </c>
      <c r="G1365" s="57" t="s">
        <v>2290</v>
      </c>
      <c r="H1365" s="57" t="s">
        <v>1115</v>
      </c>
    </row>
    <row r="1366" spans="2:8" ht="13.5" customHeight="1">
      <c r="B1366" s="57" t="s">
        <v>1909</v>
      </c>
      <c r="D1366" s="57" t="s">
        <v>1910</v>
      </c>
      <c r="F1366" s="57">
        <v>25</v>
      </c>
      <c r="G1366" s="57" t="s">
        <v>2290</v>
      </c>
      <c r="H1366" s="57" t="s">
        <v>1115</v>
      </c>
    </row>
    <row r="1367" spans="2:8" ht="13.5" customHeight="1">
      <c r="B1367" s="57" t="s">
        <v>1971</v>
      </c>
      <c r="D1367" s="57" t="s">
        <v>1972</v>
      </c>
      <c r="F1367" s="57">
        <v>26</v>
      </c>
      <c r="G1367" s="57" t="s">
        <v>2290</v>
      </c>
      <c r="H1367" s="57" t="s">
        <v>1115</v>
      </c>
    </row>
    <row r="1368" spans="2:8" ht="13.5" customHeight="1">
      <c r="B1368" s="57" t="s">
        <v>1955</v>
      </c>
      <c r="D1368" s="57" t="s">
        <v>1956</v>
      </c>
      <c r="F1368" s="57">
        <v>26</v>
      </c>
      <c r="G1368" s="57" t="s">
        <v>2290</v>
      </c>
      <c r="H1368" s="57" t="s">
        <v>1115</v>
      </c>
    </row>
    <row r="1369" spans="2:8" ht="13.5" customHeight="1">
      <c r="B1369" s="57" t="s">
        <v>1952</v>
      </c>
      <c r="D1369" s="57" t="s">
        <v>512</v>
      </c>
      <c r="F1369" s="57">
        <v>28</v>
      </c>
      <c r="G1369" s="57" t="s">
        <v>2290</v>
      </c>
      <c r="H1369" s="57" t="s">
        <v>1115</v>
      </c>
    </row>
    <row r="1370" spans="2:8" ht="13.5" customHeight="1">
      <c r="B1370" s="57" t="s">
        <v>1963</v>
      </c>
      <c r="D1370" s="57" t="s">
        <v>1964</v>
      </c>
      <c r="F1370" s="57">
        <v>28</v>
      </c>
      <c r="G1370" s="57" t="s">
        <v>2290</v>
      </c>
      <c r="H1370" s="57" t="s">
        <v>1115</v>
      </c>
    </row>
    <row r="1371" spans="2:8" ht="13.5" customHeight="1">
      <c r="D1371" s="57" t="s">
        <v>2226</v>
      </c>
      <c r="F1371" s="57">
        <v>29</v>
      </c>
      <c r="G1371" s="57" t="s">
        <v>2290</v>
      </c>
      <c r="H1371" s="57" t="s">
        <v>1115</v>
      </c>
    </row>
    <row r="1372" spans="2:8" ht="13.5" customHeight="1">
      <c r="B1372" s="57" t="s">
        <v>1891</v>
      </c>
      <c r="D1372" s="57" t="s">
        <v>931</v>
      </c>
      <c r="F1372" s="57">
        <v>30</v>
      </c>
      <c r="G1372" s="57" t="s">
        <v>2290</v>
      </c>
      <c r="H1372" s="57" t="s">
        <v>1115</v>
      </c>
    </row>
    <row r="1373" spans="2:8" ht="13.5" customHeight="1">
      <c r="B1373" s="57" t="s">
        <v>1901</v>
      </c>
      <c r="D1373" s="57" t="s">
        <v>1902</v>
      </c>
      <c r="F1373" s="57">
        <v>38</v>
      </c>
      <c r="G1373" s="57" t="s">
        <v>2290</v>
      </c>
      <c r="H1373" s="57" t="s">
        <v>1115</v>
      </c>
    </row>
    <row r="1374" spans="2:8" ht="13.5" customHeight="1">
      <c r="B1374" s="57" t="s">
        <v>1975</v>
      </c>
      <c r="D1374" s="57" t="s">
        <v>1976</v>
      </c>
      <c r="F1374" s="57">
        <v>46</v>
      </c>
      <c r="G1374" s="57" t="s">
        <v>2290</v>
      </c>
      <c r="H1374" s="57" t="s">
        <v>1115</v>
      </c>
    </row>
    <row r="1375" spans="2:8" ht="13.5" customHeight="1">
      <c r="B1375" s="57" t="s">
        <v>1905</v>
      </c>
      <c r="D1375" s="57" t="s">
        <v>1906</v>
      </c>
      <c r="F1375" s="57">
        <v>46</v>
      </c>
      <c r="G1375" s="57" t="s">
        <v>2290</v>
      </c>
      <c r="H1375" s="57" t="s">
        <v>1115</v>
      </c>
    </row>
    <row r="1376" spans="2:8" ht="13.5" customHeight="1">
      <c r="B1376" s="68" t="s">
        <v>1983</v>
      </c>
      <c r="D1376" s="68" t="s">
        <v>1984</v>
      </c>
      <c r="F1376" s="57">
        <v>64</v>
      </c>
      <c r="G1376" s="57" t="s">
        <v>2290</v>
      </c>
      <c r="H1376" s="57" t="s">
        <v>1115</v>
      </c>
    </row>
    <row r="1377" spans="2:8" ht="13.5" customHeight="1">
      <c r="B1377" s="57" t="s">
        <v>1889</v>
      </c>
      <c r="D1377" s="57" t="s">
        <v>1890</v>
      </c>
      <c r="F1377" s="57">
        <v>76</v>
      </c>
      <c r="G1377" s="57" t="s">
        <v>2290</v>
      </c>
      <c r="H1377" s="57" t="s">
        <v>1115</v>
      </c>
    </row>
    <row r="1378" spans="2:8" ht="13.5" customHeight="1">
      <c r="D1378" s="57" t="s">
        <v>2225</v>
      </c>
      <c r="F1378" s="57">
        <v>152</v>
      </c>
      <c r="G1378" s="57" t="s">
        <v>2290</v>
      </c>
      <c r="H1378" s="57" t="s">
        <v>1115</v>
      </c>
    </row>
    <row r="1379" spans="2:8" ht="13.5" customHeight="1">
      <c r="D1379" s="57" t="s">
        <v>2224</v>
      </c>
      <c r="F1379" s="57">
        <v>160</v>
      </c>
      <c r="G1379" s="57" t="s">
        <v>2290</v>
      </c>
      <c r="H1379" s="57" t="s">
        <v>1115</v>
      </c>
    </row>
    <row r="1380" spans="2:8" ht="13.5" customHeight="1">
      <c r="B1380" s="57" t="s">
        <v>2249</v>
      </c>
      <c r="D1380" s="57" t="s">
        <v>2250</v>
      </c>
      <c r="F1380" s="57">
        <v>3</v>
      </c>
      <c r="G1380" s="57" t="s">
        <v>2290</v>
      </c>
      <c r="H1380" s="57" t="s">
        <v>1354</v>
      </c>
    </row>
    <row r="1381" spans="2:8" ht="13.5" customHeight="1">
      <c r="B1381" s="57" t="s">
        <v>2096</v>
      </c>
      <c r="D1381" s="57" t="s">
        <v>2097</v>
      </c>
      <c r="F1381" s="57">
        <v>5</v>
      </c>
      <c r="G1381" s="57" t="s">
        <v>2290</v>
      </c>
      <c r="H1381" s="57" t="s">
        <v>1354</v>
      </c>
    </row>
    <row r="1382" spans="2:8" ht="13.5" customHeight="1">
      <c r="B1382" s="57" t="s">
        <v>2119</v>
      </c>
      <c r="D1382" s="57" t="s">
        <v>2120</v>
      </c>
      <c r="F1382" s="57">
        <v>5</v>
      </c>
      <c r="G1382" s="57" t="s">
        <v>2290</v>
      </c>
      <c r="H1382" s="57" t="s">
        <v>1354</v>
      </c>
    </row>
    <row r="1383" spans="2:8" ht="13.5" customHeight="1">
      <c r="B1383" s="57" t="s">
        <v>2125</v>
      </c>
      <c r="D1383" s="57" t="s">
        <v>2126</v>
      </c>
      <c r="F1383" s="57">
        <v>6</v>
      </c>
      <c r="G1383" s="57" t="s">
        <v>2290</v>
      </c>
      <c r="H1383" s="57" t="s">
        <v>1354</v>
      </c>
    </row>
    <row r="1384" spans="2:8" ht="13.5" customHeight="1">
      <c r="B1384" s="57" t="s">
        <v>2062</v>
      </c>
      <c r="D1384" s="60" t="s">
        <v>8181</v>
      </c>
      <c r="E1384" s="57" t="s">
        <v>2063</v>
      </c>
      <c r="F1384" s="57">
        <v>7</v>
      </c>
      <c r="G1384" s="57" t="s">
        <v>2290</v>
      </c>
      <c r="H1384" s="57" t="s">
        <v>1354</v>
      </c>
    </row>
    <row r="1385" spans="2:8" ht="13.5" customHeight="1">
      <c r="B1385" s="57" t="s">
        <v>2136</v>
      </c>
      <c r="D1385" s="57" t="s">
        <v>2137</v>
      </c>
      <c r="F1385" s="57">
        <v>8</v>
      </c>
      <c r="G1385" s="57" t="s">
        <v>2290</v>
      </c>
      <c r="H1385" s="57" t="s">
        <v>1354</v>
      </c>
    </row>
    <row r="1386" spans="2:8" ht="13.5" customHeight="1">
      <c r="B1386" s="68" t="s">
        <v>1839</v>
      </c>
      <c r="D1386" s="68" t="s">
        <v>2248</v>
      </c>
      <c r="F1386" s="57">
        <v>10</v>
      </c>
      <c r="G1386" s="57" t="s">
        <v>2290</v>
      </c>
      <c r="H1386" s="57" t="s">
        <v>1354</v>
      </c>
    </row>
    <row r="1387" spans="2:8" ht="13.5" customHeight="1">
      <c r="B1387" s="57" t="s">
        <v>2182</v>
      </c>
      <c r="D1387" s="57" t="s">
        <v>2182</v>
      </c>
      <c r="F1387" s="57">
        <v>20</v>
      </c>
      <c r="G1387" s="57" t="s">
        <v>2290</v>
      </c>
      <c r="H1387" s="57" t="s">
        <v>1354</v>
      </c>
    </row>
    <row r="1388" spans="2:8" ht="13.5" customHeight="1">
      <c r="B1388" s="57" t="s">
        <v>2042</v>
      </c>
      <c r="D1388" s="57" t="s">
        <v>2043</v>
      </c>
      <c r="F1388" s="57">
        <v>24</v>
      </c>
      <c r="G1388" s="57" t="s">
        <v>2290</v>
      </c>
      <c r="H1388" s="57" t="s">
        <v>1354</v>
      </c>
    </row>
    <row r="1389" spans="2:8" ht="13.5" customHeight="1">
      <c r="B1389" s="57" t="s">
        <v>2044</v>
      </c>
      <c r="D1389" s="57" t="s">
        <v>2045</v>
      </c>
      <c r="F1389" s="57">
        <v>24</v>
      </c>
      <c r="G1389" s="57" t="s">
        <v>2290</v>
      </c>
      <c r="H1389" s="57" t="s">
        <v>1354</v>
      </c>
    </row>
    <row r="1390" spans="2:8" ht="13.5" customHeight="1">
      <c r="B1390" s="57" t="s">
        <v>1995</v>
      </c>
      <c r="D1390" s="57" t="s">
        <v>1996</v>
      </c>
      <c r="E1390" s="57" t="s">
        <v>1997</v>
      </c>
      <c r="F1390" s="57">
        <v>25</v>
      </c>
      <c r="G1390" s="57" t="s">
        <v>2290</v>
      </c>
      <c r="H1390" s="57" t="s">
        <v>1354</v>
      </c>
    </row>
    <row r="1391" spans="2:8" ht="13.5" customHeight="1">
      <c r="B1391" s="57" t="s">
        <v>2034</v>
      </c>
      <c r="D1391" s="57" t="s">
        <v>2035</v>
      </c>
      <c r="F1391" s="57">
        <v>25</v>
      </c>
      <c r="G1391" s="57" t="s">
        <v>2290</v>
      </c>
      <c r="H1391" s="57" t="s">
        <v>1354</v>
      </c>
    </row>
    <row r="1392" spans="2:8" ht="13.5" customHeight="1">
      <c r="B1392" s="57" t="s">
        <v>2036</v>
      </c>
      <c r="D1392" s="57" t="s">
        <v>2037</v>
      </c>
      <c r="F1392" s="57">
        <v>26</v>
      </c>
      <c r="G1392" s="57" t="s">
        <v>2290</v>
      </c>
      <c r="H1392" s="57" t="s">
        <v>1354</v>
      </c>
    </row>
    <row r="1393" spans="2:8" ht="13.5" customHeight="1">
      <c r="B1393" s="57" t="s">
        <v>2062</v>
      </c>
      <c r="D1393" s="57" t="s">
        <v>2064</v>
      </c>
      <c r="F1393" s="57">
        <v>27</v>
      </c>
      <c r="G1393" s="57" t="s">
        <v>2290</v>
      </c>
      <c r="H1393" s="57" t="s">
        <v>1354</v>
      </c>
    </row>
    <row r="1394" spans="2:8" ht="13.5" customHeight="1">
      <c r="B1394" s="57" t="s">
        <v>2030</v>
      </c>
      <c r="D1394" s="57" t="s">
        <v>1617</v>
      </c>
      <c r="E1394" s="57" t="s">
        <v>2033</v>
      </c>
      <c r="F1394" s="57">
        <v>33</v>
      </c>
      <c r="G1394" s="57" t="s">
        <v>2290</v>
      </c>
      <c r="H1394" s="57" t="s">
        <v>1354</v>
      </c>
    </row>
    <row r="1395" spans="2:8" ht="13.5" customHeight="1">
      <c r="B1395" s="57" t="s">
        <v>2121</v>
      </c>
      <c r="D1395" s="57" t="s">
        <v>2122</v>
      </c>
      <c r="F1395" s="57">
        <v>38</v>
      </c>
      <c r="G1395" s="57" t="s">
        <v>2290</v>
      </c>
      <c r="H1395" s="57" t="s">
        <v>1354</v>
      </c>
    </row>
    <row r="1396" spans="2:8" ht="13.5" customHeight="1">
      <c r="B1396" s="57" t="s">
        <v>1918</v>
      </c>
      <c r="D1396" s="57">
        <v>5011</v>
      </c>
      <c r="F1396" s="57">
        <v>40</v>
      </c>
      <c r="G1396" s="57" t="s">
        <v>2290</v>
      </c>
      <c r="H1396" s="57" t="s">
        <v>1354</v>
      </c>
    </row>
    <row r="1397" spans="2:8" ht="13.5" customHeight="1">
      <c r="B1397" s="57" t="s">
        <v>2028</v>
      </c>
      <c r="D1397" s="57" t="s">
        <v>2029</v>
      </c>
      <c r="F1397" s="57">
        <v>97</v>
      </c>
      <c r="G1397" s="57" t="s">
        <v>2290</v>
      </c>
      <c r="H1397" s="57" t="s">
        <v>1354</v>
      </c>
    </row>
    <row r="1398" spans="2:8" ht="13.5" customHeight="1">
      <c r="B1398" s="57" t="s">
        <v>2038</v>
      </c>
      <c r="D1398" s="57" t="s">
        <v>2039</v>
      </c>
      <c r="F1398" s="57">
        <v>105</v>
      </c>
      <c r="G1398" s="57" t="s">
        <v>2290</v>
      </c>
      <c r="H1398" s="57" t="s">
        <v>1354</v>
      </c>
    </row>
    <row r="1399" spans="2:8" ht="13.5" customHeight="1">
      <c r="B1399" s="57" t="s">
        <v>2150</v>
      </c>
      <c r="D1399" s="57" t="s">
        <v>2151</v>
      </c>
      <c r="F1399" s="57">
        <v>1</v>
      </c>
      <c r="G1399" s="57" t="s">
        <v>2290</v>
      </c>
      <c r="H1399" s="57" t="s">
        <v>1356</v>
      </c>
    </row>
    <row r="1400" spans="2:8" ht="13.5" customHeight="1">
      <c r="B1400" s="57" t="s">
        <v>2204</v>
      </c>
      <c r="D1400" s="57" t="s">
        <v>2204</v>
      </c>
      <c r="F1400" s="57">
        <v>2</v>
      </c>
      <c r="G1400" s="57" t="s">
        <v>2290</v>
      </c>
      <c r="H1400" s="57" t="s">
        <v>1356</v>
      </c>
    </row>
    <row r="1401" spans="2:8" ht="13.5" customHeight="1">
      <c r="B1401" s="57" t="s">
        <v>2017</v>
      </c>
      <c r="D1401" s="57" t="s">
        <v>2018</v>
      </c>
      <c r="F1401" s="57">
        <v>4</v>
      </c>
      <c r="G1401" s="57" t="s">
        <v>2290</v>
      </c>
      <c r="H1401" s="57" t="s">
        <v>1356</v>
      </c>
    </row>
    <row r="1402" spans="2:8" ht="13.5" customHeight="1">
      <c r="D1402" s="57" t="s">
        <v>2286</v>
      </c>
      <c r="F1402" s="57">
        <v>5</v>
      </c>
      <c r="G1402" s="57" t="s">
        <v>2290</v>
      </c>
      <c r="H1402" s="57" t="s">
        <v>1356</v>
      </c>
    </row>
    <row r="1403" spans="2:8" ht="13.5" customHeight="1">
      <c r="B1403" s="57" t="s">
        <v>2166</v>
      </c>
      <c r="D1403" s="57" t="s">
        <v>2166</v>
      </c>
      <c r="F1403" s="57">
        <v>6</v>
      </c>
      <c r="G1403" s="57" t="s">
        <v>2290</v>
      </c>
      <c r="H1403" s="57" t="s">
        <v>1356</v>
      </c>
    </row>
    <row r="1404" spans="2:8" ht="13.5" customHeight="1">
      <c r="B1404" s="57" t="s">
        <v>2189</v>
      </c>
      <c r="D1404" s="57" t="s">
        <v>2189</v>
      </c>
      <c r="F1404" s="57">
        <v>6</v>
      </c>
      <c r="G1404" s="57" t="s">
        <v>2290</v>
      </c>
      <c r="H1404" s="57" t="s">
        <v>1356</v>
      </c>
    </row>
    <row r="1405" spans="2:8" ht="13.5" customHeight="1">
      <c r="B1405" s="57" t="s">
        <v>1887</v>
      </c>
      <c r="D1405" s="57" t="s">
        <v>1888</v>
      </c>
      <c r="F1405" s="57">
        <v>6</v>
      </c>
      <c r="G1405" s="57" t="s">
        <v>2290</v>
      </c>
      <c r="H1405" s="57" t="s">
        <v>1356</v>
      </c>
    </row>
    <row r="1406" spans="2:8" ht="13.5" customHeight="1">
      <c r="B1406" s="57" t="s">
        <v>8152</v>
      </c>
      <c r="D1406" s="60" t="s">
        <v>8182</v>
      </c>
      <c r="F1406" s="57">
        <v>25</v>
      </c>
      <c r="G1406" s="57" t="s">
        <v>2290</v>
      </c>
      <c r="H1406" s="57" t="s">
        <v>1356</v>
      </c>
    </row>
    <row r="1407" spans="2:8" ht="13.5" customHeight="1">
      <c r="B1407" s="57" t="s">
        <v>2088</v>
      </c>
      <c r="D1407" s="57" t="s">
        <v>2089</v>
      </c>
      <c r="F1407" s="57">
        <v>2</v>
      </c>
      <c r="G1407" s="57" t="s">
        <v>2290</v>
      </c>
      <c r="H1407" s="57" t="s">
        <v>2287</v>
      </c>
    </row>
    <row r="1408" spans="2:8" ht="13.5" customHeight="1">
      <c r="B1408" s="57" t="s">
        <v>2086</v>
      </c>
      <c r="D1408" s="57" t="s">
        <v>2087</v>
      </c>
      <c r="F1408" s="57">
        <v>2</v>
      </c>
      <c r="G1408" s="57" t="s">
        <v>2290</v>
      </c>
      <c r="H1408" s="57" t="s">
        <v>2287</v>
      </c>
    </row>
    <row r="1409" spans="2:8" ht="13.5" customHeight="1">
      <c r="B1409" s="57" t="s">
        <v>2098</v>
      </c>
      <c r="D1409" s="57" t="s">
        <v>2099</v>
      </c>
      <c r="F1409" s="57">
        <v>2</v>
      </c>
      <c r="G1409" s="57" t="s">
        <v>2290</v>
      </c>
      <c r="H1409" s="57" t="s">
        <v>2287</v>
      </c>
    </row>
    <row r="1410" spans="2:8" ht="13.5" customHeight="1">
      <c r="D1410" s="57" t="s">
        <v>2228</v>
      </c>
      <c r="F1410" s="57">
        <v>5</v>
      </c>
      <c r="G1410" s="57" t="s">
        <v>2290</v>
      </c>
      <c r="H1410" s="57" t="s">
        <v>2287</v>
      </c>
    </row>
    <row r="1411" spans="2:8" ht="13.5" customHeight="1">
      <c r="B1411" s="57" t="s">
        <v>2205</v>
      </c>
      <c r="D1411" s="57">
        <v>4708</v>
      </c>
      <c r="F1411" s="57">
        <v>10</v>
      </c>
      <c r="G1411" s="57" t="s">
        <v>2290</v>
      </c>
      <c r="H1411" s="57" t="s">
        <v>2287</v>
      </c>
    </row>
    <row r="1412" spans="2:8" ht="13.5" customHeight="1">
      <c r="D1412" s="57" t="s">
        <v>2227</v>
      </c>
      <c r="F1412" s="57">
        <v>10</v>
      </c>
      <c r="G1412" s="57" t="s">
        <v>2290</v>
      </c>
      <c r="H1412" s="57" t="s">
        <v>2287</v>
      </c>
    </row>
    <row r="1413" spans="2:8" ht="13.5" customHeight="1">
      <c r="B1413" s="57" t="s">
        <v>2211</v>
      </c>
      <c r="D1413" s="57" t="s">
        <v>2212</v>
      </c>
      <c r="F1413" s="57">
        <v>18</v>
      </c>
      <c r="G1413" s="57" t="s">
        <v>2290</v>
      </c>
      <c r="H1413" s="57" t="s">
        <v>2287</v>
      </c>
    </row>
    <row r="1414" spans="2:8" ht="13.5" customHeight="1">
      <c r="B1414" s="57" t="s">
        <v>1858</v>
      </c>
      <c r="D1414" s="57" t="s">
        <v>1859</v>
      </c>
      <c r="E1414" s="57" t="s">
        <v>1860</v>
      </c>
      <c r="F1414" s="57">
        <v>22</v>
      </c>
      <c r="G1414" s="57" t="s">
        <v>2290</v>
      </c>
      <c r="H1414" s="57" t="s">
        <v>2287</v>
      </c>
    </row>
    <row r="1415" spans="2:8" ht="13.5" customHeight="1">
      <c r="B1415" s="57" t="s">
        <v>2218</v>
      </c>
      <c r="D1415" s="57" t="s">
        <v>2219</v>
      </c>
      <c r="F1415" s="57">
        <v>23</v>
      </c>
      <c r="G1415" s="57" t="s">
        <v>2290</v>
      </c>
      <c r="H1415" s="57" t="s">
        <v>2287</v>
      </c>
    </row>
    <row r="1416" spans="2:8" ht="13.5" customHeight="1">
      <c r="B1416" s="57" t="s">
        <v>2213</v>
      </c>
      <c r="D1416" s="57" t="s">
        <v>2213</v>
      </c>
      <c r="F1416" s="57">
        <v>23</v>
      </c>
      <c r="G1416" s="57" t="s">
        <v>2290</v>
      </c>
      <c r="H1416" s="57" t="s">
        <v>2287</v>
      </c>
    </row>
    <row r="1417" spans="2:8" ht="13.5" customHeight="1">
      <c r="B1417" s="57" t="s">
        <v>2065</v>
      </c>
      <c r="D1417" s="57" t="s">
        <v>2066</v>
      </c>
      <c r="F1417" s="57">
        <v>25</v>
      </c>
      <c r="G1417" s="57" t="s">
        <v>2290</v>
      </c>
      <c r="H1417" s="57" t="s">
        <v>2287</v>
      </c>
    </row>
    <row r="1418" spans="2:8" ht="13.5" customHeight="1">
      <c r="B1418" s="57" t="s">
        <v>2207</v>
      </c>
      <c r="D1418" s="57" t="s">
        <v>2208</v>
      </c>
      <c r="F1418" s="57">
        <v>33</v>
      </c>
      <c r="G1418" s="57" t="s">
        <v>2290</v>
      </c>
      <c r="H1418" s="57" t="s">
        <v>2287</v>
      </c>
    </row>
    <row r="1419" spans="2:8" ht="13.5" customHeight="1">
      <c r="B1419" s="57" t="s">
        <v>2216</v>
      </c>
      <c r="D1419" s="57" t="s">
        <v>2217</v>
      </c>
      <c r="F1419" s="57">
        <v>44</v>
      </c>
      <c r="G1419" s="57" t="s">
        <v>2290</v>
      </c>
      <c r="H1419" s="57" t="s">
        <v>2287</v>
      </c>
    </row>
    <row r="1420" spans="2:8" ht="13.5" customHeight="1">
      <c r="B1420" s="57" t="s">
        <v>2209</v>
      </c>
      <c r="D1420" s="57" t="s">
        <v>2210</v>
      </c>
      <c r="F1420" s="57">
        <v>47</v>
      </c>
      <c r="G1420" s="57" t="s">
        <v>2290</v>
      </c>
      <c r="H1420" s="57" t="s">
        <v>2287</v>
      </c>
    </row>
    <row r="1421" spans="2:8" ht="13.5" customHeight="1">
      <c r="B1421" s="57" t="s">
        <v>2206</v>
      </c>
      <c r="D1421" s="57">
        <v>4688</v>
      </c>
      <c r="F1421" s="57">
        <v>192</v>
      </c>
      <c r="G1421" s="57" t="s">
        <v>2290</v>
      </c>
      <c r="H1421" s="57" t="s">
        <v>2287</v>
      </c>
    </row>
    <row r="1422" spans="2:8" ht="13.5" customHeight="1">
      <c r="B1422" s="57" t="s">
        <v>2214</v>
      </c>
      <c r="D1422" s="57" t="s">
        <v>2215</v>
      </c>
      <c r="F1422" s="57">
        <v>194</v>
      </c>
      <c r="G1422" s="57" t="s">
        <v>2290</v>
      </c>
      <c r="H1422" s="57" t="s">
        <v>2287</v>
      </c>
    </row>
    <row r="1423" spans="2:8" ht="13.5" customHeight="1">
      <c r="B1423" s="57" t="s">
        <v>2282</v>
      </c>
      <c r="D1423" s="57" t="s">
        <v>2283</v>
      </c>
      <c r="F1423" s="57">
        <v>1</v>
      </c>
      <c r="G1423" s="57" t="s">
        <v>2290</v>
      </c>
      <c r="H1423" s="57" t="s">
        <v>2288</v>
      </c>
    </row>
    <row r="1424" spans="2:8" ht="13.5" customHeight="1">
      <c r="B1424" s="57" t="s">
        <v>2220</v>
      </c>
      <c r="D1424" s="57" t="s">
        <v>2221</v>
      </c>
      <c r="F1424" s="57">
        <v>2</v>
      </c>
      <c r="G1424" s="57" t="s">
        <v>2290</v>
      </c>
      <c r="H1424" s="57" t="s">
        <v>2288</v>
      </c>
    </row>
    <row r="1425" spans="2:8" ht="13.5" customHeight="1">
      <c r="B1425" s="57" t="s">
        <v>2262</v>
      </c>
      <c r="D1425" s="57" t="s">
        <v>2263</v>
      </c>
      <c r="F1425" s="57">
        <v>2</v>
      </c>
      <c r="G1425" s="57" t="s">
        <v>2290</v>
      </c>
      <c r="H1425" s="57" t="s">
        <v>2288</v>
      </c>
    </row>
    <row r="1426" spans="2:8" ht="13.5" customHeight="1">
      <c r="B1426" s="57" t="s">
        <v>2246</v>
      </c>
      <c r="D1426" s="57" t="s">
        <v>2247</v>
      </c>
      <c r="F1426" s="57">
        <v>3</v>
      </c>
      <c r="G1426" s="57" t="s">
        <v>2290</v>
      </c>
      <c r="H1426" s="57" t="s">
        <v>2288</v>
      </c>
    </row>
    <row r="1427" spans="2:8" ht="13.5" customHeight="1">
      <c r="B1427" s="57" t="s">
        <v>2236</v>
      </c>
      <c r="D1427" s="57" t="s">
        <v>2237</v>
      </c>
      <c r="F1427" s="57">
        <v>3</v>
      </c>
      <c r="G1427" s="57" t="s">
        <v>2290</v>
      </c>
      <c r="H1427" s="57" t="s">
        <v>2288</v>
      </c>
    </row>
    <row r="1428" spans="2:8" ht="13.5" customHeight="1">
      <c r="B1428" s="57" t="s">
        <v>2240</v>
      </c>
      <c r="D1428" s="57" t="s">
        <v>2241</v>
      </c>
      <c r="F1428" s="57">
        <v>3</v>
      </c>
      <c r="G1428" s="57" t="s">
        <v>2290</v>
      </c>
      <c r="H1428" s="57" t="s">
        <v>2288</v>
      </c>
    </row>
    <row r="1429" spans="2:8" ht="13.5" customHeight="1">
      <c r="B1429" s="57" t="s">
        <v>2232</v>
      </c>
      <c r="D1429" s="57" t="s">
        <v>2233</v>
      </c>
      <c r="F1429" s="57">
        <v>5</v>
      </c>
      <c r="G1429" s="57" t="s">
        <v>2290</v>
      </c>
      <c r="H1429" s="57" t="s">
        <v>2288</v>
      </c>
    </row>
    <row r="1430" spans="2:8" ht="13.5" customHeight="1">
      <c r="B1430" s="57" t="s">
        <v>2280</v>
      </c>
      <c r="D1430" s="57" t="s">
        <v>2281</v>
      </c>
      <c r="F1430" s="57">
        <v>10</v>
      </c>
      <c r="G1430" s="57" t="s">
        <v>2290</v>
      </c>
      <c r="H1430" s="57" t="s">
        <v>2288</v>
      </c>
    </row>
    <row r="1431" spans="2:8" ht="13.5" customHeight="1">
      <c r="B1431" s="57" t="s">
        <v>2234</v>
      </c>
      <c r="D1431" s="57" t="s">
        <v>2235</v>
      </c>
      <c r="F1431" s="57">
        <v>18</v>
      </c>
      <c r="G1431" s="57" t="s">
        <v>2290</v>
      </c>
      <c r="H1431" s="57" t="s">
        <v>2288</v>
      </c>
    </row>
    <row r="1432" spans="2:8" ht="13.5" customHeight="1">
      <c r="B1432" s="57" t="s">
        <v>2276</v>
      </c>
      <c r="D1432" s="60" t="s">
        <v>8175</v>
      </c>
      <c r="E1432" s="57" t="s">
        <v>2277</v>
      </c>
      <c r="F1432" s="57">
        <v>30</v>
      </c>
      <c r="G1432" s="57" t="s">
        <v>2290</v>
      </c>
      <c r="H1432" s="57" t="s">
        <v>2288</v>
      </c>
    </row>
    <row r="1433" spans="2:8" ht="13.5" customHeight="1">
      <c r="B1433" s="57" t="s">
        <v>1942</v>
      </c>
      <c r="D1433" s="57" t="s">
        <v>1943</v>
      </c>
      <c r="F1433" s="57">
        <v>33</v>
      </c>
      <c r="G1433" s="57" t="s">
        <v>2290</v>
      </c>
      <c r="H1433" s="57" t="s">
        <v>2288</v>
      </c>
    </row>
    <row r="1434" spans="2:8" ht="13.5" customHeight="1">
      <c r="B1434" s="57" t="s">
        <v>2251</v>
      </c>
      <c r="D1434" s="57" t="s">
        <v>2252</v>
      </c>
      <c r="F1434" s="57">
        <v>39</v>
      </c>
      <c r="G1434" s="57" t="s">
        <v>2290</v>
      </c>
      <c r="H1434" s="57" t="s">
        <v>2288</v>
      </c>
    </row>
    <row r="1435" spans="2:8" ht="13.5" customHeight="1">
      <c r="B1435" s="57" t="s">
        <v>2284</v>
      </c>
      <c r="D1435" s="57" t="s">
        <v>2285</v>
      </c>
      <c r="F1435" s="57">
        <v>44</v>
      </c>
      <c r="G1435" s="57" t="s">
        <v>2290</v>
      </c>
      <c r="H1435" s="57" t="s">
        <v>2288</v>
      </c>
    </row>
    <row r="1436" spans="2:8" ht="13.5" customHeight="1">
      <c r="B1436" s="57" t="s">
        <v>2257</v>
      </c>
      <c r="D1436" s="57" t="s">
        <v>2258</v>
      </c>
      <c r="F1436" s="57">
        <v>76</v>
      </c>
      <c r="G1436" s="57" t="s">
        <v>2290</v>
      </c>
      <c r="H1436" s="57" t="s">
        <v>2288</v>
      </c>
    </row>
    <row r="1437" spans="2:8" ht="13.5" customHeight="1">
      <c r="B1437" s="57" t="s">
        <v>2272</v>
      </c>
      <c r="D1437" s="57" t="s">
        <v>2273</v>
      </c>
      <c r="F1437" s="57">
        <v>95</v>
      </c>
      <c r="G1437" s="57" t="s">
        <v>2290</v>
      </c>
      <c r="H1437" s="57" t="s">
        <v>2288</v>
      </c>
    </row>
    <row r="1438" spans="2:8" ht="13.5" customHeight="1">
      <c r="B1438" s="57" t="s">
        <v>2229</v>
      </c>
      <c r="D1438" s="57" t="s">
        <v>2230</v>
      </c>
      <c r="F1438" s="57">
        <v>170</v>
      </c>
      <c r="G1438" s="57" t="s">
        <v>2290</v>
      </c>
      <c r="H1438" s="57" t="s">
        <v>2288</v>
      </c>
    </row>
    <row r="1439" spans="2:8" ht="13.5" customHeight="1">
      <c r="B1439" s="57" t="s">
        <v>2242</v>
      </c>
      <c r="D1439" s="57" t="s">
        <v>2243</v>
      </c>
      <c r="F1439" s="57">
        <v>2</v>
      </c>
      <c r="G1439" s="57" t="s">
        <v>2290</v>
      </c>
      <c r="H1439" s="57" t="s">
        <v>2289</v>
      </c>
    </row>
    <row r="1440" spans="2:8" ht="13.5" customHeight="1">
      <c r="B1440" s="57" t="s">
        <v>2266</v>
      </c>
      <c r="D1440" s="60" t="s">
        <v>8180</v>
      </c>
      <c r="E1440" s="57" t="s">
        <v>2267</v>
      </c>
      <c r="F1440" s="57">
        <v>2</v>
      </c>
      <c r="G1440" s="57" t="s">
        <v>2290</v>
      </c>
      <c r="H1440" s="57" t="s">
        <v>2289</v>
      </c>
    </row>
    <row r="1441" spans="2:8" ht="13.5" customHeight="1">
      <c r="B1441" s="57" t="s">
        <v>2238</v>
      </c>
      <c r="D1441" s="57" t="s">
        <v>2239</v>
      </c>
      <c r="F1441" s="57">
        <v>3</v>
      </c>
      <c r="G1441" s="57" t="s">
        <v>2290</v>
      </c>
      <c r="H1441" s="57" t="s">
        <v>2289</v>
      </c>
    </row>
    <row r="1442" spans="2:8" ht="13.5" customHeight="1">
      <c r="B1442" s="57" t="s">
        <v>2244</v>
      </c>
      <c r="D1442" s="57" t="s">
        <v>2245</v>
      </c>
      <c r="F1442" s="57">
        <v>3</v>
      </c>
      <c r="G1442" s="57" t="s">
        <v>2290</v>
      </c>
      <c r="H1442" s="57" t="s">
        <v>2289</v>
      </c>
    </row>
    <row r="1443" spans="2:8" ht="13.5" customHeight="1">
      <c r="B1443" s="57" t="s">
        <v>2278</v>
      </c>
      <c r="D1443" s="60" t="s">
        <v>8179</v>
      </c>
      <c r="E1443" s="57" t="s">
        <v>2279</v>
      </c>
      <c r="F1443" s="57">
        <v>5</v>
      </c>
      <c r="G1443" s="57" t="s">
        <v>2290</v>
      </c>
      <c r="H1443" s="57" t="s">
        <v>2289</v>
      </c>
    </row>
    <row r="1444" spans="2:8" ht="13.5" customHeight="1">
      <c r="B1444" s="57" t="s">
        <v>2231</v>
      </c>
      <c r="D1444" s="57" t="s">
        <v>473</v>
      </c>
      <c r="F1444" s="57">
        <v>8</v>
      </c>
      <c r="G1444" s="57" t="s">
        <v>2290</v>
      </c>
      <c r="H1444" s="57" t="s">
        <v>2289</v>
      </c>
    </row>
    <row r="1445" spans="2:8" ht="13.5" customHeight="1">
      <c r="B1445" s="57" t="s">
        <v>2260</v>
      </c>
      <c r="D1445" s="57" t="s">
        <v>2261</v>
      </c>
      <c r="F1445" s="57">
        <v>8</v>
      </c>
      <c r="G1445" s="57" t="s">
        <v>2290</v>
      </c>
      <c r="H1445" s="57" t="s">
        <v>2289</v>
      </c>
    </row>
    <row r="1446" spans="2:8" ht="13.5" customHeight="1">
      <c r="B1446" s="57" t="s">
        <v>1883</v>
      </c>
      <c r="D1446" s="57" t="s">
        <v>2023</v>
      </c>
      <c r="F1446" s="57">
        <v>11</v>
      </c>
      <c r="G1446" s="57" t="s">
        <v>2290</v>
      </c>
      <c r="H1446" s="57" t="s">
        <v>2289</v>
      </c>
    </row>
    <row r="1447" spans="2:8" ht="13.5" customHeight="1">
      <c r="B1447" s="57" t="s">
        <v>2253</v>
      </c>
      <c r="D1447" s="60" t="s">
        <v>8174</v>
      </c>
      <c r="E1447" s="57" t="s">
        <v>2254</v>
      </c>
      <c r="F1447" s="57">
        <v>17</v>
      </c>
      <c r="G1447" s="57" t="s">
        <v>2290</v>
      </c>
      <c r="H1447" s="57" t="s">
        <v>2289</v>
      </c>
    </row>
    <row r="1448" spans="2:8" ht="13.5" customHeight="1">
      <c r="B1448" s="57" t="s">
        <v>2113</v>
      </c>
      <c r="D1448" s="57" t="s">
        <v>314</v>
      </c>
      <c r="E1448" s="57" t="s">
        <v>1962</v>
      </c>
      <c r="F1448" s="57">
        <v>18</v>
      </c>
      <c r="G1448" s="57" t="s">
        <v>2290</v>
      </c>
      <c r="H1448" s="57" t="s">
        <v>2289</v>
      </c>
    </row>
    <row r="1449" spans="2:8" ht="13.5" customHeight="1">
      <c r="B1449" s="57" t="s">
        <v>2259</v>
      </c>
      <c r="D1449" s="60" t="s">
        <v>8173</v>
      </c>
      <c r="E1449" s="60"/>
      <c r="F1449" s="57">
        <v>29</v>
      </c>
      <c r="G1449" s="57" t="s">
        <v>2290</v>
      </c>
      <c r="H1449" s="57" t="s">
        <v>2289</v>
      </c>
    </row>
    <row r="1450" spans="2:8" ht="13.5" customHeight="1">
      <c r="B1450" s="57" t="s">
        <v>2264</v>
      </c>
      <c r="D1450" s="60" t="s">
        <v>8176</v>
      </c>
      <c r="E1450" s="57" t="s">
        <v>2265</v>
      </c>
      <c r="F1450" s="57">
        <v>32</v>
      </c>
      <c r="G1450" s="57" t="s">
        <v>2290</v>
      </c>
      <c r="H1450" s="57" t="s">
        <v>2289</v>
      </c>
    </row>
    <row r="1451" spans="2:8" ht="13.5" customHeight="1">
      <c r="B1451" s="57" t="s">
        <v>2274</v>
      </c>
      <c r="D1451" s="57" t="s">
        <v>2275</v>
      </c>
      <c r="F1451" s="57">
        <v>32</v>
      </c>
      <c r="G1451" s="57" t="s">
        <v>2290</v>
      </c>
      <c r="H1451" s="57" t="s">
        <v>2289</v>
      </c>
    </row>
    <row r="1452" spans="2:8" ht="13.5" customHeight="1">
      <c r="B1452" s="57" t="s">
        <v>2255</v>
      </c>
      <c r="D1452" s="57" t="s">
        <v>2256</v>
      </c>
      <c r="F1452" s="57">
        <v>70</v>
      </c>
      <c r="G1452" s="57" t="s">
        <v>2290</v>
      </c>
      <c r="H1452" s="57" t="s">
        <v>2289</v>
      </c>
    </row>
    <row r="1453" spans="2:8" ht="13.5" customHeight="1">
      <c r="B1453" s="57" t="s">
        <v>2222</v>
      </c>
      <c r="D1453" s="60" t="s">
        <v>8177</v>
      </c>
      <c r="E1453" s="57" t="s">
        <v>2223</v>
      </c>
      <c r="F1453" s="57">
        <v>73</v>
      </c>
      <c r="G1453" s="57" t="s">
        <v>2290</v>
      </c>
      <c r="H1453" s="57" t="s">
        <v>2289</v>
      </c>
    </row>
    <row r="1454" spans="2:8" ht="13.5" customHeight="1">
      <c r="B1454" s="57" t="s">
        <v>2268</v>
      </c>
      <c r="D1454" s="57" t="s">
        <v>2269</v>
      </c>
      <c r="F1454" s="57">
        <v>73</v>
      </c>
      <c r="G1454" s="57" t="s">
        <v>2290</v>
      </c>
      <c r="H1454" s="57" t="s">
        <v>2289</v>
      </c>
    </row>
    <row r="1455" spans="2:8" ht="13.5" customHeight="1">
      <c r="B1455" s="57" t="s">
        <v>2270</v>
      </c>
      <c r="D1455" s="60" t="s">
        <v>8178</v>
      </c>
      <c r="E1455" s="57" t="s">
        <v>2271</v>
      </c>
      <c r="F1455" s="57">
        <v>80</v>
      </c>
      <c r="G1455" s="57" t="s">
        <v>2290</v>
      </c>
      <c r="H1455" s="57" t="s">
        <v>2289</v>
      </c>
    </row>
    <row r="1456" spans="2:8" ht="13.5" customHeight="1">
      <c r="B1456" s="57" t="s">
        <v>2688</v>
      </c>
      <c r="D1456" s="57" t="s">
        <v>658</v>
      </c>
      <c r="F1456" s="57">
        <v>2</v>
      </c>
      <c r="G1456" s="57" t="s">
        <v>2774</v>
      </c>
      <c r="H1456" s="57" t="s">
        <v>343</v>
      </c>
    </row>
    <row r="1457" spans="2:9" ht="13.5" customHeight="1">
      <c r="B1457" s="57" t="s">
        <v>2686</v>
      </c>
      <c r="D1457" s="57" t="s">
        <v>2687</v>
      </c>
      <c r="F1457" s="57">
        <v>2</v>
      </c>
      <c r="G1457" s="57" t="s">
        <v>2774</v>
      </c>
      <c r="H1457" s="57" t="s">
        <v>343</v>
      </c>
    </row>
    <row r="1458" spans="2:9" ht="13.5" customHeight="1">
      <c r="B1458" s="57" t="s">
        <v>2708</v>
      </c>
      <c r="D1458" s="57" t="s">
        <v>2709</v>
      </c>
      <c r="F1458" s="57">
        <v>2</v>
      </c>
      <c r="G1458" s="57" t="s">
        <v>2774</v>
      </c>
      <c r="H1458" s="57" t="s">
        <v>343</v>
      </c>
    </row>
    <row r="1459" spans="2:9" ht="13.5" customHeight="1">
      <c r="B1459" s="57" t="s">
        <v>2706</v>
      </c>
      <c r="D1459" s="57" t="s">
        <v>2707</v>
      </c>
      <c r="F1459" s="57">
        <v>2</v>
      </c>
      <c r="G1459" s="57" t="s">
        <v>2774</v>
      </c>
      <c r="H1459" s="57" t="s">
        <v>343</v>
      </c>
    </row>
    <row r="1460" spans="2:9" ht="13.5" customHeight="1">
      <c r="B1460" s="57" t="s">
        <v>2710</v>
      </c>
      <c r="D1460" s="57" t="s">
        <v>2711</v>
      </c>
      <c r="F1460" s="57">
        <v>2</v>
      </c>
      <c r="G1460" s="57" t="s">
        <v>2774</v>
      </c>
      <c r="H1460" s="57" t="s">
        <v>343</v>
      </c>
    </row>
    <row r="1461" spans="2:9" ht="13.5" customHeight="1">
      <c r="B1461" s="57" t="s">
        <v>2704</v>
      </c>
      <c r="D1461" s="57" t="s">
        <v>2705</v>
      </c>
      <c r="F1461" s="57">
        <v>5</v>
      </c>
      <c r="G1461" s="57" t="s">
        <v>2774</v>
      </c>
      <c r="H1461" s="57" t="s">
        <v>343</v>
      </c>
    </row>
    <row r="1462" spans="2:9" ht="13.5" customHeight="1">
      <c r="B1462" s="57" t="s">
        <v>2698</v>
      </c>
      <c r="D1462" s="57" t="s">
        <v>2699</v>
      </c>
      <c r="F1462" s="57">
        <v>7</v>
      </c>
      <c r="G1462" s="57" t="s">
        <v>2774</v>
      </c>
      <c r="H1462" s="57" t="s">
        <v>343</v>
      </c>
    </row>
    <row r="1463" spans="2:9" ht="13.5" customHeight="1">
      <c r="B1463" s="57" t="s">
        <v>2696</v>
      </c>
      <c r="D1463" s="57" t="s">
        <v>2697</v>
      </c>
      <c r="F1463" s="57">
        <v>9</v>
      </c>
      <c r="G1463" s="57" t="s">
        <v>2774</v>
      </c>
      <c r="H1463" s="57" t="s">
        <v>343</v>
      </c>
    </row>
    <row r="1464" spans="2:9" ht="13.5" customHeight="1">
      <c r="B1464" s="57" t="s">
        <v>2702</v>
      </c>
      <c r="D1464" s="57" t="s">
        <v>2703</v>
      </c>
      <c r="F1464" s="57">
        <v>9</v>
      </c>
      <c r="G1464" s="57" t="s">
        <v>2774</v>
      </c>
      <c r="H1464" s="57" t="s">
        <v>343</v>
      </c>
    </row>
    <row r="1465" spans="2:9" ht="13.5" customHeight="1">
      <c r="B1465" s="57" t="s">
        <v>2689</v>
      </c>
      <c r="D1465" s="57" t="s">
        <v>2690</v>
      </c>
      <c r="F1465" s="57">
        <v>10</v>
      </c>
      <c r="G1465" s="57" t="s">
        <v>2774</v>
      </c>
      <c r="H1465" s="57" t="s">
        <v>343</v>
      </c>
    </row>
    <row r="1466" spans="2:9" ht="13.5" customHeight="1">
      <c r="B1466" s="57" t="s">
        <v>2691</v>
      </c>
      <c r="D1466" s="57" t="s">
        <v>2692</v>
      </c>
      <c r="F1466" s="57">
        <v>18</v>
      </c>
      <c r="G1466" s="57" t="s">
        <v>2774</v>
      </c>
      <c r="H1466" s="57" t="s">
        <v>343</v>
      </c>
    </row>
    <row r="1467" spans="2:9" ht="13.5" customHeight="1">
      <c r="B1467" s="57" t="s">
        <v>2695</v>
      </c>
      <c r="D1467" s="60" t="s">
        <v>8274</v>
      </c>
      <c r="F1467" s="57">
        <v>20</v>
      </c>
      <c r="G1467" s="57" t="s">
        <v>2774</v>
      </c>
      <c r="H1467" s="57" t="s">
        <v>343</v>
      </c>
      <c r="I1467" s="60"/>
    </row>
    <row r="1468" spans="2:9" ht="13.5" customHeight="1">
      <c r="B1468" s="57" t="s">
        <v>2693</v>
      </c>
      <c r="D1468" s="57" t="s">
        <v>2694</v>
      </c>
      <c r="F1468" s="57">
        <v>30</v>
      </c>
      <c r="G1468" s="57" t="s">
        <v>2774</v>
      </c>
      <c r="H1468" s="57" t="s">
        <v>343</v>
      </c>
    </row>
    <row r="1469" spans="2:9" ht="13.5" customHeight="1">
      <c r="B1469" s="57" t="s">
        <v>2700</v>
      </c>
      <c r="D1469" s="57" t="s">
        <v>2701</v>
      </c>
      <c r="F1469" s="57">
        <v>88</v>
      </c>
      <c r="G1469" s="57" t="s">
        <v>2774</v>
      </c>
      <c r="H1469" s="57" t="s">
        <v>343</v>
      </c>
    </row>
    <row r="1470" spans="2:9" ht="13.5" customHeight="1">
      <c r="B1470" s="57" t="s">
        <v>2713</v>
      </c>
      <c r="D1470" s="57" t="s">
        <v>2714</v>
      </c>
      <c r="F1470" s="57">
        <v>4</v>
      </c>
      <c r="G1470" s="57" t="s">
        <v>2774</v>
      </c>
      <c r="H1470" s="57" t="s">
        <v>344</v>
      </c>
    </row>
    <row r="1471" spans="2:9" ht="13.5" customHeight="1">
      <c r="B1471" s="57" t="s">
        <v>2740</v>
      </c>
      <c r="D1471" s="57" t="s">
        <v>2741</v>
      </c>
      <c r="F1471" s="57">
        <v>4</v>
      </c>
      <c r="G1471" s="57" t="s">
        <v>2774</v>
      </c>
      <c r="H1471" s="57" t="s">
        <v>344</v>
      </c>
    </row>
    <row r="1472" spans="2:9" ht="13.5" customHeight="1">
      <c r="B1472" s="57" t="s">
        <v>2720</v>
      </c>
      <c r="D1472" s="57" t="s">
        <v>2721</v>
      </c>
      <c r="F1472" s="57">
        <v>8</v>
      </c>
      <c r="G1472" s="57" t="s">
        <v>2774</v>
      </c>
      <c r="H1472" s="57" t="s">
        <v>344</v>
      </c>
    </row>
    <row r="1473" spans="2:8" ht="13.5" customHeight="1">
      <c r="B1473" s="57" t="s">
        <v>2718</v>
      </c>
      <c r="D1473" s="57" t="s">
        <v>2719</v>
      </c>
      <c r="F1473" s="57">
        <v>10</v>
      </c>
      <c r="G1473" s="57" t="s">
        <v>2774</v>
      </c>
      <c r="H1473" s="57" t="s">
        <v>344</v>
      </c>
    </row>
    <row r="1474" spans="2:8" ht="13.5" customHeight="1">
      <c r="B1474" s="57" t="s">
        <v>2761</v>
      </c>
      <c r="D1474" s="57" t="s">
        <v>1106</v>
      </c>
      <c r="F1474" s="57">
        <v>46</v>
      </c>
      <c r="G1474" s="57" t="s">
        <v>2774</v>
      </c>
      <c r="H1474" s="57" t="s">
        <v>344</v>
      </c>
    </row>
    <row r="1475" spans="2:8" ht="13.5" customHeight="1">
      <c r="B1475" s="57" t="s">
        <v>1542</v>
      </c>
      <c r="D1475" s="57" t="s">
        <v>2712</v>
      </c>
      <c r="F1475" s="57">
        <v>80</v>
      </c>
      <c r="G1475" s="57" t="s">
        <v>2774</v>
      </c>
      <c r="H1475" s="57" t="s">
        <v>344</v>
      </c>
    </row>
    <row r="1476" spans="2:8" ht="13.5" customHeight="1">
      <c r="B1476" s="57" t="s">
        <v>2730</v>
      </c>
      <c r="D1476" s="57" t="s">
        <v>2731</v>
      </c>
      <c r="F1476" s="57">
        <v>87</v>
      </c>
      <c r="G1476" s="57" t="s">
        <v>2774</v>
      </c>
      <c r="H1476" s="57" t="s">
        <v>344</v>
      </c>
    </row>
    <row r="1477" spans="2:8" ht="13.5" customHeight="1">
      <c r="B1477" s="57" t="s">
        <v>2753</v>
      </c>
      <c r="D1477" s="57">
        <v>526101272</v>
      </c>
      <c r="F1477" s="57">
        <v>1</v>
      </c>
      <c r="G1477" s="57" t="s">
        <v>2774</v>
      </c>
      <c r="H1477" s="57" t="s">
        <v>345</v>
      </c>
    </row>
    <row r="1478" spans="2:8" ht="13.5" customHeight="1">
      <c r="B1478" s="57" t="s">
        <v>2742</v>
      </c>
      <c r="D1478" s="57" t="s">
        <v>1922</v>
      </c>
      <c r="F1478" s="57">
        <v>1</v>
      </c>
      <c r="G1478" s="57" t="s">
        <v>2774</v>
      </c>
      <c r="H1478" s="57" t="s">
        <v>345</v>
      </c>
    </row>
    <row r="1479" spans="2:8" ht="13.5" customHeight="1">
      <c r="B1479" s="57" t="s">
        <v>2738</v>
      </c>
      <c r="D1479" s="57" t="s">
        <v>2739</v>
      </c>
      <c r="F1479" s="57">
        <v>1</v>
      </c>
      <c r="G1479" s="57" t="s">
        <v>2774</v>
      </c>
      <c r="H1479" s="57" t="s">
        <v>345</v>
      </c>
    </row>
    <row r="1480" spans="2:8" ht="13.5" customHeight="1">
      <c r="B1480" s="57" t="s">
        <v>2755</v>
      </c>
      <c r="D1480" s="57" t="s">
        <v>2756</v>
      </c>
      <c r="F1480" s="57">
        <v>2</v>
      </c>
      <c r="G1480" s="57" t="s">
        <v>2774</v>
      </c>
      <c r="H1480" s="57" t="s">
        <v>345</v>
      </c>
    </row>
    <row r="1481" spans="2:8" ht="13.5" customHeight="1">
      <c r="B1481" s="57" t="s">
        <v>2745</v>
      </c>
      <c r="D1481" s="57" t="s">
        <v>2746</v>
      </c>
      <c r="F1481" s="57">
        <v>2</v>
      </c>
      <c r="G1481" s="57" t="s">
        <v>2774</v>
      </c>
      <c r="H1481" s="57" t="s">
        <v>345</v>
      </c>
    </row>
    <row r="1482" spans="2:8" ht="13.5" customHeight="1">
      <c r="B1482" s="57" t="s">
        <v>2743</v>
      </c>
      <c r="D1482" s="57" t="s">
        <v>2744</v>
      </c>
      <c r="F1482" s="57">
        <v>3</v>
      </c>
      <c r="G1482" s="57" t="s">
        <v>2774</v>
      </c>
      <c r="H1482" s="57" t="s">
        <v>345</v>
      </c>
    </row>
    <row r="1483" spans="2:8" ht="13.5" customHeight="1">
      <c r="B1483" s="57" t="s">
        <v>2764</v>
      </c>
      <c r="D1483" s="57" t="s">
        <v>2765</v>
      </c>
      <c r="F1483" s="57">
        <v>4</v>
      </c>
      <c r="G1483" s="57" t="s">
        <v>2774</v>
      </c>
      <c r="H1483" s="57" t="s">
        <v>345</v>
      </c>
    </row>
    <row r="1484" spans="2:8" ht="13.5" customHeight="1">
      <c r="B1484" s="57" t="s">
        <v>2722</v>
      </c>
      <c r="D1484" s="57" t="s">
        <v>2723</v>
      </c>
      <c r="F1484" s="57">
        <v>5</v>
      </c>
      <c r="G1484" s="57" t="s">
        <v>2774</v>
      </c>
      <c r="H1484" s="57" t="s">
        <v>345</v>
      </c>
    </row>
    <row r="1485" spans="2:8" ht="13.5" customHeight="1">
      <c r="B1485" s="57" t="s">
        <v>2732</v>
      </c>
      <c r="D1485" s="57" t="s">
        <v>2733</v>
      </c>
      <c r="F1485" s="57">
        <v>5</v>
      </c>
      <c r="G1485" s="57" t="s">
        <v>2774</v>
      </c>
      <c r="H1485" s="57" t="s">
        <v>345</v>
      </c>
    </row>
    <row r="1486" spans="2:8" ht="13.5" customHeight="1">
      <c r="B1486" s="57" t="s">
        <v>2747</v>
      </c>
      <c r="D1486" s="57" t="s">
        <v>2748</v>
      </c>
      <c r="F1486" s="57">
        <v>5</v>
      </c>
      <c r="G1486" s="57" t="s">
        <v>2774</v>
      </c>
      <c r="H1486" s="57" t="s">
        <v>345</v>
      </c>
    </row>
    <row r="1487" spans="2:8" ht="13.5" customHeight="1">
      <c r="B1487" s="57" t="s">
        <v>2762</v>
      </c>
      <c r="D1487" s="57" t="s">
        <v>2763</v>
      </c>
      <c r="F1487" s="57">
        <v>6</v>
      </c>
      <c r="G1487" s="57" t="s">
        <v>2774</v>
      </c>
      <c r="H1487" s="57" t="s">
        <v>345</v>
      </c>
    </row>
    <row r="1488" spans="2:8" ht="13.5" customHeight="1">
      <c r="B1488" s="57" t="s">
        <v>2726</v>
      </c>
      <c r="D1488" s="57" t="s">
        <v>2022</v>
      </c>
      <c r="F1488" s="57">
        <v>9</v>
      </c>
      <c r="G1488" s="57" t="s">
        <v>2774</v>
      </c>
      <c r="H1488" s="57" t="s">
        <v>345</v>
      </c>
    </row>
    <row r="1489" spans="2:8" ht="13.5" customHeight="1">
      <c r="B1489" s="57" t="s">
        <v>2751</v>
      </c>
      <c r="D1489" s="57" t="s">
        <v>2752</v>
      </c>
      <c r="F1489" s="57">
        <v>9</v>
      </c>
      <c r="G1489" s="57" t="s">
        <v>2774</v>
      </c>
      <c r="H1489" s="57" t="s">
        <v>345</v>
      </c>
    </row>
    <row r="1490" spans="2:8" ht="13.5" customHeight="1">
      <c r="B1490" s="57" t="s">
        <v>2715</v>
      </c>
      <c r="D1490" s="57" t="s">
        <v>2716</v>
      </c>
      <c r="F1490" s="57">
        <v>49</v>
      </c>
      <c r="G1490" s="57" t="s">
        <v>2774</v>
      </c>
      <c r="H1490" s="57" t="s">
        <v>345</v>
      </c>
    </row>
    <row r="1491" spans="2:8" ht="13.5" customHeight="1">
      <c r="B1491" s="57" t="s">
        <v>2726</v>
      </c>
      <c r="D1491" s="57" t="s">
        <v>2727</v>
      </c>
      <c r="F1491" s="57">
        <v>59</v>
      </c>
      <c r="G1491" s="57" t="s">
        <v>2774</v>
      </c>
      <c r="H1491" s="57" t="s">
        <v>345</v>
      </c>
    </row>
    <row r="1492" spans="2:8" ht="13.5" customHeight="1">
      <c r="B1492" s="57" t="s">
        <v>2771</v>
      </c>
      <c r="D1492" s="57" t="s">
        <v>2772</v>
      </c>
      <c r="F1492" s="57">
        <v>2</v>
      </c>
      <c r="G1492" s="57" t="s">
        <v>2774</v>
      </c>
      <c r="H1492" s="57" t="s">
        <v>919</v>
      </c>
    </row>
    <row r="1493" spans="2:8" ht="13.5" customHeight="1">
      <c r="B1493" s="57" t="s">
        <v>2749</v>
      </c>
      <c r="D1493" s="57" t="s">
        <v>2750</v>
      </c>
      <c r="F1493" s="57">
        <v>3</v>
      </c>
      <c r="G1493" s="57" t="s">
        <v>2774</v>
      </c>
      <c r="H1493" s="57" t="s">
        <v>919</v>
      </c>
    </row>
    <row r="1494" spans="2:8" ht="13.5" customHeight="1">
      <c r="B1494" s="57" t="s">
        <v>2773</v>
      </c>
      <c r="D1494" s="57">
        <v>7491199501</v>
      </c>
      <c r="F1494" s="57">
        <v>4</v>
      </c>
      <c r="G1494" s="57" t="s">
        <v>2774</v>
      </c>
      <c r="H1494" s="57" t="s">
        <v>919</v>
      </c>
    </row>
    <row r="1495" spans="2:8" ht="13.5" customHeight="1">
      <c r="B1495" s="57" t="s">
        <v>2728</v>
      </c>
      <c r="D1495" s="57" t="s">
        <v>2729</v>
      </c>
      <c r="F1495" s="57">
        <v>4</v>
      </c>
      <c r="G1495" s="57" t="s">
        <v>2774</v>
      </c>
      <c r="H1495" s="57" t="s">
        <v>919</v>
      </c>
    </row>
    <row r="1496" spans="2:8" ht="13.5" customHeight="1">
      <c r="B1496" s="57" t="s">
        <v>2736</v>
      </c>
      <c r="D1496" s="57" t="s">
        <v>2737</v>
      </c>
      <c r="F1496" s="57">
        <v>5</v>
      </c>
      <c r="G1496" s="57" t="s">
        <v>2774</v>
      </c>
      <c r="H1496" s="57" t="s">
        <v>919</v>
      </c>
    </row>
    <row r="1497" spans="2:8" ht="13.5" customHeight="1">
      <c r="B1497" s="57" t="s">
        <v>2734</v>
      </c>
      <c r="D1497" s="57" t="s">
        <v>2735</v>
      </c>
      <c r="F1497" s="57">
        <v>5</v>
      </c>
      <c r="G1497" s="57" t="s">
        <v>2774</v>
      </c>
      <c r="H1497" s="57" t="s">
        <v>919</v>
      </c>
    </row>
    <row r="1498" spans="2:8" ht="13.5" customHeight="1">
      <c r="B1498" s="57" t="s">
        <v>2757</v>
      </c>
      <c r="D1498" s="57" t="s">
        <v>2758</v>
      </c>
      <c r="F1498" s="57">
        <v>5</v>
      </c>
      <c r="G1498" s="57" t="s">
        <v>2774</v>
      </c>
      <c r="H1498" s="57" t="s">
        <v>919</v>
      </c>
    </row>
    <row r="1499" spans="2:8" ht="13.5" customHeight="1">
      <c r="B1499" s="57" t="s">
        <v>2768</v>
      </c>
      <c r="D1499" s="57" t="s">
        <v>2769</v>
      </c>
      <c r="F1499" s="57">
        <v>7</v>
      </c>
      <c r="G1499" s="57" t="s">
        <v>2774</v>
      </c>
      <c r="H1499" s="57" t="s">
        <v>919</v>
      </c>
    </row>
    <row r="1500" spans="2:8" ht="13.5" customHeight="1">
      <c r="B1500" s="57" t="s">
        <v>2759</v>
      </c>
      <c r="D1500" s="57" t="s">
        <v>2760</v>
      </c>
      <c r="F1500" s="57">
        <v>10</v>
      </c>
      <c r="G1500" s="57" t="s">
        <v>2774</v>
      </c>
      <c r="H1500" s="57" t="s">
        <v>919</v>
      </c>
    </row>
    <row r="1501" spans="2:8" ht="13.5" customHeight="1">
      <c r="B1501" s="57" t="s">
        <v>2724</v>
      </c>
      <c r="D1501" s="57" t="s">
        <v>2725</v>
      </c>
      <c r="F1501" s="57">
        <v>11</v>
      </c>
      <c r="G1501" s="57" t="s">
        <v>2774</v>
      </c>
      <c r="H1501" s="57" t="s">
        <v>919</v>
      </c>
    </row>
    <row r="1502" spans="2:8" ht="13.5" customHeight="1">
      <c r="B1502" s="57" t="s">
        <v>2754</v>
      </c>
      <c r="D1502" s="57">
        <v>971110154</v>
      </c>
      <c r="F1502" s="57">
        <v>50</v>
      </c>
      <c r="G1502" s="57" t="s">
        <v>2774</v>
      </c>
      <c r="H1502" s="57" t="s">
        <v>919</v>
      </c>
    </row>
    <row r="1503" spans="2:8" ht="13.5" customHeight="1">
      <c r="B1503" s="57" t="s">
        <v>2766</v>
      </c>
      <c r="D1503" s="57" t="s">
        <v>2767</v>
      </c>
      <c r="F1503" s="57">
        <v>89</v>
      </c>
      <c r="G1503" s="57" t="s">
        <v>2774</v>
      </c>
      <c r="H1503" s="57" t="s">
        <v>919</v>
      </c>
    </row>
    <row r="1504" spans="2:8" ht="13.5" customHeight="1">
      <c r="B1504" s="57" t="s">
        <v>2796</v>
      </c>
      <c r="F1504" s="57">
        <v>262</v>
      </c>
      <c r="G1504" s="57" t="s">
        <v>2800</v>
      </c>
      <c r="H1504" s="57" t="s">
        <v>2791</v>
      </c>
    </row>
    <row r="1505" spans="2:9" ht="13.5" customHeight="1">
      <c r="B1505" s="57" t="s">
        <v>2792</v>
      </c>
      <c r="D1505" s="57" t="s">
        <v>8153</v>
      </c>
      <c r="F1505" s="57">
        <v>2380</v>
      </c>
      <c r="G1505" s="57" t="s">
        <v>2800</v>
      </c>
      <c r="H1505" s="57" t="s">
        <v>2791</v>
      </c>
      <c r="I1505" s="57" t="s">
        <v>2797</v>
      </c>
    </row>
    <row r="1506" spans="2:9" ht="13.5" customHeight="1">
      <c r="B1506" s="57" t="s">
        <v>2794</v>
      </c>
      <c r="D1506" s="57" t="s">
        <v>2795</v>
      </c>
      <c r="F1506" s="57">
        <v>29135</v>
      </c>
      <c r="G1506" s="57" t="s">
        <v>2800</v>
      </c>
      <c r="H1506" s="57" t="s">
        <v>2791</v>
      </c>
      <c r="I1506" s="57" t="s">
        <v>2799</v>
      </c>
    </row>
    <row r="1507" spans="2:9" ht="13.5" customHeight="1">
      <c r="B1507" s="57" t="s">
        <v>2793</v>
      </c>
      <c r="D1507" s="57" t="s">
        <v>8154</v>
      </c>
      <c r="F1507" s="57">
        <v>36853</v>
      </c>
      <c r="G1507" s="57" t="s">
        <v>2800</v>
      </c>
      <c r="H1507" s="57" t="s">
        <v>2791</v>
      </c>
      <c r="I1507" s="57" t="s">
        <v>2798</v>
      </c>
    </row>
    <row r="1508" spans="2:9" ht="13.5" customHeight="1">
      <c r="B1508" s="57" t="s">
        <v>2788</v>
      </c>
      <c r="D1508" s="57">
        <v>74980111212</v>
      </c>
      <c r="F1508" s="57">
        <v>2</v>
      </c>
      <c r="G1508" s="57" t="s">
        <v>2790</v>
      </c>
      <c r="H1508" s="57" t="s">
        <v>2791</v>
      </c>
    </row>
    <row r="1509" spans="2:9" ht="13.5" customHeight="1">
      <c r="B1509" s="57" t="s">
        <v>2787</v>
      </c>
      <c r="D1509" s="57" t="s">
        <v>2786</v>
      </c>
      <c r="F1509" s="57">
        <v>2</v>
      </c>
      <c r="G1509" s="57" t="s">
        <v>2790</v>
      </c>
      <c r="H1509" s="57" t="s">
        <v>2791</v>
      </c>
    </row>
    <row r="1510" spans="2:9" ht="13.5" customHeight="1">
      <c r="B1510" s="57" t="s">
        <v>2783</v>
      </c>
      <c r="D1510" s="57" t="s">
        <v>2782</v>
      </c>
      <c r="F1510" s="57">
        <v>5</v>
      </c>
      <c r="G1510" s="57" t="s">
        <v>2790</v>
      </c>
      <c r="H1510" s="57" t="s">
        <v>2791</v>
      </c>
    </row>
    <row r="1511" spans="2:9" ht="13.5" customHeight="1">
      <c r="B1511" s="57" t="s">
        <v>2785</v>
      </c>
      <c r="D1511" s="57" t="s">
        <v>2784</v>
      </c>
      <c r="F1511" s="57">
        <v>5</v>
      </c>
      <c r="G1511" s="57" t="s">
        <v>2790</v>
      </c>
      <c r="H1511" s="57" t="s">
        <v>2791</v>
      </c>
    </row>
    <row r="1512" spans="2:9" ht="13.5" customHeight="1">
      <c r="B1512" s="57" t="s">
        <v>2781</v>
      </c>
      <c r="D1512" s="57" t="s">
        <v>2780</v>
      </c>
      <c r="F1512" s="57">
        <v>5</v>
      </c>
      <c r="G1512" s="57" t="s">
        <v>2790</v>
      </c>
      <c r="H1512" s="57" t="s">
        <v>2791</v>
      </c>
    </row>
    <row r="1513" spans="2:9" ht="13.5" customHeight="1">
      <c r="B1513" s="57" t="s">
        <v>2777</v>
      </c>
      <c r="D1513" s="57" t="s">
        <v>2776</v>
      </c>
      <c r="F1513" s="57">
        <v>5</v>
      </c>
      <c r="G1513" s="57" t="s">
        <v>2790</v>
      </c>
      <c r="H1513" s="57" t="s">
        <v>2791</v>
      </c>
    </row>
    <row r="1514" spans="2:9" ht="13.5" customHeight="1">
      <c r="B1514" s="57" t="s">
        <v>2775</v>
      </c>
      <c r="D1514" s="57" t="s">
        <v>2775</v>
      </c>
      <c r="F1514" s="57">
        <v>7</v>
      </c>
      <c r="G1514" s="57" t="s">
        <v>2790</v>
      </c>
      <c r="H1514" s="57" t="s">
        <v>2791</v>
      </c>
    </row>
    <row r="1515" spans="2:9" ht="13.5" customHeight="1">
      <c r="B1515" s="57" t="s">
        <v>2779</v>
      </c>
      <c r="D1515" s="57" t="s">
        <v>2778</v>
      </c>
      <c r="F1515" s="57">
        <v>10</v>
      </c>
      <c r="G1515" s="57" t="s">
        <v>2790</v>
      </c>
      <c r="H1515" s="57" t="s">
        <v>2791</v>
      </c>
    </row>
    <row r="1516" spans="2:9" ht="13.5" customHeight="1">
      <c r="B1516" s="57" t="s">
        <v>2771</v>
      </c>
      <c r="D1516" s="57">
        <v>430476073716</v>
      </c>
      <c r="F1516" s="57">
        <v>25</v>
      </c>
      <c r="G1516" s="57" t="s">
        <v>2790</v>
      </c>
      <c r="H1516" s="57" t="s">
        <v>2791</v>
      </c>
    </row>
    <row r="1517" spans="2:9" ht="13.5" customHeight="1">
      <c r="B1517" s="57" t="s">
        <v>2789</v>
      </c>
      <c r="D1517" s="57">
        <v>714306050</v>
      </c>
      <c r="F1517" s="57">
        <v>25</v>
      </c>
      <c r="G1517" s="57" t="s">
        <v>2790</v>
      </c>
      <c r="H1517" s="57" t="s">
        <v>2791</v>
      </c>
    </row>
    <row r="1518" spans="2:9" ht="13.5" customHeight="1">
      <c r="B1518" s="57" t="s">
        <v>8125</v>
      </c>
      <c r="D1518" s="57" t="s">
        <v>8126</v>
      </c>
      <c r="F1518" s="57">
        <v>5</v>
      </c>
      <c r="G1518" s="57" t="s">
        <v>8135</v>
      </c>
      <c r="H1518" s="57" t="s">
        <v>363</v>
      </c>
      <c r="I1518" s="57" t="s">
        <v>8276</v>
      </c>
    </row>
    <row r="1519" spans="2:9" ht="13.5" customHeight="1">
      <c r="B1519" s="60" t="s">
        <v>8277</v>
      </c>
      <c r="D1519" s="60" t="s">
        <v>8275</v>
      </c>
      <c r="F1519" s="57">
        <v>8</v>
      </c>
      <c r="G1519" s="57" t="s">
        <v>8135</v>
      </c>
      <c r="H1519" s="57" t="s">
        <v>363</v>
      </c>
      <c r="I1519" s="57" t="s">
        <v>8276</v>
      </c>
    </row>
    <row r="1520" spans="2:9" ht="13.5" customHeight="1">
      <c r="B1520" s="57" t="s">
        <v>8115</v>
      </c>
      <c r="D1520" s="57" t="s">
        <v>8116</v>
      </c>
      <c r="F1520" s="57">
        <v>27</v>
      </c>
      <c r="G1520" s="57" t="s">
        <v>8135</v>
      </c>
      <c r="H1520" s="57" t="s">
        <v>363</v>
      </c>
    </row>
    <row r="1521" spans="2:8" ht="13.5" customHeight="1">
      <c r="B1521" s="57" t="s">
        <v>8119</v>
      </c>
      <c r="D1521" s="57" t="s">
        <v>8120</v>
      </c>
      <c r="F1521" s="57">
        <v>27</v>
      </c>
      <c r="G1521" s="57" t="s">
        <v>8135</v>
      </c>
      <c r="H1521" s="57" t="s">
        <v>363</v>
      </c>
    </row>
    <row r="1522" spans="2:8" ht="13.5" customHeight="1">
      <c r="B1522" s="57" t="s">
        <v>8121</v>
      </c>
      <c r="D1522" s="57" t="s">
        <v>8122</v>
      </c>
      <c r="F1522" s="57">
        <v>27</v>
      </c>
      <c r="G1522" s="57" t="s">
        <v>8135</v>
      </c>
      <c r="H1522" s="57" t="s">
        <v>363</v>
      </c>
    </row>
    <row r="1523" spans="2:8" ht="13.5" customHeight="1">
      <c r="B1523" s="57" t="s">
        <v>8133</v>
      </c>
      <c r="D1523" s="57" t="s">
        <v>8134</v>
      </c>
      <c r="F1523" s="57">
        <v>27</v>
      </c>
      <c r="G1523" s="57" t="s">
        <v>8135</v>
      </c>
      <c r="H1523" s="57" t="s">
        <v>363</v>
      </c>
    </row>
    <row r="1524" spans="2:8" ht="13.5" customHeight="1">
      <c r="B1524" s="57" t="s">
        <v>8117</v>
      </c>
      <c r="D1524" s="57" t="s">
        <v>8118</v>
      </c>
      <c r="F1524" s="57">
        <v>54</v>
      </c>
      <c r="G1524" s="57" t="s">
        <v>8135</v>
      </c>
      <c r="H1524" s="57" t="s">
        <v>363</v>
      </c>
    </row>
    <row r="1525" spans="2:8" ht="13.5" customHeight="1">
      <c r="B1525" s="57" t="s">
        <v>8123</v>
      </c>
      <c r="D1525" s="57" t="s">
        <v>8124</v>
      </c>
      <c r="F1525" s="57">
        <v>83</v>
      </c>
      <c r="G1525" s="57" t="s">
        <v>8135</v>
      </c>
      <c r="H1525" s="57" t="s">
        <v>363</v>
      </c>
    </row>
    <row r="1526" spans="2:8" ht="13.5" customHeight="1">
      <c r="B1526" s="57" t="s">
        <v>8127</v>
      </c>
      <c r="D1526" s="57" t="s">
        <v>8128</v>
      </c>
      <c r="F1526" s="57">
        <v>97</v>
      </c>
      <c r="G1526" s="57" t="s">
        <v>8135</v>
      </c>
      <c r="H1526" s="57" t="s">
        <v>363</v>
      </c>
    </row>
    <row r="1527" spans="2:8" ht="13.5" customHeight="1">
      <c r="B1527" s="57" t="s">
        <v>8129</v>
      </c>
      <c r="D1527" s="57" t="s">
        <v>8130</v>
      </c>
      <c r="F1527" s="57">
        <v>97</v>
      </c>
      <c r="G1527" s="57" t="s">
        <v>8135</v>
      </c>
      <c r="H1527" s="57" t="s">
        <v>363</v>
      </c>
    </row>
    <row r="1528" spans="2:8" ht="13.5" customHeight="1">
      <c r="B1528" s="57" t="s">
        <v>8131</v>
      </c>
      <c r="D1528" s="57" t="s">
        <v>8132</v>
      </c>
      <c r="F1528" s="57">
        <v>97</v>
      </c>
      <c r="G1528" s="57" t="s">
        <v>8135</v>
      </c>
      <c r="H1528" s="57" t="s">
        <v>363</v>
      </c>
    </row>
    <row r="1529" spans="2:8" ht="13.5" customHeight="1">
      <c r="B1529" s="93" t="s">
        <v>2952</v>
      </c>
      <c r="D1529" s="57" t="s">
        <v>2952</v>
      </c>
      <c r="F1529" s="57">
        <v>1</v>
      </c>
      <c r="G1529" s="57" t="s">
        <v>2988</v>
      </c>
      <c r="H1529" s="57" t="s">
        <v>2985</v>
      </c>
    </row>
    <row r="1530" spans="2:8" ht="13.5" customHeight="1">
      <c r="B1530" s="93" t="s">
        <v>2876</v>
      </c>
      <c r="D1530" s="57" t="s">
        <v>2877</v>
      </c>
      <c r="F1530" s="57">
        <v>4</v>
      </c>
      <c r="G1530" s="57" t="s">
        <v>2988</v>
      </c>
      <c r="H1530" s="57" t="s">
        <v>2985</v>
      </c>
    </row>
    <row r="1531" spans="2:8" ht="13.5" customHeight="1">
      <c r="B1531" s="93" t="s">
        <v>2953</v>
      </c>
      <c r="D1531" s="57" t="s">
        <v>2953</v>
      </c>
      <c r="F1531" s="57">
        <v>9</v>
      </c>
      <c r="G1531" s="57" t="s">
        <v>2988</v>
      </c>
      <c r="H1531" s="57" t="s">
        <v>2985</v>
      </c>
    </row>
    <row r="1532" spans="2:8" ht="13.5" customHeight="1">
      <c r="B1532" s="93" t="s">
        <v>2954</v>
      </c>
      <c r="D1532" s="57" t="s">
        <v>2954</v>
      </c>
      <c r="F1532" s="57">
        <v>26</v>
      </c>
      <c r="G1532" s="57" t="s">
        <v>2988</v>
      </c>
      <c r="H1532" s="57" t="s">
        <v>2985</v>
      </c>
    </row>
    <row r="1533" spans="2:8" ht="13.5" customHeight="1">
      <c r="B1533" s="93" t="s">
        <v>2950</v>
      </c>
      <c r="D1533" s="93" t="s">
        <v>2950</v>
      </c>
      <c r="E1533" s="60" t="s">
        <v>8287</v>
      </c>
      <c r="F1533" s="57">
        <v>30</v>
      </c>
      <c r="G1533" s="57" t="s">
        <v>2988</v>
      </c>
      <c r="H1533" s="57" t="s">
        <v>2985</v>
      </c>
    </row>
    <row r="1534" spans="2:8" ht="13.5" customHeight="1">
      <c r="B1534" s="93" t="s">
        <v>2940</v>
      </c>
      <c r="D1534" s="57" t="s">
        <v>2941</v>
      </c>
      <c r="E1534" s="60" t="s">
        <v>8282</v>
      </c>
      <c r="F1534" s="57">
        <v>52</v>
      </c>
      <c r="G1534" s="57" t="s">
        <v>2988</v>
      </c>
      <c r="H1534" s="57" t="s">
        <v>2985</v>
      </c>
    </row>
    <row r="1535" spans="2:8" ht="13.5" customHeight="1">
      <c r="B1535" s="93" t="s">
        <v>2948</v>
      </c>
      <c r="D1535" s="57" t="s">
        <v>2949</v>
      </c>
      <c r="F1535" s="57">
        <v>56</v>
      </c>
      <c r="G1535" s="57" t="s">
        <v>2988</v>
      </c>
      <c r="H1535" s="57" t="s">
        <v>2985</v>
      </c>
    </row>
    <row r="1536" spans="2:8" ht="13.5" customHeight="1">
      <c r="B1536" s="93" t="s">
        <v>2946</v>
      </c>
      <c r="D1536" s="57" t="s">
        <v>2947</v>
      </c>
      <c r="F1536" s="57">
        <v>57</v>
      </c>
      <c r="G1536" s="57" t="s">
        <v>2988</v>
      </c>
      <c r="H1536" s="57" t="s">
        <v>2985</v>
      </c>
    </row>
    <row r="1537" spans="2:8" ht="13.5" customHeight="1">
      <c r="B1537" s="93" t="s">
        <v>2938</v>
      </c>
      <c r="D1537" s="57" t="s">
        <v>2939</v>
      </c>
      <c r="F1537" s="57">
        <v>100</v>
      </c>
      <c r="G1537" s="57" t="s">
        <v>2988</v>
      </c>
      <c r="H1537" s="57" t="s">
        <v>2985</v>
      </c>
    </row>
    <row r="1538" spans="2:8" ht="13.5" customHeight="1">
      <c r="B1538" s="93" t="s">
        <v>2937</v>
      </c>
      <c r="D1538" s="57" t="s">
        <v>2937</v>
      </c>
      <c r="F1538" s="57">
        <v>100</v>
      </c>
      <c r="G1538" s="57" t="s">
        <v>2988</v>
      </c>
      <c r="H1538" s="57" t="s">
        <v>2985</v>
      </c>
    </row>
    <row r="1539" spans="2:8" ht="13.5" customHeight="1">
      <c r="B1539" s="93" t="s">
        <v>2935</v>
      </c>
      <c r="D1539" s="57" t="s">
        <v>2935</v>
      </c>
      <c r="F1539" s="57">
        <v>112</v>
      </c>
      <c r="G1539" s="57" t="s">
        <v>2988</v>
      </c>
      <c r="H1539" s="57" t="s">
        <v>2985</v>
      </c>
    </row>
    <row r="1540" spans="2:8" ht="13.5" customHeight="1">
      <c r="B1540" s="93" t="s">
        <v>2915</v>
      </c>
      <c r="D1540" s="93" t="s">
        <v>2915</v>
      </c>
      <c r="E1540" s="60" t="s">
        <v>8283</v>
      </c>
      <c r="F1540" s="57">
        <v>124</v>
      </c>
      <c r="G1540" s="57" t="s">
        <v>2988</v>
      </c>
      <c r="H1540" s="57" t="s">
        <v>2985</v>
      </c>
    </row>
    <row r="1541" spans="2:8" ht="13.5" customHeight="1">
      <c r="B1541" s="93" t="s">
        <v>2944</v>
      </c>
      <c r="D1541" s="57" t="s">
        <v>2944</v>
      </c>
      <c r="E1541" s="60" t="s">
        <v>8279</v>
      </c>
      <c r="F1541" s="57">
        <v>160</v>
      </c>
      <c r="G1541" s="57" t="s">
        <v>2988</v>
      </c>
      <c r="H1541" s="57" t="s">
        <v>2985</v>
      </c>
    </row>
    <row r="1542" spans="2:8" ht="13.5" customHeight="1">
      <c r="B1542" s="93" t="s">
        <v>2945</v>
      </c>
      <c r="D1542" s="57" t="s">
        <v>2945</v>
      </c>
      <c r="E1542" s="60" t="s">
        <v>8286</v>
      </c>
      <c r="F1542" s="57">
        <v>208</v>
      </c>
      <c r="G1542" s="57" t="s">
        <v>2988</v>
      </c>
      <c r="H1542" s="57" t="s">
        <v>2985</v>
      </c>
    </row>
    <row r="1543" spans="2:8" ht="13.5" customHeight="1">
      <c r="B1543" s="93" t="s">
        <v>2942</v>
      </c>
      <c r="D1543" s="93" t="s">
        <v>2943</v>
      </c>
      <c r="E1543" s="60" t="s">
        <v>8288</v>
      </c>
      <c r="F1543" s="57">
        <v>210</v>
      </c>
      <c r="G1543" s="57" t="s">
        <v>2988</v>
      </c>
      <c r="H1543" s="57" t="s">
        <v>2985</v>
      </c>
    </row>
    <row r="1544" spans="2:8" ht="13.5" customHeight="1">
      <c r="B1544" s="93" t="s">
        <v>2951</v>
      </c>
      <c r="D1544" s="93" t="s">
        <v>2951</v>
      </c>
      <c r="E1544" s="60" t="s">
        <v>8285</v>
      </c>
      <c r="F1544" s="57">
        <v>212</v>
      </c>
      <c r="G1544" s="57" t="s">
        <v>2988</v>
      </c>
      <c r="H1544" s="57" t="s">
        <v>2985</v>
      </c>
    </row>
    <row r="1545" spans="2:8" ht="13.5" customHeight="1">
      <c r="B1545" s="93" t="s">
        <v>2934</v>
      </c>
      <c r="D1545" s="57" t="s">
        <v>2934</v>
      </c>
      <c r="E1545" s="60" t="s">
        <v>8284</v>
      </c>
      <c r="F1545" s="57">
        <v>216</v>
      </c>
      <c r="G1545" s="57" t="s">
        <v>2988</v>
      </c>
      <c r="H1545" s="57" t="s">
        <v>2985</v>
      </c>
    </row>
    <row r="1546" spans="2:8" ht="13.5" customHeight="1">
      <c r="B1546" s="93" t="s">
        <v>2932</v>
      </c>
      <c r="D1546" s="57" t="s">
        <v>2933</v>
      </c>
      <c r="E1546" s="60" t="s">
        <v>8291</v>
      </c>
      <c r="F1546" s="57">
        <v>252</v>
      </c>
      <c r="G1546" s="57" t="s">
        <v>2988</v>
      </c>
      <c r="H1546" s="57" t="s">
        <v>2985</v>
      </c>
    </row>
    <row r="1547" spans="2:8" ht="13.5" customHeight="1">
      <c r="B1547" s="93" t="s">
        <v>2936</v>
      </c>
      <c r="D1547" s="57" t="s">
        <v>2936</v>
      </c>
      <c r="E1547" s="60" t="s">
        <v>8278</v>
      </c>
      <c r="F1547" s="57">
        <v>310</v>
      </c>
      <c r="G1547" s="57" t="s">
        <v>2988</v>
      </c>
      <c r="H1547" s="57" t="s">
        <v>2985</v>
      </c>
    </row>
    <row r="1548" spans="2:8" ht="13.5" customHeight="1">
      <c r="B1548" s="57" t="s">
        <v>2924</v>
      </c>
      <c r="D1548" s="57" t="s">
        <v>2925</v>
      </c>
      <c r="F1548" s="57">
        <v>8</v>
      </c>
      <c r="G1548" s="57" t="s">
        <v>2988</v>
      </c>
      <c r="H1548" s="57" t="s">
        <v>1116</v>
      </c>
    </row>
    <row r="1549" spans="2:8" ht="13.5" customHeight="1">
      <c r="B1549" s="57" t="s">
        <v>2922</v>
      </c>
      <c r="D1549" s="57" t="s">
        <v>2923</v>
      </c>
      <c r="F1549" s="57">
        <v>9</v>
      </c>
      <c r="G1549" s="57" t="s">
        <v>2988</v>
      </c>
      <c r="H1549" s="57" t="s">
        <v>1116</v>
      </c>
    </row>
    <row r="1550" spans="2:8" ht="13.5" customHeight="1">
      <c r="B1550" s="57" t="s">
        <v>2920</v>
      </c>
      <c r="D1550" s="57" t="s">
        <v>2921</v>
      </c>
      <c r="F1550" s="57">
        <v>9</v>
      </c>
      <c r="G1550" s="57" t="s">
        <v>2988</v>
      </c>
      <c r="H1550" s="57" t="s">
        <v>1116</v>
      </c>
    </row>
    <row r="1551" spans="2:8" ht="13.5" customHeight="1">
      <c r="B1551" s="57" t="s">
        <v>2918</v>
      </c>
      <c r="D1551" s="57" t="s">
        <v>2919</v>
      </c>
      <c r="F1551" s="57">
        <v>10</v>
      </c>
      <c r="G1551" s="57" t="s">
        <v>2988</v>
      </c>
      <c r="H1551" s="57" t="s">
        <v>1116</v>
      </c>
    </row>
    <row r="1552" spans="2:8" ht="13.5" customHeight="1">
      <c r="B1552" s="57" t="s">
        <v>2912</v>
      </c>
      <c r="D1552" s="57" t="s">
        <v>2913</v>
      </c>
      <c r="F1552" s="57">
        <v>12</v>
      </c>
      <c r="G1552" s="57" t="s">
        <v>2988</v>
      </c>
      <c r="H1552" s="57" t="s">
        <v>1116</v>
      </c>
    </row>
    <row r="1553" spans="2:8" ht="13.5" customHeight="1">
      <c r="B1553" s="57" t="s">
        <v>2898</v>
      </c>
      <c r="D1553" s="57" t="s">
        <v>2899</v>
      </c>
      <c r="F1553" s="57">
        <v>29</v>
      </c>
      <c r="G1553" s="57" t="s">
        <v>2988</v>
      </c>
      <c r="H1553" s="57" t="s">
        <v>1116</v>
      </c>
    </row>
    <row r="1554" spans="2:8" ht="13.5" customHeight="1">
      <c r="B1554" s="57" t="s">
        <v>2862</v>
      </c>
      <c r="D1554" s="57" t="s">
        <v>2863</v>
      </c>
      <c r="F1554" s="57">
        <v>52</v>
      </c>
      <c r="G1554" s="57" t="s">
        <v>2988</v>
      </c>
      <c r="H1554" s="57" t="s">
        <v>1116</v>
      </c>
    </row>
    <row r="1555" spans="2:8" ht="13.5" customHeight="1">
      <c r="B1555" s="57" t="s">
        <v>2823</v>
      </c>
      <c r="D1555" s="57" t="s">
        <v>2824</v>
      </c>
      <c r="F1555" s="57">
        <v>71</v>
      </c>
      <c r="G1555" s="57" t="s">
        <v>2988</v>
      </c>
      <c r="H1555" s="57" t="s">
        <v>1116</v>
      </c>
    </row>
    <row r="1556" spans="2:8" ht="13.5" customHeight="1">
      <c r="B1556" s="57" t="s">
        <v>2864</v>
      </c>
      <c r="D1556" s="57" t="s">
        <v>2865</v>
      </c>
      <c r="F1556" s="57">
        <v>287</v>
      </c>
      <c r="G1556" s="57" t="s">
        <v>2988</v>
      </c>
      <c r="H1556" s="57" t="s">
        <v>1116</v>
      </c>
    </row>
    <row r="1557" spans="2:8" ht="13.5" customHeight="1">
      <c r="B1557" s="57" t="s">
        <v>2820</v>
      </c>
      <c r="D1557" s="57" t="s">
        <v>2821</v>
      </c>
      <c r="F1557" s="57">
        <v>1169</v>
      </c>
      <c r="G1557" s="57" t="s">
        <v>2988</v>
      </c>
      <c r="H1557" s="57" t="s">
        <v>1116</v>
      </c>
    </row>
    <row r="1558" spans="2:8" ht="13.5" customHeight="1">
      <c r="B1558" s="57" t="s">
        <v>2848</v>
      </c>
      <c r="D1558" s="57" t="s">
        <v>2849</v>
      </c>
      <c r="E1558" s="60" t="s">
        <v>2849</v>
      </c>
      <c r="F1558" s="57">
        <v>1894</v>
      </c>
      <c r="G1558" s="57" t="s">
        <v>2988</v>
      </c>
      <c r="H1558" s="57" t="s">
        <v>1116</v>
      </c>
    </row>
    <row r="1559" spans="2:8" ht="13.5" customHeight="1">
      <c r="B1559" s="57" t="s">
        <v>2822</v>
      </c>
      <c r="D1559" s="57" t="s">
        <v>1155</v>
      </c>
      <c r="F1559" s="57">
        <v>2400</v>
      </c>
      <c r="G1559" s="57" t="s">
        <v>2988</v>
      </c>
      <c r="H1559" s="57" t="s">
        <v>1116</v>
      </c>
    </row>
    <row r="1560" spans="2:8" ht="13.5" customHeight="1">
      <c r="B1560" s="57" t="s">
        <v>2880</v>
      </c>
      <c r="D1560" s="57" t="s">
        <v>2881</v>
      </c>
      <c r="F1560" s="57">
        <v>4000</v>
      </c>
      <c r="G1560" s="57" t="s">
        <v>2988</v>
      </c>
      <c r="H1560" s="57" t="s">
        <v>1116</v>
      </c>
    </row>
    <row r="1561" spans="2:8" ht="13.5" customHeight="1">
      <c r="B1561" s="57" t="s">
        <v>2848</v>
      </c>
      <c r="D1561" s="57" t="s">
        <v>2852</v>
      </c>
      <c r="F1561" s="57">
        <v>90</v>
      </c>
      <c r="G1561" s="57" t="s">
        <v>2988</v>
      </c>
      <c r="H1561" s="57" t="s">
        <v>1354</v>
      </c>
    </row>
    <row r="1562" spans="2:8" ht="13.5" customHeight="1">
      <c r="B1562" s="57" t="s">
        <v>2848</v>
      </c>
      <c r="D1562" s="57" t="s">
        <v>2850</v>
      </c>
      <c r="F1562" s="57">
        <v>100</v>
      </c>
      <c r="G1562" s="57" t="s">
        <v>2988</v>
      </c>
      <c r="H1562" s="57" t="s">
        <v>1354</v>
      </c>
    </row>
    <row r="1563" spans="2:8" ht="13.5" customHeight="1">
      <c r="B1563" s="57" t="s">
        <v>2901</v>
      </c>
      <c r="D1563" s="60" t="s">
        <v>2902</v>
      </c>
      <c r="F1563" s="57">
        <v>64</v>
      </c>
      <c r="G1563" s="57" t="s">
        <v>2988</v>
      </c>
      <c r="H1563" s="57" t="s">
        <v>1356</v>
      </c>
    </row>
    <row r="1564" spans="2:8" ht="13.5" customHeight="1">
      <c r="B1564" s="57" t="s">
        <v>2803</v>
      </c>
      <c r="D1564" s="57" t="s">
        <v>2900</v>
      </c>
      <c r="F1564" s="57">
        <v>79</v>
      </c>
      <c r="G1564" s="57" t="s">
        <v>2988</v>
      </c>
      <c r="H1564" s="57" t="s">
        <v>1356</v>
      </c>
    </row>
    <row r="1565" spans="2:8" ht="13.5" customHeight="1">
      <c r="B1565" s="57" t="s">
        <v>2848</v>
      </c>
      <c r="D1565" s="57" t="s">
        <v>2851</v>
      </c>
      <c r="F1565" s="57">
        <v>90</v>
      </c>
      <c r="G1565" s="57" t="s">
        <v>2988</v>
      </c>
      <c r="H1565" s="57" t="s">
        <v>1356</v>
      </c>
    </row>
    <row r="1566" spans="2:8" ht="13.5" customHeight="1">
      <c r="B1566" s="57" t="s">
        <v>2825</v>
      </c>
      <c r="D1566" s="57" t="s">
        <v>2826</v>
      </c>
      <c r="F1566" s="57">
        <v>98</v>
      </c>
      <c r="G1566" s="57" t="s">
        <v>2988</v>
      </c>
      <c r="H1566" s="57" t="s">
        <v>1356</v>
      </c>
    </row>
    <row r="1567" spans="2:8" ht="13.5" customHeight="1">
      <c r="B1567" s="57" t="s">
        <v>2814</v>
      </c>
      <c r="D1567" s="57" t="s">
        <v>2815</v>
      </c>
      <c r="F1567" s="57">
        <v>100</v>
      </c>
      <c r="G1567" s="57" t="s">
        <v>2988</v>
      </c>
      <c r="H1567" s="57" t="s">
        <v>1356</v>
      </c>
    </row>
    <row r="1568" spans="2:8" ht="13.5" customHeight="1">
      <c r="B1568" s="57" t="s">
        <v>2856</v>
      </c>
      <c r="D1568" s="57" t="s">
        <v>2857</v>
      </c>
      <c r="F1568" s="57">
        <v>152</v>
      </c>
      <c r="G1568" s="57" t="s">
        <v>2988</v>
      </c>
      <c r="H1568" s="57" t="s">
        <v>1356</v>
      </c>
    </row>
    <row r="1569" spans="2:8" ht="13.5" customHeight="1">
      <c r="B1569" s="57" t="s">
        <v>2831</v>
      </c>
      <c r="D1569" s="57" t="s">
        <v>2832</v>
      </c>
      <c r="F1569" s="57">
        <v>156</v>
      </c>
      <c r="G1569" s="57" t="s">
        <v>2988</v>
      </c>
      <c r="H1569" s="57" t="s">
        <v>1356</v>
      </c>
    </row>
    <row r="1570" spans="2:8" ht="13.5" customHeight="1">
      <c r="B1570" s="57" t="s">
        <v>2833</v>
      </c>
      <c r="D1570" s="57" t="s">
        <v>2834</v>
      </c>
      <c r="F1570" s="57">
        <v>543</v>
      </c>
      <c r="G1570" s="57" t="s">
        <v>2988</v>
      </c>
      <c r="H1570" s="57" t="s">
        <v>2287</v>
      </c>
    </row>
    <row r="1571" spans="2:8" ht="13.5" customHeight="1">
      <c r="B1571" s="57" t="s">
        <v>2855</v>
      </c>
      <c r="D1571" s="57" t="s">
        <v>1387</v>
      </c>
      <c r="F1571" s="57">
        <v>3200</v>
      </c>
      <c r="G1571" s="57" t="s">
        <v>2988</v>
      </c>
      <c r="H1571" s="57" t="s">
        <v>2287</v>
      </c>
    </row>
    <row r="1572" spans="2:8" ht="13.5" customHeight="1">
      <c r="B1572" s="57" t="s">
        <v>2890</v>
      </c>
      <c r="D1572" s="57" t="s">
        <v>2891</v>
      </c>
      <c r="F1572" s="57">
        <v>3536</v>
      </c>
      <c r="G1572" s="57" t="s">
        <v>2988</v>
      </c>
      <c r="H1572" s="57" t="s">
        <v>2287</v>
      </c>
    </row>
    <row r="1573" spans="2:8" ht="13.5" customHeight="1">
      <c r="B1573" s="57" t="s">
        <v>2853</v>
      </c>
      <c r="D1573" s="57" t="s">
        <v>2854</v>
      </c>
      <c r="F1573" s="57">
        <v>5053</v>
      </c>
      <c r="G1573" s="57" t="s">
        <v>2988</v>
      </c>
      <c r="H1573" s="57" t="s">
        <v>2287</v>
      </c>
    </row>
    <row r="1574" spans="2:8" ht="13.5" customHeight="1">
      <c r="B1574" s="57" t="s">
        <v>2868</v>
      </c>
      <c r="D1574" s="57" t="s">
        <v>2869</v>
      </c>
      <c r="F1574" s="57">
        <v>30</v>
      </c>
      <c r="G1574" s="57" t="s">
        <v>2988</v>
      </c>
      <c r="H1574" s="57" t="s">
        <v>2288</v>
      </c>
    </row>
    <row r="1575" spans="2:8" ht="13.5" customHeight="1">
      <c r="B1575" s="57" t="s">
        <v>2835</v>
      </c>
      <c r="D1575" s="57" t="s">
        <v>2836</v>
      </c>
      <c r="F1575" s="57">
        <v>152</v>
      </c>
      <c r="G1575" s="57" t="s">
        <v>2988</v>
      </c>
      <c r="H1575" s="57" t="s">
        <v>2288</v>
      </c>
    </row>
    <row r="1576" spans="2:8" ht="13.5" customHeight="1">
      <c r="B1576" s="57" t="s">
        <v>2846</v>
      </c>
      <c r="D1576" s="57" t="s">
        <v>2847</v>
      </c>
      <c r="F1576" s="57">
        <v>418</v>
      </c>
      <c r="G1576" s="57" t="s">
        <v>2988</v>
      </c>
      <c r="H1576" s="57" t="s">
        <v>2288</v>
      </c>
    </row>
    <row r="1577" spans="2:8" ht="13.5" customHeight="1">
      <c r="B1577" s="57" t="s">
        <v>2887</v>
      </c>
      <c r="D1577" s="57" t="s">
        <v>2888</v>
      </c>
      <c r="F1577" s="57">
        <v>9780</v>
      </c>
      <c r="G1577" s="57" t="s">
        <v>2988</v>
      </c>
      <c r="H1577" s="57" t="s">
        <v>2288</v>
      </c>
    </row>
    <row r="1578" spans="2:8" ht="13.5" customHeight="1">
      <c r="B1578" s="57" t="s">
        <v>2870</v>
      </c>
      <c r="D1578" s="57" t="s">
        <v>2871</v>
      </c>
      <c r="F1578" s="57">
        <v>13</v>
      </c>
      <c r="G1578" s="57" t="s">
        <v>2988</v>
      </c>
      <c r="H1578" s="57" t="s">
        <v>2289</v>
      </c>
    </row>
    <row r="1579" spans="2:8" ht="13.5" customHeight="1">
      <c r="B1579" s="57" t="s">
        <v>2903</v>
      </c>
      <c r="D1579" s="57" t="s">
        <v>2904</v>
      </c>
      <c r="F1579" s="57">
        <v>17</v>
      </c>
      <c r="G1579" s="57" t="s">
        <v>2988</v>
      </c>
      <c r="H1579" s="57" t="s">
        <v>2289</v>
      </c>
    </row>
    <row r="1580" spans="2:8" ht="13.5" customHeight="1">
      <c r="B1580" s="57" t="s">
        <v>2808</v>
      </c>
      <c r="D1580" s="57" t="s">
        <v>2809</v>
      </c>
      <c r="F1580" s="57">
        <v>33</v>
      </c>
      <c r="G1580" s="57" t="s">
        <v>2988</v>
      </c>
      <c r="H1580" s="57" t="s">
        <v>2289</v>
      </c>
    </row>
    <row r="1581" spans="2:8" ht="13.5" customHeight="1">
      <c r="B1581" s="57" t="s">
        <v>2858</v>
      </c>
      <c r="D1581" s="57" t="s">
        <v>2859</v>
      </c>
      <c r="F1581" s="57">
        <v>49</v>
      </c>
      <c r="G1581" s="57" t="s">
        <v>2988</v>
      </c>
      <c r="H1581" s="57" t="s">
        <v>2289</v>
      </c>
    </row>
    <row r="1582" spans="2:8" ht="13.5" customHeight="1">
      <c r="B1582" s="57" t="s">
        <v>2889</v>
      </c>
      <c r="D1582" s="57" t="s">
        <v>888</v>
      </c>
      <c r="F1582" s="57">
        <v>941</v>
      </c>
      <c r="G1582" s="57" t="s">
        <v>2988</v>
      </c>
      <c r="H1582" s="57" t="s">
        <v>2289</v>
      </c>
    </row>
    <row r="1583" spans="2:8" ht="13.5" customHeight="1">
      <c r="B1583" s="57" t="s">
        <v>2803</v>
      </c>
      <c r="D1583" s="57" t="s">
        <v>2804</v>
      </c>
      <c r="F1583" s="57">
        <v>2374</v>
      </c>
      <c r="G1583" s="57" t="s">
        <v>2988</v>
      </c>
      <c r="H1583" s="57" t="s">
        <v>2289</v>
      </c>
    </row>
    <row r="1584" spans="2:8" ht="13.5" customHeight="1">
      <c r="B1584" s="57" t="s">
        <v>2910</v>
      </c>
      <c r="D1584" s="57" t="s">
        <v>2911</v>
      </c>
      <c r="E1584" s="68"/>
      <c r="F1584" s="57">
        <v>6</v>
      </c>
      <c r="G1584" s="57" t="s">
        <v>2988</v>
      </c>
      <c r="H1584" s="57" t="s">
        <v>2981</v>
      </c>
    </row>
    <row r="1585" spans="2:9" ht="13.5" customHeight="1">
      <c r="B1585" s="57" t="s">
        <v>2827</v>
      </c>
      <c r="D1585" s="57" t="s">
        <v>2828</v>
      </c>
      <c r="F1585" s="57">
        <v>170</v>
      </c>
      <c r="G1585" s="57" t="s">
        <v>2988</v>
      </c>
      <c r="H1585" s="57" t="s">
        <v>2981</v>
      </c>
    </row>
    <row r="1586" spans="2:9" ht="13.5" customHeight="1">
      <c r="B1586" s="57" t="s">
        <v>2894</v>
      </c>
      <c r="D1586" s="57" t="s">
        <v>2895</v>
      </c>
      <c r="F1586" s="57">
        <v>267</v>
      </c>
      <c r="G1586" s="57" t="s">
        <v>2988</v>
      </c>
      <c r="H1586" s="57" t="s">
        <v>2981</v>
      </c>
    </row>
    <row r="1587" spans="2:9" ht="13.5" customHeight="1">
      <c r="B1587" s="57" t="s">
        <v>2845</v>
      </c>
      <c r="D1587" s="57" t="s">
        <v>478</v>
      </c>
      <c r="F1587" s="57">
        <v>690</v>
      </c>
      <c r="G1587" s="57" t="s">
        <v>2988</v>
      </c>
      <c r="H1587" s="57" t="s">
        <v>2981</v>
      </c>
    </row>
    <row r="1588" spans="2:9" ht="13.5" customHeight="1">
      <c r="B1588" s="57" t="s">
        <v>2885</v>
      </c>
      <c r="D1588" s="57" t="s">
        <v>2886</v>
      </c>
      <c r="F1588" s="57">
        <v>1199</v>
      </c>
      <c r="G1588" s="57" t="s">
        <v>2988</v>
      </c>
      <c r="H1588" s="57" t="s">
        <v>2981</v>
      </c>
    </row>
    <row r="1589" spans="2:9" ht="13.5" customHeight="1">
      <c r="B1589" s="57" t="s">
        <v>2829</v>
      </c>
      <c r="D1589" s="57" t="s">
        <v>2830</v>
      </c>
      <c r="F1589" s="57">
        <v>146</v>
      </c>
      <c r="G1589" s="57" t="s">
        <v>2988</v>
      </c>
      <c r="H1589" s="57" t="s">
        <v>2982</v>
      </c>
    </row>
    <row r="1590" spans="2:9" ht="13.5" customHeight="1">
      <c r="B1590" s="57" t="s">
        <v>2843</v>
      </c>
      <c r="D1590" s="57" t="s">
        <v>2844</v>
      </c>
      <c r="F1590" s="57">
        <v>8000</v>
      </c>
      <c r="G1590" s="57" t="s">
        <v>2988</v>
      </c>
      <c r="H1590" s="57" t="s">
        <v>2982</v>
      </c>
    </row>
    <row r="1591" spans="2:9" ht="13.5" customHeight="1">
      <c r="B1591" s="57" t="s">
        <v>2955</v>
      </c>
      <c r="D1591" s="57" t="s">
        <v>2956</v>
      </c>
      <c r="F1591" s="57">
        <v>5</v>
      </c>
      <c r="G1591" s="57" t="s">
        <v>2988</v>
      </c>
      <c r="H1591" s="57" t="s">
        <v>2987</v>
      </c>
    </row>
    <row r="1592" spans="2:9" ht="13.5" customHeight="1">
      <c r="B1592" s="57" t="s">
        <v>2960</v>
      </c>
      <c r="D1592" s="57" t="s">
        <v>2911</v>
      </c>
      <c r="F1592" s="57">
        <v>70</v>
      </c>
      <c r="G1592" s="57" t="s">
        <v>2988</v>
      </c>
      <c r="H1592" s="57" t="s">
        <v>2987</v>
      </c>
      <c r="I1592" s="57" t="s">
        <v>8673</v>
      </c>
    </row>
    <row r="1593" spans="2:9" ht="13.5" customHeight="1">
      <c r="B1593" s="57" t="s">
        <v>2971</v>
      </c>
      <c r="D1593" s="57" t="s">
        <v>2972</v>
      </c>
      <c r="F1593" s="57">
        <v>76</v>
      </c>
      <c r="G1593" s="57" t="s">
        <v>2988</v>
      </c>
      <c r="H1593" s="57" t="s">
        <v>2987</v>
      </c>
    </row>
    <row r="1594" spans="2:9" ht="13.5" customHeight="1">
      <c r="B1594" s="57" t="s">
        <v>2973</v>
      </c>
      <c r="D1594" s="57" t="s">
        <v>2974</v>
      </c>
      <c r="F1594" s="57">
        <v>78</v>
      </c>
      <c r="G1594" s="57" t="s">
        <v>2988</v>
      </c>
      <c r="H1594" s="57" t="s">
        <v>2987</v>
      </c>
    </row>
    <row r="1595" spans="2:9" ht="13.5" customHeight="1">
      <c r="B1595" s="57" t="s">
        <v>2957</v>
      </c>
      <c r="D1595" s="57" t="s">
        <v>2958</v>
      </c>
      <c r="F1595" s="57">
        <v>78</v>
      </c>
      <c r="G1595" s="57" t="s">
        <v>2988</v>
      </c>
      <c r="H1595" s="57" t="s">
        <v>2987</v>
      </c>
    </row>
    <row r="1596" spans="2:9" ht="13.5" customHeight="1">
      <c r="B1596" s="57" t="s">
        <v>2977</v>
      </c>
      <c r="D1596" s="57" t="s">
        <v>2978</v>
      </c>
      <c r="F1596" s="57">
        <v>78</v>
      </c>
      <c r="G1596" s="57" t="s">
        <v>2988</v>
      </c>
      <c r="H1596" s="57" t="s">
        <v>2987</v>
      </c>
    </row>
    <row r="1597" spans="2:9" ht="13.5" customHeight="1">
      <c r="B1597" s="57" t="s">
        <v>2975</v>
      </c>
      <c r="D1597" s="57" t="s">
        <v>2976</v>
      </c>
      <c r="F1597" s="57">
        <v>100</v>
      </c>
      <c r="G1597" s="57" t="s">
        <v>2988</v>
      </c>
      <c r="H1597" s="57" t="s">
        <v>2987</v>
      </c>
    </row>
    <row r="1598" spans="2:9" ht="13.5" customHeight="1">
      <c r="B1598" s="57" t="s">
        <v>2967</v>
      </c>
      <c r="D1598" s="57" t="s">
        <v>2968</v>
      </c>
      <c r="F1598" s="57">
        <v>100</v>
      </c>
      <c r="G1598" s="57" t="s">
        <v>2988</v>
      </c>
      <c r="H1598" s="57" t="s">
        <v>2987</v>
      </c>
    </row>
    <row r="1599" spans="2:9" ht="13.5" customHeight="1">
      <c r="B1599" s="57" t="s">
        <v>2963</v>
      </c>
      <c r="D1599" s="57" t="s">
        <v>2964</v>
      </c>
      <c r="F1599" s="57">
        <v>100</v>
      </c>
      <c r="G1599" s="57" t="s">
        <v>2988</v>
      </c>
      <c r="H1599" s="57" t="s">
        <v>2987</v>
      </c>
    </row>
    <row r="1600" spans="2:9" ht="13.5" customHeight="1">
      <c r="B1600" s="57" t="s">
        <v>2961</v>
      </c>
      <c r="D1600" s="57" t="s">
        <v>2962</v>
      </c>
      <c r="F1600" s="57">
        <v>100</v>
      </c>
      <c r="G1600" s="57" t="s">
        <v>2988</v>
      </c>
      <c r="H1600" s="57" t="s">
        <v>2987</v>
      </c>
    </row>
    <row r="1601" spans="2:8" ht="13.5" customHeight="1">
      <c r="B1601" s="57" t="s">
        <v>2969</v>
      </c>
      <c r="D1601" s="57" t="s">
        <v>2970</v>
      </c>
      <c r="F1601" s="57">
        <v>1000</v>
      </c>
      <c r="G1601" s="57" t="s">
        <v>2988</v>
      </c>
      <c r="H1601" s="57" t="s">
        <v>2987</v>
      </c>
    </row>
    <row r="1602" spans="2:8" ht="13.5" customHeight="1">
      <c r="B1602" s="57" t="s">
        <v>2896</v>
      </c>
      <c r="D1602" s="57" t="s">
        <v>2897</v>
      </c>
      <c r="F1602" s="57">
        <v>98</v>
      </c>
      <c r="G1602" s="57" t="s">
        <v>2988</v>
      </c>
      <c r="H1602" s="57" t="s">
        <v>1357</v>
      </c>
    </row>
    <row r="1603" spans="2:8" ht="13.5" customHeight="1">
      <c r="B1603" s="57" t="s">
        <v>2837</v>
      </c>
      <c r="D1603" s="57" t="s">
        <v>2838</v>
      </c>
      <c r="F1603" s="57">
        <v>574</v>
      </c>
      <c r="G1603" s="57" t="s">
        <v>2988</v>
      </c>
      <c r="H1603" s="57" t="s">
        <v>1357</v>
      </c>
    </row>
    <row r="1604" spans="2:8" ht="13.5" customHeight="1">
      <c r="B1604" s="57" t="s">
        <v>2840</v>
      </c>
      <c r="D1604" s="57" t="s">
        <v>2914</v>
      </c>
      <c r="F1604" s="57">
        <v>1133</v>
      </c>
      <c r="G1604" s="57" t="s">
        <v>2988</v>
      </c>
      <c r="H1604" s="57" t="s">
        <v>1357</v>
      </c>
    </row>
    <row r="1605" spans="2:8" ht="13.5" customHeight="1">
      <c r="B1605" s="57" t="s">
        <v>2907</v>
      </c>
      <c r="D1605" s="57" t="s">
        <v>2908</v>
      </c>
      <c r="F1605" s="57">
        <v>1169</v>
      </c>
      <c r="G1605" s="57" t="s">
        <v>2988</v>
      </c>
      <c r="H1605" s="57" t="s">
        <v>1357</v>
      </c>
    </row>
    <row r="1606" spans="2:8" ht="13.5" customHeight="1">
      <c r="B1606" s="57" t="s">
        <v>2892</v>
      </c>
      <c r="D1606" s="57" t="s">
        <v>2893</v>
      </c>
      <c r="F1606" s="57">
        <v>1502</v>
      </c>
      <c r="G1606" s="57" t="s">
        <v>2988</v>
      </c>
      <c r="H1606" s="57" t="s">
        <v>1357</v>
      </c>
    </row>
    <row r="1607" spans="2:8" ht="13.5" customHeight="1">
      <c r="B1607" s="57" t="s">
        <v>2874</v>
      </c>
      <c r="D1607" s="57" t="s">
        <v>2875</v>
      </c>
      <c r="F1607" s="57">
        <v>2219</v>
      </c>
      <c r="G1607" s="57" t="s">
        <v>2988</v>
      </c>
      <c r="H1607" s="57" t="s">
        <v>1357</v>
      </c>
    </row>
    <row r="1608" spans="2:8" ht="13.5" customHeight="1">
      <c r="B1608" s="57" t="s">
        <v>2841</v>
      </c>
      <c r="D1608" s="57" t="s">
        <v>2842</v>
      </c>
      <c r="F1608" s="57">
        <v>3202</v>
      </c>
      <c r="G1608" s="57" t="s">
        <v>2988</v>
      </c>
      <c r="H1608" s="57" t="s">
        <v>1357</v>
      </c>
    </row>
    <row r="1609" spans="2:8" ht="13.5" customHeight="1">
      <c r="B1609" s="57" t="s">
        <v>2905</v>
      </c>
      <c r="D1609" s="57" t="s">
        <v>2906</v>
      </c>
      <c r="F1609" s="57">
        <v>3450</v>
      </c>
      <c r="G1609" s="57" t="s">
        <v>2988</v>
      </c>
      <c r="H1609" s="57" t="s">
        <v>1357</v>
      </c>
    </row>
    <row r="1610" spans="2:8" ht="13.5" customHeight="1">
      <c r="B1610" s="60" t="s">
        <v>8289</v>
      </c>
      <c r="D1610" s="60" t="s">
        <v>8280</v>
      </c>
      <c r="F1610" s="57">
        <v>4937</v>
      </c>
      <c r="G1610" s="57" t="s">
        <v>2988</v>
      </c>
      <c r="H1610" s="57" t="s">
        <v>1357</v>
      </c>
    </row>
    <row r="1611" spans="2:8" ht="13.5" customHeight="1">
      <c r="B1611" s="57" t="s">
        <v>2805</v>
      </c>
      <c r="D1611" s="57" t="s">
        <v>476</v>
      </c>
      <c r="F1611" s="57">
        <v>6044</v>
      </c>
      <c r="G1611" s="57" t="s">
        <v>2988</v>
      </c>
      <c r="H1611" s="57" t="s">
        <v>1357</v>
      </c>
    </row>
    <row r="1612" spans="2:8" ht="13.5" customHeight="1">
      <c r="B1612" s="57" t="s">
        <v>2839</v>
      </c>
      <c r="D1612" s="57" t="s">
        <v>2839</v>
      </c>
      <c r="F1612" s="57">
        <v>4160</v>
      </c>
      <c r="G1612" s="57" t="s">
        <v>2988</v>
      </c>
      <c r="H1612" s="57" t="s">
        <v>2983</v>
      </c>
    </row>
    <row r="1613" spans="2:8" ht="13.5" customHeight="1">
      <c r="B1613" s="57" t="s">
        <v>2860</v>
      </c>
      <c r="D1613" s="57" t="s">
        <v>2861</v>
      </c>
      <c r="F1613" s="57">
        <v>2</v>
      </c>
      <c r="G1613" s="57" t="s">
        <v>2988</v>
      </c>
      <c r="H1613" s="57" t="s">
        <v>2984</v>
      </c>
    </row>
    <row r="1614" spans="2:8" ht="13.5" customHeight="1">
      <c r="B1614" s="57" t="s">
        <v>2866</v>
      </c>
      <c r="D1614" s="57" t="s">
        <v>2867</v>
      </c>
      <c r="F1614" s="57">
        <v>144</v>
      </c>
      <c r="G1614" s="57" t="s">
        <v>2988</v>
      </c>
      <c r="H1614" s="57" t="s">
        <v>2984</v>
      </c>
    </row>
    <row r="1615" spans="2:8" ht="13.5" customHeight="1">
      <c r="B1615" s="57" t="s">
        <v>2872</v>
      </c>
      <c r="D1615" s="57" t="s">
        <v>2873</v>
      </c>
      <c r="F1615" s="57">
        <v>294</v>
      </c>
      <c r="G1615" s="57" t="s">
        <v>2988</v>
      </c>
      <c r="H1615" s="57" t="s">
        <v>2984</v>
      </c>
    </row>
    <row r="1616" spans="2:8" ht="13.5" customHeight="1">
      <c r="B1616" s="57" t="s">
        <v>2879</v>
      </c>
      <c r="D1616" s="57" t="s">
        <v>2840</v>
      </c>
      <c r="F1616" s="57">
        <v>412</v>
      </c>
      <c r="G1616" s="57" t="s">
        <v>2988</v>
      </c>
      <c r="H1616" s="57" t="s">
        <v>2984</v>
      </c>
    </row>
    <row r="1617" spans="2:8" ht="13.5" customHeight="1">
      <c r="B1617" s="57" t="s">
        <v>2878</v>
      </c>
      <c r="D1617" s="57" t="s">
        <v>2878</v>
      </c>
      <c r="F1617" s="57">
        <v>1331</v>
      </c>
      <c r="G1617" s="57" t="s">
        <v>2988</v>
      </c>
      <c r="H1617" s="57" t="s">
        <v>2984</v>
      </c>
    </row>
    <row r="1618" spans="2:8" ht="13.5" customHeight="1">
      <c r="B1618" s="57" t="s">
        <v>2909</v>
      </c>
      <c r="D1618" s="57" t="s">
        <v>2930</v>
      </c>
      <c r="F1618" s="57">
        <v>21</v>
      </c>
      <c r="G1618" s="57" t="s">
        <v>2988</v>
      </c>
      <c r="H1618" s="57" t="s">
        <v>2980</v>
      </c>
    </row>
    <row r="1619" spans="2:8" ht="13.5" customHeight="1">
      <c r="B1619" s="57" t="s">
        <v>2882</v>
      </c>
      <c r="D1619" s="57" t="s">
        <v>2883</v>
      </c>
      <c r="F1619" s="57">
        <v>312</v>
      </c>
      <c r="G1619" s="57" t="s">
        <v>2988</v>
      </c>
      <c r="H1619" s="57" t="s">
        <v>2980</v>
      </c>
    </row>
    <row r="1620" spans="2:8" ht="13.5" customHeight="1">
      <c r="B1620" s="57" t="s">
        <v>2812</v>
      </c>
      <c r="D1620" s="57" t="s">
        <v>2813</v>
      </c>
      <c r="F1620" s="57">
        <v>796</v>
      </c>
      <c r="G1620" s="57" t="s">
        <v>2988</v>
      </c>
      <c r="H1620" s="57" t="s">
        <v>2980</v>
      </c>
    </row>
    <row r="1621" spans="2:8" ht="13.5" customHeight="1">
      <c r="B1621" s="60" t="s">
        <v>8290</v>
      </c>
      <c r="D1621" s="60" t="s">
        <v>8281</v>
      </c>
      <c r="F1621" s="57">
        <v>838</v>
      </c>
      <c r="G1621" s="57" t="s">
        <v>2988</v>
      </c>
      <c r="H1621" s="57" t="s">
        <v>2980</v>
      </c>
    </row>
    <row r="1622" spans="2:8" ht="13.5" customHeight="1">
      <c r="B1622" s="57" t="s">
        <v>2816</v>
      </c>
      <c r="D1622" s="57" t="s">
        <v>2817</v>
      </c>
      <c r="F1622" s="57">
        <v>48</v>
      </c>
      <c r="G1622" s="57" t="s">
        <v>2988</v>
      </c>
      <c r="H1622" s="57" t="s">
        <v>2979</v>
      </c>
    </row>
    <row r="1623" spans="2:8" ht="13.5" customHeight="1">
      <c r="B1623" s="57" t="s">
        <v>2926</v>
      </c>
      <c r="D1623" s="57" t="s">
        <v>2927</v>
      </c>
      <c r="F1623" s="57">
        <v>56</v>
      </c>
      <c r="G1623" s="57" t="s">
        <v>2988</v>
      </c>
      <c r="H1623" s="57" t="s">
        <v>2979</v>
      </c>
    </row>
    <row r="1624" spans="2:8" ht="13.5" customHeight="1">
      <c r="B1624" s="57" t="s">
        <v>2806</v>
      </c>
      <c r="D1624" s="57" t="s">
        <v>2807</v>
      </c>
      <c r="F1624" s="57">
        <v>105</v>
      </c>
      <c r="G1624" s="57" t="s">
        <v>2988</v>
      </c>
      <c r="H1624" s="57" t="s">
        <v>2979</v>
      </c>
    </row>
    <row r="1625" spans="2:8" ht="13.5" customHeight="1">
      <c r="B1625" s="57" t="s">
        <v>2818</v>
      </c>
      <c r="D1625" s="57" t="s">
        <v>2819</v>
      </c>
      <c r="F1625" s="57">
        <v>189</v>
      </c>
      <c r="G1625" s="57" t="s">
        <v>2988</v>
      </c>
      <c r="H1625" s="57" t="s">
        <v>2979</v>
      </c>
    </row>
    <row r="1626" spans="2:8" ht="13.5" customHeight="1">
      <c r="B1626" s="57" t="s">
        <v>2810</v>
      </c>
      <c r="D1626" s="57" t="s">
        <v>2811</v>
      </c>
      <c r="F1626" s="57">
        <v>365</v>
      </c>
      <c r="G1626" s="57" t="s">
        <v>2988</v>
      </c>
      <c r="H1626" s="57" t="s">
        <v>2979</v>
      </c>
    </row>
    <row r="1627" spans="2:8" ht="13.5" customHeight="1">
      <c r="B1627" s="57" t="s">
        <v>2928</v>
      </c>
      <c r="D1627" s="57" t="s">
        <v>2929</v>
      </c>
      <c r="F1627" s="57">
        <v>369</v>
      </c>
      <c r="G1627" s="57" t="s">
        <v>2988</v>
      </c>
      <c r="H1627" s="57" t="s">
        <v>2979</v>
      </c>
    </row>
    <row r="1628" spans="2:8" ht="13.5" customHeight="1">
      <c r="B1628" s="57" t="s">
        <v>2801</v>
      </c>
      <c r="D1628" s="57" t="s">
        <v>2802</v>
      </c>
      <c r="F1628" s="57">
        <v>582</v>
      </c>
      <c r="G1628" s="57" t="s">
        <v>2988</v>
      </c>
      <c r="H1628" s="57" t="s">
        <v>2979</v>
      </c>
    </row>
    <row r="1629" spans="2:8" ht="13.5" customHeight="1">
      <c r="B1629" s="57" t="s">
        <v>2931</v>
      </c>
      <c r="D1629" s="57" t="s">
        <v>2931</v>
      </c>
      <c r="F1629" s="57">
        <v>1200</v>
      </c>
      <c r="G1629" s="57" t="s">
        <v>2988</v>
      </c>
      <c r="H1629" s="57" t="s">
        <v>2979</v>
      </c>
    </row>
    <row r="1630" spans="2:8" ht="13.5" customHeight="1">
      <c r="B1630" s="57" t="s">
        <v>2884</v>
      </c>
      <c r="D1630" s="57" t="s">
        <v>2884</v>
      </c>
      <c r="F1630" s="57">
        <v>4584</v>
      </c>
      <c r="G1630" s="57" t="s">
        <v>2988</v>
      </c>
      <c r="H1630" s="57" t="s">
        <v>2979</v>
      </c>
    </row>
    <row r="1631" spans="2:8" ht="13.5" customHeight="1">
      <c r="B1631" s="57" t="s">
        <v>2916</v>
      </c>
      <c r="D1631" s="57" t="s">
        <v>2917</v>
      </c>
      <c r="F1631" s="57">
        <v>519</v>
      </c>
      <c r="G1631" s="57" t="s">
        <v>2988</v>
      </c>
      <c r="H1631" s="57" t="s">
        <v>2986</v>
      </c>
    </row>
    <row r="1632" spans="2:8" ht="13.5" customHeight="1">
      <c r="B1632" s="57" t="s">
        <v>3083</v>
      </c>
      <c r="D1632" s="57" t="s">
        <v>3084</v>
      </c>
      <c r="F1632" s="57">
        <v>1</v>
      </c>
      <c r="G1632" s="57" t="s">
        <v>8292</v>
      </c>
      <c r="H1632" s="57" t="s">
        <v>1116</v>
      </c>
    </row>
    <row r="1633" spans="2:8" ht="13.5" customHeight="1">
      <c r="B1633" s="57" t="s">
        <v>3062</v>
      </c>
      <c r="D1633" s="57" t="s">
        <v>3062</v>
      </c>
      <c r="F1633" s="57">
        <v>9</v>
      </c>
      <c r="G1633" s="57" t="s">
        <v>8292</v>
      </c>
      <c r="H1633" s="57" t="s">
        <v>1116</v>
      </c>
    </row>
    <row r="1634" spans="2:8" ht="13.5" customHeight="1">
      <c r="B1634" s="57" t="s">
        <v>3038</v>
      </c>
      <c r="D1634" s="57" t="s">
        <v>3039</v>
      </c>
      <c r="F1634" s="57">
        <v>1</v>
      </c>
      <c r="G1634" s="57" t="s">
        <v>8292</v>
      </c>
      <c r="H1634" s="57" t="s">
        <v>343</v>
      </c>
    </row>
    <row r="1635" spans="2:8" ht="13.5" customHeight="1">
      <c r="B1635" s="57" t="s">
        <v>3102</v>
      </c>
      <c r="D1635" s="57" t="s">
        <v>3103</v>
      </c>
      <c r="F1635" s="57">
        <v>3</v>
      </c>
      <c r="G1635" s="57" t="s">
        <v>8292</v>
      </c>
      <c r="H1635" s="57" t="s">
        <v>343</v>
      </c>
    </row>
    <row r="1636" spans="2:8" ht="13.5" customHeight="1">
      <c r="B1636" s="57" t="s">
        <v>3012</v>
      </c>
      <c r="D1636" s="57" t="s">
        <v>3013</v>
      </c>
      <c r="F1636" s="57">
        <v>4</v>
      </c>
      <c r="G1636" s="57" t="s">
        <v>8292</v>
      </c>
      <c r="H1636" s="57" t="s">
        <v>343</v>
      </c>
    </row>
    <row r="1637" spans="2:8" ht="13.5" customHeight="1">
      <c r="B1637" s="57" t="s">
        <v>3014</v>
      </c>
      <c r="D1637" s="57" t="s">
        <v>3015</v>
      </c>
      <c r="F1637" s="57">
        <v>5</v>
      </c>
      <c r="G1637" s="57" t="s">
        <v>8292</v>
      </c>
      <c r="H1637" s="57" t="s">
        <v>343</v>
      </c>
    </row>
    <row r="1638" spans="2:8" ht="13.5" customHeight="1">
      <c r="B1638" s="57" t="s">
        <v>3063</v>
      </c>
      <c r="D1638" s="57" t="s">
        <v>3064</v>
      </c>
      <c r="F1638" s="57">
        <v>5</v>
      </c>
      <c r="G1638" s="57" t="s">
        <v>8292</v>
      </c>
      <c r="H1638" s="57" t="s">
        <v>343</v>
      </c>
    </row>
    <row r="1639" spans="2:8" ht="13.5" customHeight="1">
      <c r="B1639" s="57" t="s">
        <v>3034</v>
      </c>
      <c r="D1639" s="57" t="s">
        <v>3035</v>
      </c>
      <c r="F1639" s="57">
        <v>6</v>
      </c>
      <c r="G1639" s="57" t="s">
        <v>8292</v>
      </c>
      <c r="H1639" s="57" t="s">
        <v>343</v>
      </c>
    </row>
    <row r="1640" spans="2:8" ht="13.5" customHeight="1">
      <c r="B1640" s="57" t="s">
        <v>2995</v>
      </c>
      <c r="D1640" s="57" t="s">
        <v>2996</v>
      </c>
      <c r="F1640" s="57">
        <v>7</v>
      </c>
      <c r="G1640" s="57" t="s">
        <v>8292</v>
      </c>
      <c r="H1640" s="57" t="s">
        <v>343</v>
      </c>
    </row>
    <row r="1641" spans="2:8" ht="13.5" customHeight="1">
      <c r="B1641" s="57" t="s">
        <v>3045</v>
      </c>
      <c r="D1641" s="57" t="s">
        <v>3046</v>
      </c>
      <c r="F1641" s="57">
        <v>9</v>
      </c>
      <c r="G1641" s="57" t="s">
        <v>8292</v>
      </c>
      <c r="H1641" s="57" t="s">
        <v>343</v>
      </c>
    </row>
    <row r="1642" spans="2:8" ht="13.5" customHeight="1">
      <c r="B1642" s="57" t="s">
        <v>3036</v>
      </c>
      <c r="D1642" s="57" t="s">
        <v>3037</v>
      </c>
      <c r="F1642" s="57">
        <v>10</v>
      </c>
      <c r="G1642" s="57" t="s">
        <v>8292</v>
      </c>
      <c r="H1642" s="57" t="s">
        <v>343</v>
      </c>
    </row>
    <row r="1643" spans="2:8" ht="13.5" customHeight="1">
      <c r="B1643" s="57" t="s">
        <v>2999</v>
      </c>
      <c r="D1643" s="57" t="s">
        <v>3000</v>
      </c>
      <c r="F1643" s="57">
        <v>10</v>
      </c>
      <c r="G1643" s="57" t="s">
        <v>8292</v>
      </c>
      <c r="H1643" s="57" t="s">
        <v>343</v>
      </c>
    </row>
    <row r="1644" spans="2:8" ht="13.5" customHeight="1">
      <c r="B1644" s="57" t="s">
        <v>2990</v>
      </c>
      <c r="D1644" s="57" t="s">
        <v>2991</v>
      </c>
      <c r="F1644" s="57">
        <v>23</v>
      </c>
      <c r="G1644" s="57" t="s">
        <v>8292</v>
      </c>
      <c r="H1644" s="57" t="s">
        <v>343</v>
      </c>
    </row>
    <row r="1645" spans="2:8" ht="13.5" customHeight="1">
      <c r="B1645" s="57" t="s">
        <v>3065</v>
      </c>
      <c r="D1645" s="57" t="s">
        <v>3066</v>
      </c>
      <c r="F1645" s="57">
        <v>25</v>
      </c>
      <c r="G1645" s="57" t="s">
        <v>8292</v>
      </c>
      <c r="H1645" s="57" t="s">
        <v>343</v>
      </c>
    </row>
    <row r="1646" spans="2:8" ht="13.5" customHeight="1">
      <c r="B1646" s="57" t="s">
        <v>3071</v>
      </c>
      <c r="D1646" s="57" t="s">
        <v>3072</v>
      </c>
      <c r="F1646" s="57">
        <v>26</v>
      </c>
      <c r="G1646" s="57" t="s">
        <v>8292</v>
      </c>
      <c r="H1646" s="57" t="s">
        <v>343</v>
      </c>
    </row>
    <row r="1647" spans="2:8" ht="13.5" customHeight="1">
      <c r="B1647" s="57" t="s">
        <v>3005</v>
      </c>
      <c r="D1647" s="57" t="s">
        <v>3006</v>
      </c>
      <c r="E1647" s="68"/>
      <c r="F1647" s="57">
        <v>298</v>
      </c>
      <c r="G1647" s="57" t="s">
        <v>8292</v>
      </c>
      <c r="H1647" s="57" t="s">
        <v>343</v>
      </c>
    </row>
    <row r="1648" spans="2:8" ht="13.5" customHeight="1">
      <c r="B1648" s="57" t="s">
        <v>3097</v>
      </c>
      <c r="D1648" s="57" t="s">
        <v>3098</v>
      </c>
      <c r="F1648" s="57">
        <v>1</v>
      </c>
      <c r="G1648" s="57" t="s">
        <v>8292</v>
      </c>
      <c r="H1648" s="57" t="s">
        <v>344</v>
      </c>
    </row>
    <row r="1649" spans="2:8" ht="13.5" customHeight="1">
      <c r="B1649" s="57" t="s">
        <v>3129</v>
      </c>
      <c r="D1649" s="57" t="s">
        <v>3130</v>
      </c>
      <c r="F1649" s="57">
        <v>2</v>
      </c>
      <c r="G1649" s="57" t="s">
        <v>8292</v>
      </c>
      <c r="H1649" s="57" t="s">
        <v>344</v>
      </c>
    </row>
    <row r="1650" spans="2:8" ht="13.5" customHeight="1">
      <c r="B1650" s="57" t="s">
        <v>3060</v>
      </c>
      <c r="D1650" s="57" t="s">
        <v>3061</v>
      </c>
      <c r="F1650" s="57">
        <v>9</v>
      </c>
      <c r="G1650" s="57" t="s">
        <v>8292</v>
      </c>
      <c r="H1650" s="57" t="s">
        <v>344</v>
      </c>
    </row>
    <row r="1651" spans="2:8" ht="13.5" customHeight="1">
      <c r="B1651" s="57" t="s">
        <v>8293</v>
      </c>
      <c r="D1651" s="57" t="s">
        <v>3082</v>
      </c>
      <c r="F1651" s="57">
        <v>10</v>
      </c>
      <c r="G1651" s="57" t="s">
        <v>8292</v>
      </c>
      <c r="H1651" s="57" t="s">
        <v>344</v>
      </c>
    </row>
    <row r="1652" spans="2:8" ht="13.5" customHeight="1">
      <c r="B1652" s="57" t="s">
        <v>3069</v>
      </c>
      <c r="D1652" s="57" t="s">
        <v>3070</v>
      </c>
      <c r="F1652" s="57">
        <v>35</v>
      </c>
      <c r="G1652" s="57" t="s">
        <v>8292</v>
      </c>
      <c r="H1652" s="57" t="s">
        <v>344</v>
      </c>
    </row>
    <row r="1653" spans="2:8" ht="13.5" customHeight="1">
      <c r="B1653" s="57" t="s">
        <v>3131</v>
      </c>
      <c r="D1653" s="57" t="s">
        <v>3132</v>
      </c>
      <c r="F1653" s="57">
        <v>47</v>
      </c>
      <c r="G1653" s="57" t="s">
        <v>8292</v>
      </c>
      <c r="H1653" s="57" t="s">
        <v>344</v>
      </c>
    </row>
    <row r="1654" spans="2:8" ht="13.5" customHeight="1">
      <c r="B1654" s="57" t="s">
        <v>3075</v>
      </c>
      <c r="D1654" s="57" t="s">
        <v>3076</v>
      </c>
      <c r="F1654" s="57">
        <v>80</v>
      </c>
      <c r="G1654" s="57" t="s">
        <v>8292</v>
      </c>
      <c r="H1654" s="57" t="s">
        <v>344</v>
      </c>
    </row>
    <row r="1655" spans="2:8" ht="13.5" customHeight="1">
      <c r="B1655" s="57" t="s">
        <v>3115</v>
      </c>
      <c r="D1655" s="57" t="s">
        <v>3115</v>
      </c>
      <c r="F1655" s="57">
        <v>1</v>
      </c>
      <c r="G1655" s="57" t="s">
        <v>8292</v>
      </c>
      <c r="H1655" s="57" t="s">
        <v>345</v>
      </c>
    </row>
    <row r="1656" spans="2:8" ht="13.5" customHeight="1">
      <c r="B1656" s="57" t="s">
        <v>3106</v>
      </c>
      <c r="D1656" s="57" t="s">
        <v>3107</v>
      </c>
      <c r="F1656" s="57">
        <v>2</v>
      </c>
      <c r="G1656" s="57" t="s">
        <v>8292</v>
      </c>
      <c r="H1656" s="57" t="s">
        <v>345</v>
      </c>
    </row>
    <row r="1657" spans="2:8" ht="13.5" customHeight="1">
      <c r="B1657" s="57" t="s">
        <v>3058</v>
      </c>
      <c r="D1657" s="57" t="s">
        <v>3059</v>
      </c>
      <c r="F1657" s="57">
        <v>2</v>
      </c>
      <c r="G1657" s="57" t="s">
        <v>8292</v>
      </c>
      <c r="H1657" s="57" t="s">
        <v>345</v>
      </c>
    </row>
    <row r="1658" spans="2:8" ht="13.5" customHeight="1">
      <c r="B1658" s="57" t="s">
        <v>3108</v>
      </c>
      <c r="D1658" s="57" t="s">
        <v>3109</v>
      </c>
      <c r="F1658" s="57">
        <v>2</v>
      </c>
      <c r="G1658" s="57" t="s">
        <v>8292</v>
      </c>
      <c r="H1658" s="57" t="s">
        <v>345</v>
      </c>
    </row>
    <row r="1659" spans="2:8" ht="13.5" customHeight="1">
      <c r="B1659" s="57" t="s">
        <v>3110</v>
      </c>
      <c r="D1659" s="57" t="s">
        <v>3111</v>
      </c>
      <c r="F1659" s="57">
        <v>2</v>
      </c>
      <c r="G1659" s="57" t="s">
        <v>8292</v>
      </c>
      <c r="H1659" s="57" t="s">
        <v>345</v>
      </c>
    </row>
    <row r="1660" spans="2:8" ht="13.5" customHeight="1">
      <c r="B1660" s="57" t="s">
        <v>3112</v>
      </c>
      <c r="D1660" s="57" t="s">
        <v>3112</v>
      </c>
      <c r="F1660" s="57">
        <v>3</v>
      </c>
      <c r="G1660" s="57" t="s">
        <v>8292</v>
      </c>
      <c r="H1660" s="57" t="s">
        <v>345</v>
      </c>
    </row>
    <row r="1661" spans="2:8" ht="13.5" customHeight="1">
      <c r="B1661" s="57" t="s">
        <v>3077</v>
      </c>
      <c r="D1661" s="57" t="s">
        <v>3078</v>
      </c>
      <c r="F1661" s="57">
        <v>3</v>
      </c>
      <c r="G1661" s="57" t="s">
        <v>8292</v>
      </c>
      <c r="H1661" s="57" t="s">
        <v>345</v>
      </c>
    </row>
    <row r="1662" spans="2:8" ht="13.5" customHeight="1">
      <c r="B1662" s="57" t="s">
        <v>3056</v>
      </c>
      <c r="D1662" s="57" t="s">
        <v>3057</v>
      </c>
      <c r="F1662" s="57">
        <v>10</v>
      </c>
      <c r="G1662" s="57" t="s">
        <v>8292</v>
      </c>
      <c r="H1662" s="57" t="s">
        <v>345</v>
      </c>
    </row>
    <row r="1663" spans="2:8" ht="13.5" customHeight="1">
      <c r="B1663" s="57" t="s">
        <v>3079</v>
      </c>
      <c r="D1663" s="57" t="s">
        <v>3080</v>
      </c>
      <c r="F1663" s="57">
        <v>11</v>
      </c>
      <c r="G1663" s="57" t="s">
        <v>8292</v>
      </c>
      <c r="H1663" s="57" t="s">
        <v>345</v>
      </c>
    </row>
    <row r="1664" spans="2:8" ht="13.5" customHeight="1">
      <c r="B1664" s="57" t="s">
        <v>3127</v>
      </c>
      <c r="D1664" s="57" t="s">
        <v>3128</v>
      </c>
      <c r="F1664" s="57">
        <v>12</v>
      </c>
      <c r="G1664" s="57" t="s">
        <v>8292</v>
      </c>
      <c r="H1664" s="57" t="s">
        <v>345</v>
      </c>
    </row>
    <row r="1665" spans="2:8" ht="13.5" customHeight="1">
      <c r="B1665" s="57" t="s">
        <v>3133</v>
      </c>
      <c r="D1665" s="57" t="s">
        <v>3133</v>
      </c>
      <c r="F1665" s="57">
        <v>15</v>
      </c>
      <c r="G1665" s="57" t="s">
        <v>8292</v>
      </c>
      <c r="H1665" s="57" t="s">
        <v>345</v>
      </c>
    </row>
    <row r="1666" spans="2:8" ht="13.5" customHeight="1">
      <c r="B1666" s="57" t="s">
        <v>3124</v>
      </c>
      <c r="D1666" s="57" t="s">
        <v>3125</v>
      </c>
      <c r="F1666" s="57">
        <v>15</v>
      </c>
      <c r="G1666" s="57" t="s">
        <v>8292</v>
      </c>
      <c r="H1666" s="57" t="s">
        <v>345</v>
      </c>
    </row>
    <row r="1667" spans="2:8" ht="13.5" customHeight="1">
      <c r="B1667" s="57" t="s">
        <v>3104</v>
      </c>
      <c r="D1667" s="57" t="s">
        <v>3105</v>
      </c>
      <c r="F1667" s="57">
        <v>16</v>
      </c>
      <c r="G1667" s="57" t="s">
        <v>8292</v>
      </c>
      <c r="H1667" s="57" t="s">
        <v>345</v>
      </c>
    </row>
    <row r="1668" spans="2:8" ht="13.5" customHeight="1">
      <c r="B1668" s="57" t="s">
        <v>3126</v>
      </c>
      <c r="D1668" s="57" t="s">
        <v>3126</v>
      </c>
      <c r="F1668" s="57">
        <v>17</v>
      </c>
      <c r="G1668" s="57" t="s">
        <v>8292</v>
      </c>
      <c r="H1668" s="57" t="s">
        <v>345</v>
      </c>
    </row>
    <row r="1669" spans="2:8" ht="13.5" customHeight="1">
      <c r="B1669" s="57" t="s">
        <v>3067</v>
      </c>
      <c r="D1669" s="57" t="s">
        <v>3068</v>
      </c>
      <c r="F1669" s="57">
        <v>23</v>
      </c>
      <c r="G1669" s="57" t="s">
        <v>8292</v>
      </c>
      <c r="H1669" s="57" t="s">
        <v>345</v>
      </c>
    </row>
    <row r="1670" spans="2:8" ht="13.5" customHeight="1">
      <c r="B1670" s="57" t="s">
        <v>2992</v>
      </c>
      <c r="D1670" s="57" t="s">
        <v>2992</v>
      </c>
      <c r="F1670" s="57">
        <v>71</v>
      </c>
      <c r="G1670" s="57" t="s">
        <v>8292</v>
      </c>
      <c r="H1670" s="57" t="s">
        <v>345</v>
      </c>
    </row>
    <row r="1671" spans="2:8" ht="13.5" customHeight="1">
      <c r="B1671" s="57" t="s">
        <v>8293</v>
      </c>
      <c r="D1671" s="57" t="s">
        <v>3082</v>
      </c>
      <c r="F1671" s="57">
        <v>83</v>
      </c>
      <c r="G1671" s="57" t="s">
        <v>8292</v>
      </c>
      <c r="H1671" s="57" t="s">
        <v>345</v>
      </c>
    </row>
    <row r="1672" spans="2:8" ht="13.5" customHeight="1">
      <c r="B1672" s="57" t="s">
        <v>3026</v>
      </c>
      <c r="D1672" s="57" t="s">
        <v>3027</v>
      </c>
      <c r="F1672" s="57">
        <v>2</v>
      </c>
      <c r="G1672" s="57" t="s">
        <v>8292</v>
      </c>
      <c r="H1672" s="57" t="s">
        <v>919</v>
      </c>
    </row>
    <row r="1673" spans="2:8" ht="13.5" customHeight="1">
      <c r="B1673" s="57" t="s">
        <v>3042</v>
      </c>
      <c r="D1673" s="57" t="s">
        <v>3043</v>
      </c>
      <c r="F1673" s="57">
        <v>2</v>
      </c>
      <c r="G1673" s="57" t="s">
        <v>8292</v>
      </c>
      <c r="H1673" s="57" t="s">
        <v>919</v>
      </c>
    </row>
    <row r="1674" spans="2:8" ht="13.5" customHeight="1">
      <c r="D1674" s="57" t="s">
        <v>3101</v>
      </c>
      <c r="F1674" s="57">
        <v>3</v>
      </c>
      <c r="G1674" s="57" t="s">
        <v>8292</v>
      </c>
      <c r="H1674" s="57" t="s">
        <v>919</v>
      </c>
    </row>
    <row r="1675" spans="2:8" ht="13.5" customHeight="1">
      <c r="B1675" s="57" t="s">
        <v>3093</v>
      </c>
      <c r="D1675" s="57" t="s">
        <v>3094</v>
      </c>
      <c r="F1675" s="57">
        <v>6</v>
      </c>
      <c r="G1675" s="57" t="s">
        <v>8292</v>
      </c>
      <c r="H1675" s="57" t="s">
        <v>919</v>
      </c>
    </row>
    <row r="1676" spans="2:8" ht="13.5" customHeight="1">
      <c r="B1676" s="57" t="s">
        <v>3052</v>
      </c>
      <c r="D1676" s="57" t="s">
        <v>3053</v>
      </c>
      <c r="F1676" s="57">
        <v>7</v>
      </c>
      <c r="G1676" s="57" t="s">
        <v>8292</v>
      </c>
      <c r="H1676" s="57" t="s">
        <v>919</v>
      </c>
    </row>
    <row r="1677" spans="2:8" ht="13.5" customHeight="1">
      <c r="B1677" s="57" t="s">
        <v>3001</v>
      </c>
      <c r="D1677" s="57" t="s">
        <v>3002</v>
      </c>
      <c r="F1677" s="57">
        <v>8</v>
      </c>
      <c r="G1677" s="57" t="s">
        <v>8292</v>
      </c>
      <c r="H1677" s="57" t="s">
        <v>919</v>
      </c>
    </row>
    <row r="1678" spans="2:8" ht="13.5" customHeight="1">
      <c r="B1678" s="57" t="s">
        <v>3054</v>
      </c>
      <c r="D1678" s="57" t="s">
        <v>3055</v>
      </c>
      <c r="F1678" s="57">
        <v>10</v>
      </c>
      <c r="G1678" s="57" t="s">
        <v>8292</v>
      </c>
      <c r="H1678" s="57" t="s">
        <v>919</v>
      </c>
    </row>
    <row r="1679" spans="2:8" ht="13.5" customHeight="1">
      <c r="B1679" s="57" t="s">
        <v>3095</v>
      </c>
      <c r="D1679" s="57" t="s">
        <v>3096</v>
      </c>
      <c r="F1679" s="57">
        <v>12</v>
      </c>
      <c r="G1679" s="57" t="s">
        <v>8292</v>
      </c>
      <c r="H1679" s="57" t="s">
        <v>919</v>
      </c>
    </row>
    <row r="1680" spans="2:8" ht="13.5" customHeight="1">
      <c r="B1680" s="57" t="s">
        <v>3040</v>
      </c>
      <c r="D1680" s="57" t="s">
        <v>3041</v>
      </c>
      <c r="F1680" s="57">
        <v>13</v>
      </c>
      <c r="G1680" s="57" t="s">
        <v>8292</v>
      </c>
      <c r="H1680" s="57" t="s">
        <v>919</v>
      </c>
    </row>
    <row r="1681" spans="2:8" ht="13.5" customHeight="1">
      <c r="B1681" s="57" t="s">
        <v>3024</v>
      </c>
      <c r="D1681" s="57" t="s">
        <v>3025</v>
      </c>
      <c r="F1681" s="57">
        <v>15</v>
      </c>
      <c r="G1681" s="57" t="s">
        <v>8292</v>
      </c>
      <c r="H1681" s="57" t="s">
        <v>919</v>
      </c>
    </row>
    <row r="1682" spans="2:8" ht="13.5" customHeight="1">
      <c r="B1682" s="57" t="s">
        <v>3048</v>
      </c>
      <c r="D1682" s="57" t="s">
        <v>3049</v>
      </c>
      <c r="F1682" s="57">
        <v>21</v>
      </c>
      <c r="G1682" s="57" t="s">
        <v>8292</v>
      </c>
      <c r="H1682" s="57" t="s">
        <v>919</v>
      </c>
    </row>
    <row r="1683" spans="2:8" ht="13.5" customHeight="1">
      <c r="B1683" s="57" t="s">
        <v>3028</v>
      </c>
      <c r="D1683" s="57" t="s">
        <v>3029</v>
      </c>
      <c r="F1683" s="57">
        <v>22</v>
      </c>
      <c r="G1683" s="57" t="s">
        <v>8292</v>
      </c>
      <c r="H1683" s="57" t="s">
        <v>919</v>
      </c>
    </row>
    <row r="1684" spans="2:8" ht="13.5" customHeight="1">
      <c r="B1684" s="57" t="s">
        <v>2993</v>
      </c>
      <c r="D1684" s="57" t="s">
        <v>2994</v>
      </c>
      <c r="F1684" s="57">
        <v>25</v>
      </c>
      <c r="G1684" s="57" t="s">
        <v>8292</v>
      </c>
      <c r="H1684" s="57" t="s">
        <v>919</v>
      </c>
    </row>
    <row r="1685" spans="2:8" ht="13.5" customHeight="1">
      <c r="B1685" s="57" t="s">
        <v>3008</v>
      </c>
      <c r="D1685" s="57" t="s">
        <v>3009</v>
      </c>
      <c r="F1685" s="57">
        <v>28</v>
      </c>
      <c r="G1685" s="57" t="s">
        <v>8292</v>
      </c>
      <c r="H1685" s="57" t="s">
        <v>919</v>
      </c>
    </row>
    <row r="1686" spans="2:8" ht="13.5" customHeight="1">
      <c r="B1686" s="57" t="s">
        <v>3010</v>
      </c>
      <c r="D1686" s="57" t="s">
        <v>3011</v>
      </c>
      <c r="F1686" s="57">
        <v>36</v>
      </c>
      <c r="G1686" s="57" t="s">
        <v>8292</v>
      </c>
      <c r="H1686" s="57" t="s">
        <v>919</v>
      </c>
    </row>
    <row r="1687" spans="2:8" ht="13.5" customHeight="1">
      <c r="B1687" s="57" t="s">
        <v>746</v>
      </c>
      <c r="D1687" s="57" t="s">
        <v>3007</v>
      </c>
      <c r="F1687" s="57">
        <v>51</v>
      </c>
      <c r="G1687" s="57" t="s">
        <v>8292</v>
      </c>
      <c r="H1687" s="57" t="s">
        <v>919</v>
      </c>
    </row>
    <row r="1688" spans="2:8" ht="13.5" customHeight="1">
      <c r="B1688" s="57" t="s">
        <v>3003</v>
      </c>
      <c r="D1688" s="57" t="s">
        <v>3004</v>
      </c>
      <c r="F1688" s="57">
        <v>114</v>
      </c>
      <c r="G1688" s="57" t="s">
        <v>8292</v>
      </c>
      <c r="H1688" s="57" t="s">
        <v>919</v>
      </c>
    </row>
    <row r="1689" spans="2:8" ht="13.5" customHeight="1">
      <c r="B1689" s="57" t="s">
        <v>3032</v>
      </c>
      <c r="D1689" s="57" t="s">
        <v>3033</v>
      </c>
      <c r="F1689" s="57">
        <v>164</v>
      </c>
      <c r="G1689" s="57" t="s">
        <v>8292</v>
      </c>
      <c r="H1689" s="57" t="s">
        <v>919</v>
      </c>
    </row>
    <row r="1690" spans="2:8" ht="13.5" customHeight="1">
      <c r="B1690" s="57" t="s">
        <v>3030</v>
      </c>
      <c r="D1690" s="57" t="s">
        <v>3031</v>
      </c>
      <c r="F1690" s="57">
        <v>180</v>
      </c>
      <c r="G1690" s="57" t="s">
        <v>8292</v>
      </c>
      <c r="H1690" s="57" t="s">
        <v>919</v>
      </c>
    </row>
    <row r="1691" spans="2:8" ht="13.5" customHeight="1">
      <c r="B1691" s="57" t="s">
        <v>3122</v>
      </c>
      <c r="D1691" s="57" t="s">
        <v>3123</v>
      </c>
      <c r="F1691" s="57">
        <v>3</v>
      </c>
      <c r="G1691" s="57" t="s">
        <v>8292</v>
      </c>
      <c r="H1691" s="57" t="s">
        <v>918</v>
      </c>
    </row>
    <row r="1692" spans="2:8" ht="13.5" customHeight="1">
      <c r="B1692" s="57" t="s">
        <v>3087</v>
      </c>
      <c r="D1692" s="57" t="s">
        <v>3088</v>
      </c>
      <c r="F1692" s="57">
        <v>24</v>
      </c>
      <c r="G1692" s="57" t="s">
        <v>8292</v>
      </c>
      <c r="H1692" s="57" t="s">
        <v>918</v>
      </c>
    </row>
    <row r="1693" spans="2:8" ht="13.5" customHeight="1">
      <c r="B1693" s="57" t="s">
        <v>3120</v>
      </c>
      <c r="D1693" s="57" t="s">
        <v>3121</v>
      </c>
      <c r="F1693" s="57">
        <v>40</v>
      </c>
      <c r="G1693" s="57" t="s">
        <v>8292</v>
      </c>
      <c r="H1693" s="57" t="s">
        <v>918</v>
      </c>
    </row>
    <row r="1694" spans="2:8" ht="13.5" customHeight="1">
      <c r="B1694" s="57" t="s">
        <v>3118</v>
      </c>
      <c r="D1694" s="57" t="s">
        <v>3119</v>
      </c>
      <c r="F1694" s="57">
        <v>40</v>
      </c>
      <c r="G1694" s="57" t="s">
        <v>8292</v>
      </c>
      <c r="H1694" s="57" t="s">
        <v>918</v>
      </c>
    </row>
    <row r="1695" spans="2:8" ht="13.5" customHeight="1">
      <c r="B1695" s="57" t="s">
        <v>3113</v>
      </c>
      <c r="D1695" s="57" t="s">
        <v>3114</v>
      </c>
      <c r="F1695" s="57">
        <v>49</v>
      </c>
      <c r="G1695" s="57" t="s">
        <v>8292</v>
      </c>
      <c r="H1695" s="57" t="s">
        <v>918</v>
      </c>
    </row>
    <row r="1696" spans="2:8" ht="13.5" customHeight="1">
      <c r="B1696" s="57" t="s">
        <v>3089</v>
      </c>
      <c r="D1696" s="57" t="s">
        <v>3090</v>
      </c>
      <c r="F1696" s="57">
        <v>293</v>
      </c>
      <c r="G1696" s="57" t="s">
        <v>8292</v>
      </c>
      <c r="H1696" s="57" t="s">
        <v>918</v>
      </c>
    </row>
    <row r="1697" spans="2:8" ht="13.5" customHeight="1">
      <c r="B1697" s="57" t="s">
        <v>3044</v>
      </c>
      <c r="D1697" s="57" t="s">
        <v>3044</v>
      </c>
      <c r="F1697" s="57">
        <v>1</v>
      </c>
      <c r="G1697" s="57" t="s">
        <v>8292</v>
      </c>
      <c r="H1697" s="57" t="s">
        <v>1114</v>
      </c>
    </row>
    <row r="1698" spans="2:8" ht="13.5" customHeight="1">
      <c r="B1698" s="57" t="s">
        <v>3091</v>
      </c>
      <c r="D1698" s="57" t="s">
        <v>3092</v>
      </c>
      <c r="F1698" s="57">
        <v>1</v>
      </c>
      <c r="G1698" s="57" t="s">
        <v>8292</v>
      </c>
      <c r="H1698" s="57" t="s">
        <v>1114</v>
      </c>
    </row>
    <row r="1699" spans="2:8" ht="13.5" customHeight="1">
      <c r="B1699" s="57" t="s">
        <v>3099</v>
      </c>
      <c r="D1699" s="57" t="s">
        <v>3100</v>
      </c>
      <c r="F1699" s="57">
        <v>2</v>
      </c>
      <c r="G1699" s="57" t="s">
        <v>8292</v>
      </c>
      <c r="H1699" s="57" t="s">
        <v>1114</v>
      </c>
    </row>
    <row r="1700" spans="2:8" ht="13.5" customHeight="1">
      <c r="B1700" s="57" t="s">
        <v>3085</v>
      </c>
      <c r="D1700" s="57" t="s">
        <v>3086</v>
      </c>
      <c r="F1700" s="57">
        <v>6</v>
      </c>
      <c r="G1700" s="57" t="s">
        <v>8292</v>
      </c>
      <c r="H1700" s="57" t="s">
        <v>1114</v>
      </c>
    </row>
    <row r="1701" spans="2:8" ht="13.5" customHeight="1">
      <c r="B1701" s="57" t="s">
        <v>2997</v>
      </c>
      <c r="D1701" s="57" t="s">
        <v>2998</v>
      </c>
      <c r="F1701" s="57">
        <v>10</v>
      </c>
      <c r="G1701" s="57" t="s">
        <v>8292</v>
      </c>
      <c r="H1701" s="57" t="s">
        <v>1114</v>
      </c>
    </row>
    <row r="1702" spans="2:8" ht="13.5" customHeight="1">
      <c r="B1702" s="57" t="s">
        <v>3073</v>
      </c>
      <c r="D1702" s="57" t="s">
        <v>3074</v>
      </c>
      <c r="F1702" s="57">
        <v>12</v>
      </c>
      <c r="G1702" s="57" t="s">
        <v>8292</v>
      </c>
      <c r="H1702" s="57" t="s">
        <v>1114</v>
      </c>
    </row>
    <row r="1703" spans="2:8" ht="13.5" customHeight="1">
      <c r="B1703" s="57" t="s">
        <v>3022</v>
      </c>
      <c r="D1703" s="57" t="s">
        <v>3023</v>
      </c>
      <c r="F1703" s="57">
        <v>22</v>
      </c>
      <c r="G1703" s="57" t="s">
        <v>8292</v>
      </c>
      <c r="H1703" s="57" t="s">
        <v>1114</v>
      </c>
    </row>
    <row r="1704" spans="2:8" ht="13.5" customHeight="1">
      <c r="B1704" s="57" t="s">
        <v>3016</v>
      </c>
      <c r="D1704" s="57" t="s">
        <v>3016</v>
      </c>
      <c r="F1704" s="57">
        <v>24</v>
      </c>
      <c r="G1704" s="57" t="s">
        <v>8292</v>
      </c>
      <c r="H1704" s="57" t="s">
        <v>1114</v>
      </c>
    </row>
    <row r="1705" spans="2:8" ht="13.5" customHeight="1">
      <c r="B1705" s="57" t="s">
        <v>2820</v>
      </c>
      <c r="D1705" s="57" t="s">
        <v>2027</v>
      </c>
      <c r="F1705" s="57">
        <v>26</v>
      </c>
      <c r="G1705" s="57" t="s">
        <v>8292</v>
      </c>
      <c r="H1705" s="57" t="s">
        <v>1114</v>
      </c>
    </row>
    <row r="1706" spans="2:8" ht="13.5" customHeight="1">
      <c r="B1706" s="57" t="s">
        <v>3047</v>
      </c>
      <c r="D1706" s="57" t="s">
        <v>3047</v>
      </c>
      <c r="F1706" s="57">
        <v>29</v>
      </c>
      <c r="G1706" s="57" t="s">
        <v>8292</v>
      </c>
      <c r="H1706" s="57" t="s">
        <v>1114</v>
      </c>
    </row>
    <row r="1707" spans="2:8" ht="13.5" customHeight="1">
      <c r="B1707" s="57" t="s">
        <v>2989</v>
      </c>
      <c r="D1707" s="57" t="s">
        <v>911</v>
      </c>
      <c r="F1707" s="57">
        <v>44</v>
      </c>
      <c r="G1707" s="57" t="s">
        <v>8292</v>
      </c>
      <c r="H1707" s="57" t="s">
        <v>1114</v>
      </c>
    </row>
    <row r="1708" spans="2:8" ht="13.5" customHeight="1">
      <c r="B1708" s="57" t="s">
        <v>3116</v>
      </c>
      <c r="D1708" s="57" t="s">
        <v>3117</v>
      </c>
      <c r="F1708" s="57">
        <v>4</v>
      </c>
      <c r="G1708" s="57" t="s">
        <v>8292</v>
      </c>
      <c r="H1708" s="57" t="s">
        <v>1115</v>
      </c>
    </row>
    <row r="1709" spans="2:8" ht="13.5" customHeight="1">
      <c r="B1709" s="57" t="s">
        <v>3021</v>
      </c>
      <c r="D1709" s="57" t="s">
        <v>3021</v>
      </c>
      <c r="F1709" s="57">
        <v>4</v>
      </c>
      <c r="G1709" s="57" t="s">
        <v>8292</v>
      </c>
      <c r="H1709" s="57" t="s">
        <v>1115</v>
      </c>
    </row>
    <row r="1710" spans="2:8" ht="13.5" customHeight="1">
      <c r="B1710" s="57" t="s">
        <v>3019</v>
      </c>
      <c r="D1710" s="57" t="s">
        <v>3020</v>
      </c>
      <c r="F1710" s="57">
        <v>14</v>
      </c>
      <c r="G1710" s="57" t="s">
        <v>8292</v>
      </c>
      <c r="H1710" s="57" t="s">
        <v>1115</v>
      </c>
    </row>
    <row r="1711" spans="2:8" ht="13.5" customHeight="1">
      <c r="B1711" s="57" t="s">
        <v>3017</v>
      </c>
      <c r="D1711" s="57" t="s">
        <v>3018</v>
      </c>
      <c r="F1711" s="57">
        <v>28</v>
      </c>
      <c r="G1711" s="57" t="s">
        <v>8292</v>
      </c>
      <c r="H1711" s="57" t="s">
        <v>1115</v>
      </c>
    </row>
    <row r="1712" spans="2:8" ht="13.5" customHeight="1">
      <c r="B1712" s="97" t="s">
        <v>8859</v>
      </c>
      <c r="D1712" s="97" t="s">
        <v>8859</v>
      </c>
      <c r="F1712" s="57">
        <v>172</v>
      </c>
      <c r="G1712" s="57" t="s">
        <v>8510</v>
      </c>
      <c r="H1712" s="57" t="s">
        <v>1116</v>
      </c>
    </row>
    <row r="1713" spans="2:9" ht="13.5" customHeight="1">
      <c r="B1713" s="97" t="s">
        <v>8816</v>
      </c>
      <c r="D1713" s="97" t="s">
        <v>8817</v>
      </c>
      <c r="F1713" s="57">
        <v>195</v>
      </c>
      <c r="G1713" s="57" t="s">
        <v>8510</v>
      </c>
      <c r="H1713" s="57" t="s">
        <v>1116</v>
      </c>
    </row>
    <row r="1714" spans="2:9" ht="13.5" customHeight="1">
      <c r="B1714" s="97" t="s">
        <v>8818</v>
      </c>
      <c r="D1714" s="97" t="s">
        <v>8819</v>
      </c>
      <c r="F1714" s="57">
        <v>2</v>
      </c>
      <c r="G1714" s="57" t="s">
        <v>8510</v>
      </c>
      <c r="H1714" s="57" t="s">
        <v>343</v>
      </c>
    </row>
    <row r="1715" spans="2:9" ht="13.5" customHeight="1">
      <c r="B1715" s="158" t="s">
        <v>8912</v>
      </c>
      <c r="D1715" s="158" t="s">
        <v>8912</v>
      </c>
      <c r="F1715" s="57">
        <v>4</v>
      </c>
      <c r="G1715" s="57" t="s">
        <v>8510</v>
      </c>
      <c r="H1715" s="57" t="s">
        <v>343</v>
      </c>
      <c r="I1715" s="57" t="s">
        <v>1487</v>
      </c>
    </row>
    <row r="1716" spans="2:9" ht="13.5" customHeight="1">
      <c r="B1716" s="97" t="s">
        <v>8826</v>
      </c>
      <c r="D1716" s="97" t="s">
        <v>8827</v>
      </c>
      <c r="F1716" s="57">
        <v>9</v>
      </c>
      <c r="G1716" s="57" t="s">
        <v>8510</v>
      </c>
      <c r="H1716" s="57" t="s">
        <v>343</v>
      </c>
    </row>
    <row r="1717" spans="2:9" ht="13.5" customHeight="1">
      <c r="B1717" s="97" t="s">
        <v>8760</v>
      </c>
      <c r="D1717" s="97" t="s">
        <v>8802</v>
      </c>
      <c r="F1717" s="57">
        <v>29</v>
      </c>
      <c r="G1717" s="57" t="s">
        <v>8510</v>
      </c>
      <c r="H1717" s="57" t="s">
        <v>343</v>
      </c>
    </row>
    <row r="1718" spans="2:9" ht="13.5" customHeight="1">
      <c r="B1718" s="97" t="s">
        <v>96</v>
      </c>
      <c r="D1718" s="97" t="s">
        <v>327</v>
      </c>
      <c r="F1718" s="57">
        <v>55</v>
      </c>
      <c r="G1718" s="57" t="s">
        <v>8510</v>
      </c>
      <c r="H1718" s="57" t="s">
        <v>343</v>
      </c>
    </row>
    <row r="1719" spans="2:9" ht="13.5" customHeight="1">
      <c r="B1719" s="197" t="s">
        <v>20</v>
      </c>
      <c r="D1719" s="97" t="s">
        <v>8806</v>
      </c>
      <c r="F1719" s="57">
        <v>97</v>
      </c>
      <c r="G1719" s="57" t="s">
        <v>8510</v>
      </c>
      <c r="H1719" s="57" t="s">
        <v>343</v>
      </c>
    </row>
    <row r="1720" spans="2:9" ht="13.5" customHeight="1">
      <c r="B1720" s="97" t="s">
        <v>8839</v>
      </c>
      <c r="D1720" s="97" t="s">
        <v>2053</v>
      </c>
      <c r="F1720" s="57">
        <v>123</v>
      </c>
      <c r="G1720" s="57" t="s">
        <v>8510</v>
      </c>
      <c r="H1720" s="57" t="s">
        <v>343</v>
      </c>
    </row>
    <row r="1721" spans="2:9" ht="13.5" customHeight="1">
      <c r="B1721" s="97" t="s">
        <v>8913</v>
      </c>
      <c r="D1721" s="97" t="s">
        <v>8914</v>
      </c>
      <c r="F1721" s="57">
        <v>190</v>
      </c>
      <c r="G1721" s="57" t="s">
        <v>8510</v>
      </c>
      <c r="H1721" s="57" t="s">
        <v>343</v>
      </c>
    </row>
    <row r="1722" spans="2:9" ht="13.5" customHeight="1">
      <c r="B1722" s="97" t="s">
        <v>8858</v>
      </c>
      <c r="D1722" s="97" t="s">
        <v>8858</v>
      </c>
      <c r="F1722" s="57">
        <v>202</v>
      </c>
      <c r="G1722" s="57" t="s">
        <v>8510</v>
      </c>
      <c r="H1722" s="57" t="s">
        <v>343</v>
      </c>
    </row>
    <row r="1723" spans="2:9" ht="13.5" customHeight="1">
      <c r="B1723" s="97" t="s">
        <v>93</v>
      </c>
      <c r="D1723" s="97" t="s">
        <v>264</v>
      </c>
      <c r="F1723" s="57">
        <v>214</v>
      </c>
      <c r="G1723" s="57" t="s">
        <v>8510</v>
      </c>
      <c r="H1723" s="57" t="s">
        <v>343</v>
      </c>
    </row>
    <row r="1724" spans="2:9" ht="13.5" customHeight="1">
      <c r="B1724" s="97" t="s">
        <v>8830</v>
      </c>
      <c r="D1724" s="97" t="s">
        <v>4254</v>
      </c>
      <c r="F1724" s="57">
        <v>501</v>
      </c>
      <c r="G1724" s="57" t="s">
        <v>8510</v>
      </c>
      <c r="H1724" s="57" t="s">
        <v>343</v>
      </c>
    </row>
    <row r="1725" spans="2:9" ht="13.5" customHeight="1">
      <c r="B1725" s="97" t="s">
        <v>8837</v>
      </c>
      <c r="D1725" s="193" t="s">
        <v>8838</v>
      </c>
      <c r="F1725" s="57">
        <v>923</v>
      </c>
      <c r="G1725" s="57" t="s">
        <v>8510</v>
      </c>
      <c r="H1725" s="57" t="s">
        <v>343</v>
      </c>
    </row>
    <row r="1726" spans="2:9" ht="13.5" customHeight="1">
      <c r="B1726" s="97" t="s">
        <v>8849</v>
      </c>
      <c r="D1726" s="97" t="s">
        <v>8849</v>
      </c>
      <c r="F1726" s="57">
        <v>3</v>
      </c>
      <c r="G1726" s="57" t="s">
        <v>8510</v>
      </c>
      <c r="H1726" s="57" t="s">
        <v>344</v>
      </c>
    </row>
    <row r="1727" spans="2:9" ht="13.5" customHeight="1">
      <c r="B1727" s="97" t="s">
        <v>8815</v>
      </c>
      <c r="D1727" s="97" t="s">
        <v>4041</v>
      </c>
      <c r="F1727" s="57">
        <v>4</v>
      </c>
      <c r="G1727" s="57" t="s">
        <v>8510</v>
      </c>
      <c r="H1727" s="57" t="s">
        <v>344</v>
      </c>
    </row>
    <row r="1728" spans="2:9" ht="13.5" customHeight="1">
      <c r="B1728" s="97" t="s">
        <v>8813</v>
      </c>
      <c r="D1728" s="97" t="s">
        <v>8813</v>
      </c>
      <c r="F1728" s="57">
        <v>5</v>
      </c>
      <c r="G1728" s="57" t="s">
        <v>8510</v>
      </c>
      <c r="H1728" s="57" t="s">
        <v>344</v>
      </c>
    </row>
    <row r="1729" spans="2:8" ht="13.5" customHeight="1">
      <c r="B1729" s="97" t="s">
        <v>8814</v>
      </c>
      <c r="D1729" s="97" t="s">
        <v>5314</v>
      </c>
      <c r="F1729" s="57">
        <v>6</v>
      </c>
      <c r="G1729" s="57" t="s">
        <v>8510</v>
      </c>
      <c r="H1729" s="57" t="s">
        <v>344</v>
      </c>
    </row>
    <row r="1730" spans="2:8" ht="13.5" customHeight="1">
      <c r="B1730" s="97" t="s">
        <v>8824</v>
      </c>
      <c r="D1730" s="97" t="s">
        <v>1038</v>
      </c>
      <c r="F1730" s="57">
        <v>7</v>
      </c>
      <c r="G1730" s="57" t="s">
        <v>8510</v>
      </c>
      <c r="H1730" s="57" t="s">
        <v>344</v>
      </c>
    </row>
    <row r="1731" spans="2:8" ht="13.5" customHeight="1">
      <c r="B1731" s="97" t="s">
        <v>24</v>
      </c>
      <c r="D1731" s="97" t="s">
        <v>307</v>
      </c>
      <c r="F1731" s="57">
        <v>8</v>
      </c>
      <c r="G1731" s="57" t="s">
        <v>8510</v>
      </c>
      <c r="H1731" s="57" t="s">
        <v>344</v>
      </c>
    </row>
    <row r="1732" spans="2:8" ht="13.5" customHeight="1">
      <c r="B1732" s="97" t="s">
        <v>8852</v>
      </c>
      <c r="D1732" s="97" t="s">
        <v>8853</v>
      </c>
      <c r="F1732" s="57">
        <v>9</v>
      </c>
      <c r="G1732" s="57" t="s">
        <v>8510</v>
      </c>
      <c r="H1732" s="57" t="s">
        <v>344</v>
      </c>
    </row>
    <row r="1733" spans="2:8" ht="13.5" customHeight="1">
      <c r="B1733" s="97" t="s">
        <v>8856</v>
      </c>
      <c r="D1733" s="97" t="s">
        <v>8857</v>
      </c>
      <c r="F1733" s="57">
        <v>12</v>
      </c>
      <c r="G1733" s="57" t="s">
        <v>8510</v>
      </c>
      <c r="H1733" s="57" t="s">
        <v>344</v>
      </c>
    </row>
    <row r="1734" spans="2:8" ht="13.5" customHeight="1">
      <c r="B1734" s="97" t="s">
        <v>8844</v>
      </c>
      <c r="D1734" s="97" t="s">
        <v>5603</v>
      </c>
      <c r="F1734" s="57">
        <v>14</v>
      </c>
      <c r="G1734" s="57" t="s">
        <v>8510</v>
      </c>
      <c r="H1734" s="57" t="s">
        <v>344</v>
      </c>
    </row>
    <row r="1735" spans="2:8" ht="13.5" customHeight="1">
      <c r="B1735" s="97" t="s">
        <v>2180</v>
      </c>
      <c r="D1735" s="97" t="s">
        <v>8807</v>
      </c>
      <c r="F1735" s="57">
        <v>15</v>
      </c>
      <c r="G1735" s="57" t="s">
        <v>8510</v>
      </c>
      <c r="H1735" s="57" t="s">
        <v>344</v>
      </c>
    </row>
    <row r="1736" spans="2:8" ht="13.5" customHeight="1">
      <c r="B1736" s="97" t="s">
        <v>8822</v>
      </c>
      <c r="D1736" s="97" t="s">
        <v>8823</v>
      </c>
      <c r="F1736" s="57">
        <v>15</v>
      </c>
      <c r="G1736" s="57" t="s">
        <v>8510</v>
      </c>
      <c r="H1736" s="57" t="s">
        <v>344</v>
      </c>
    </row>
    <row r="1737" spans="2:8" ht="13.5" customHeight="1">
      <c r="B1737" s="97" t="s">
        <v>178</v>
      </c>
      <c r="D1737" s="97" t="s">
        <v>314</v>
      </c>
      <c r="F1737" s="57">
        <v>16</v>
      </c>
      <c r="G1737" s="57" t="s">
        <v>8510</v>
      </c>
      <c r="H1737" s="57" t="s">
        <v>344</v>
      </c>
    </row>
    <row r="1738" spans="2:8" ht="13.5" customHeight="1">
      <c r="B1738" s="97" t="s">
        <v>8820</v>
      </c>
      <c r="D1738" s="97" t="s">
        <v>8821</v>
      </c>
      <c r="F1738" s="57">
        <v>18</v>
      </c>
      <c r="G1738" s="57" t="s">
        <v>8510</v>
      </c>
      <c r="H1738" s="57" t="s">
        <v>344</v>
      </c>
    </row>
    <row r="1739" spans="2:8" ht="13.5" customHeight="1">
      <c r="B1739" s="154" t="s">
        <v>8854</v>
      </c>
      <c r="D1739" s="97" t="s">
        <v>8855</v>
      </c>
      <c r="F1739" s="57">
        <v>20</v>
      </c>
      <c r="G1739" s="57" t="s">
        <v>8510</v>
      </c>
      <c r="H1739" s="57" t="s">
        <v>344</v>
      </c>
    </row>
    <row r="1740" spans="2:8" ht="13.5" customHeight="1">
      <c r="B1740" s="97" t="s">
        <v>8847</v>
      </c>
      <c r="D1740" s="97" t="s">
        <v>8848</v>
      </c>
      <c r="F1740" s="57">
        <v>22</v>
      </c>
      <c r="G1740" s="57" t="s">
        <v>8510</v>
      </c>
      <c r="H1740" s="57" t="s">
        <v>344</v>
      </c>
    </row>
    <row r="1741" spans="2:8" ht="13.5" customHeight="1">
      <c r="B1741" s="97" t="s">
        <v>8804</v>
      </c>
      <c r="D1741" s="97" t="s">
        <v>8805</v>
      </c>
      <c r="F1741" s="57">
        <v>26</v>
      </c>
      <c r="G1741" s="57" t="s">
        <v>8510</v>
      </c>
      <c r="H1741" s="57" t="s">
        <v>344</v>
      </c>
    </row>
    <row r="1742" spans="2:8" ht="13.5" customHeight="1">
      <c r="B1742" s="97" t="s">
        <v>8808</v>
      </c>
      <c r="D1742" s="97" t="s">
        <v>8809</v>
      </c>
      <c r="F1742" s="57">
        <v>30</v>
      </c>
      <c r="G1742" s="57" t="s">
        <v>8510</v>
      </c>
      <c r="H1742" s="57" t="s">
        <v>344</v>
      </c>
    </row>
    <row r="1743" spans="2:8" ht="13.5" customHeight="1">
      <c r="B1743" s="97" t="s">
        <v>8833</v>
      </c>
      <c r="D1743" s="97" t="s">
        <v>8834</v>
      </c>
      <c r="F1743" s="57">
        <v>50</v>
      </c>
      <c r="G1743" s="57" t="s">
        <v>8510</v>
      </c>
      <c r="H1743" s="57" t="s">
        <v>344</v>
      </c>
    </row>
    <row r="1744" spans="2:8" ht="13.5" customHeight="1">
      <c r="B1744" s="97" t="s">
        <v>8828</v>
      </c>
      <c r="D1744" s="97" t="s">
        <v>7862</v>
      </c>
      <c r="F1744" s="57">
        <v>94</v>
      </c>
      <c r="G1744" s="57" t="s">
        <v>8510</v>
      </c>
      <c r="H1744" s="57" t="s">
        <v>344</v>
      </c>
    </row>
    <row r="1745" spans="2:8" ht="13.5" customHeight="1">
      <c r="B1745" s="97" t="s">
        <v>8835</v>
      </c>
      <c r="D1745" s="97" t="s">
        <v>8836</v>
      </c>
      <c r="F1745" s="57">
        <v>97</v>
      </c>
      <c r="G1745" s="57" t="s">
        <v>8510</v>
      </c>
      <c r="H1745" s="57" t="s">
        <v>344</v>
      </c>
    </row>
    <row r="1746" spans="2:8" ht="13.5" customHeight="1">
      <c r="B1746" s="97" t="s">
        <v>8845</v>
      </c>
      <c r="D1746" s="97" t="s">
        <v>8846</v>
      </c>
      <c r="F1746" s="57">
        <v>99</v>
      </c>
      <c r="G1746" s="57" t="s">
        <v>8510</v>
      </c>
      <c r="H1746" s="57" t="s">
        <v>344</v>
      </c>
    </row>
    <row r="1747" spans="2:8" ht="13.5" customHeight="1">
      <c r="B1747" s="97" t="s">
        <v>8843</v>
      </c>
      <c r="D1747" s="97" t="s">
        <v>6685</v>
      </c>
      <c r="F1747" s="57">
        <v>100</v>
      </c>
      <c r="G1747" s="57" t="s">
        <v>8510</v>
      </c>
      <c r="H1747" s="57" t="s">
        <v>344</v>
      </c>
    </row>
    <row r="1748" spans="2:8" ht="13.5" customHeight="1">
      <c r="B1748" s="97" t="s">
        <v>8841</v>
      </c>
      <c r="D1748" s="97" t="s">
        <v>8842</v>
      </c>
      <c r="F1748" s="57">
        <v>247</v>
      </c>
      <c r="G1748" s="57" t="s">
        <v>8510</v>
      </c>
      <c r="H1748" s="57" t="s">
        <v>344</v>
      </c>
    </row>
    <row r="1749" spans="2:8" ht="13.5" customHeight="1">
      <c r="B1749" s="97" t="s">
        <v>8851</v>
      </c>
      <c r="D1749" s="97" t="s">
        <v>8851</v>
      </c>
      <c r="F1749" s="57">
        <v>2</v>
      </c>
      <c r="G1749" s="57" t="s">
        <v>8510</v>
      </c>
      <c r="H1749" s="57" t="s">
        <v>345</v>
      </c>
    </row>
    <row r="1750" spans="2:8" ht="13.5" customHeight="1">
      <c r="B1750" s="97" t="s">
        <v>8810</v>
      </c>
      <c r="D1750" s="97" t="s">
        <v>8811</v>
      </c>
      <c r="F1750" s="57">
        <v>3</v>
      </c>
      <c r="G1750" s="57" t="s">
        <v>8510</v>
      </c>
      <c r="H1750" s="57" t="s">
        <v>345</v>
      </c>
    </row>
    <row r="1751" spans="2:8" ht="13.5" customHeight="1">
      <c r="B1751" s="97" t="s">
        <v>8812</v>
      </c>
      <c r="D1751" s="97" t="s">
        <v>8026</v>
      </c>
      <c r="F1751" s="57">
        <v>5</v>
      </c>
      <c r="G1751" s="57" t="s">
        <v>8510</v>
      </c>
      <c r="H1751" s="57" t="s">
        <v>345</v>
      </c>
    </row>
    <row r="1752" spans="2:8" ht="13.5" customHeight="1">
      <c r="B1752" s="97" t="s">
        <v>8825</v>
      </c>
      <c r="D1752" s="97" t="s">
        <v>8825</v>
      </c>
      <c r="F1752" s="57">
        <v>5</v>
      </c>
      <c r="G1752" s="57" t="s">
        <v>8510</v>
      </c>
      <c r="H1752" s="57" t="s">
        <v>345</v>
      </c>
    </row>
    <row r="1753" spans="2:8" ht="13.5" customHeight="1">
      <c r="B1753" s="97" t="s">
        <v>8850</v>
      </c>
      <c r="D1753" s="97" t="s">
        <v>8850</v>
      </c>
      <c r="F1753" s="57">
        <v>8</v>
      </c>
      <c r="G1753" s="57" t="s">
        <v>8510</v>
      </c>
      <c r="H1753" s="57" t="s">
        <v>345</v>
      </c>
    </row>
    <row r="1754" spans="2:8" ht="13.5" customHeight="1">
      <c r="B1754" s="97" t="s">
        <v>22</v>
      </c>
      <c r="D1754" s="97" t="s">
        <v>8803</v>
      </c>
      <c r="F1754" s="57">
        <v>10</v>
      </c>
      <c r="G1754" s="57" t="s">
        <v>8510</v>
      </c>
      <c r="H1754" s="57" t="s">
        <v>345</v>
      </c>
    </row>
    <row r="1755" spans="2:8" ht="13.5" customHeight="1">
      <c r="B1755" s="97" t="s">
        <v>8831</v>
      </c>
      <c r="D1755" s="97" t="s">
        <v>8832</v>
      </c>
      <c r="F1755" s="57">
        <v>13</v>
      </c>
      <c r="G1755" s="57" t="s">
        <v>8510</v>
      </c>
      <c r="H1755" s="57" t="s">
        <v>345</v>
      </c>
    </row>
    <row r="1756" spans="2:8" ht="13.5" customHeight="1">
      <c r="B1756" s="97" t="s">
        <v>22</v>
      </c>
      <c r="D1756" s="97" t="s">
        <v>8801</v>
      </c>
      <c r="F1756" s="57">
        <v>19</v>
      </c>
      <c r="G1756" s="57" t="s">
        <v>8510</v>
      </c>
      <c r="H1756" s="57" t="s">
        <v>345</v>
      </c>
    </row>
    <row r="1757" spans="2:8" ht="13.5" customHeight="1">
      <c r="B1757" s="97" t="s">
        <v>16</v>
      </c>
      <c r="D1757" s="97" t="s">
        <v>8800</v>
      </c>
      <c r="F1757" s="57">
        <v>25</v>
      </c>
      <c r="G1757" s="57" t="s">
        <v>8510</v>
      </c>
      <c r="H1757" s="57" t="s">
        <v>345</v>
      </c>
    </row>
    <row r="1758" spans="2:8" ht="13.5" customHeight="1">
      <c r="B1758" s="97" t="s">
        <v>8839</v>
      </c>
      <c r="D1758" s="97" t="s">
        <v>8840</v>
      </c>
      <c r="F1758" s="57">
        <v>56</v>
      </c>
      <c r="G1758" s="57" t="s">
        <v>8510</v>
      </c>
      <c r="H1758" s="57" t="s">
        <v>345</v>
      </c>
    </row>
    <row r="1759" spans="2:8" ht="13.5" customHeight="1">
      <c r="B1759" s="97" t="s">
        <v>108</v>
      </c>
      <c r="D1759" s="97" t="s">
        <v>8829</v>
      </c>
      <c r="F1759" s="57">
        <v>216</v>
      </c>
      <c r="G1759" s="57" t="s">
        <v>8510</v>
      </c>
      <c r="H1759" s="57" t="s">
        <v>345</v>
      </c>
    </row>
    <row r="1760" spans="2:8" ht="13.5" customHeight="1">
      <c r="B1760" s="94" t="s">
        <v>8472</v>
      </c>
      <c r="C1760" s="94"/>
      <c r="D1760" s="94" t="s">
        <v>8472</v>
      </c>
      <c r="F1760" s="57">
        <v>7</v>
      </c>
      <c r="G1760" s="57" t="s">
        <v>3184</v>
      </c>
      <c r="H1760" s="57" t="s">
        <v>1116</v>
      </c>
    </row>
    <row r="1761" spans="2:8" ht="13.5" customHeight="1">
      <c r="B1761" s="57" t="s">
        <v>466</v>
      </c>
      <c r="D1761" s="57" t="s">
        <v>3134</v>
      </c>
      <c r="F1761" s="57">
        <v>40</v>
      </c>
      <c r="G1761" s="57" t="s">
        <v>3184</v>
      </c>
      <c r="H1761" s="57" t="s">
        <v>1116</v>
      </c>
    </row>
    <row r="1762" spans="2:8" ht="13.5" customHeight="1">
      <c r="B1762" s="57" t="s">
        <v>3135</v>
      </c>
      <c r="D1762" s="57" t="s">
        <v>3135</v>
      </c>
      <c r="F1762" s="57">
        <v>60</v>
      </c>
      <c r="G1762" s="57" t="s">
        <v>3184</v>
      </c>
      <c r="H1762" s="57" t="s">
        <v>1116</v>
      </c>
    </row>
    <row r="1763" spans="2:8" ht="13.5" customHeight="1">
      <c r="B1763" s="57" t="s">
        <v>3171</v>
      </c>
      <c r="D1763" s="57">
        <v>744777133</v>
      </c>
      <c r="F1763" s="57">
        <v>2</v>
      </c>
      <c r="G1763" s="57" t="s">
        <v>3184</v>
      </c>
      <c r="H1763" s="57" t="s">
        <v>343</v>
      </c>
    </row>
    <row r="1764" spans="2:8" ht="13.5" customHeight="1">
      <c r="B1764" s="57" t="s">
        <v>3163</v>
      </c>
      <c r="D1764" s="57" t="s">
        <v>3164</v>
      </c>
      <c r="F1764" s="57">
        <v>2</v>
      </c>
      <c r="G1764" s="57" t="s">
        <v>3184</v>
      </c>
      <c r="H1764" s="57" t="s">
        <v>343</v>
      </c>
    </row>
    <row r="1765" spans="2:8" ht="13.5" customHeight="1">
      <c r="B1765" s="57" t="s">
        <v>3136</v>
      </c>
      <c r="D1765" s="57" t="s">
        <v>3137</v>
      </c>
      <c r="F1765" s="57">
        <v>2</v>
      </c>
      <c r="G1765" s="57" t="s">
        <v>3184</v>
      </c>
      <c r="H1765" s="57" t="s">
        <v>343</v>
      </c>
    </row>
    <row r="1766" spans="2:8" ht="13.5" customHeight="1">
      <c r="B1766" s="57" t="s">
        <v>3138</v>
      </c>
      <c r="D1766" s="57" t="s">
        <v>3139</v>
      </c>
      <c r="F1766" s="57">
        <v>5</v>
      </c>
      <c r="G1766" s="57" t="s">
        <v>3184</v>
      </c>
      <c r="H1766" s="57" t="s">
        <v>343</v>
      </c>
    </row>
    <row r="1767" spans="2:8" ht="13.5" customHeight="1">
      <c r="B1767" s="94" t="s">
        <v>8470</v>
      </c>
      <c r="C1767" s="94"/>
      <c r="D1767" s="95" t="s">
        <v>8471</v>
      </c>
      <c r="F1767" s="57">
        <v>6</v>
      </c>
      <c r="G1767" s="57" t="s">
        <v>3184</v>
      </c>
      <c r="H1767" s="57" t="s">
        <v>343</v>
      </c>
    </row>
    <row r="1768" spans="2:8" ht="13.5" customHeight="1">
      <c r="B1768" s="57" t="s">
        <v>8136</v>
      </c>
      <c r="D1768" s="57" t="s">
        <v>8137</v>
      </c>
      <c r="F1768" s="57">
        <v>7</v>
      </c>
      <c r="G1768" s="57" t="s">
        <v>3184</v>
      </c>
      <c r="H1768" s="57" t="s">
        <v>343</v>
      </c>
    </row>
    <row r="1769" spans="2:8" ht="13.5" customHeight="1">
      <c r="B1769" s="57" t="s">
        <v>3163</v>
      </c>
      <c r="D1769" s="57" t="s">
        <v>8140</v>
      </c>
      <c r="F1769" s="57">
        <v>7</v>
      </c>
      <c r="G1769" s="57" t="s">
        <v>3184</v>
      </c>
      <c r="H1769" s="57" t="s">
        <v>343</v>
      </c>
    </row>
    <row r="1770" spans="2:8" ht="13.5" customHeight="1">
      <c r="B1770" s="57" t="s">
        <v>3140</v>
      </c>
      <c r="D1770" s="57" t="s">
        <v>3141</v>
      </c>
      <c r="F1770" s="57">
        <v>10</v>
      </c>
      <c r="G1770" s="57" t="s">
        <v>3184</v>
      </c>
      <c r="H1770" s="57" t="s">
        <v>343</v>
      </c>
    </row>
    <row r="1771" spans="2:8" ht="13.5" customHeight="1">
      <c r="B1771" s="57" t="s">
        <v>3155</v>
      </c>
      <c r="D1771" s="57" t="s">
        <v>3156</v>
      </c>
      <c r="F1771" s="57">
        <v>10</v>
      </c>
      <c r="G1771" s="57" t="s">
        <v>3184</v>
      </c>
      <c r="H1771" s="57" t="s">
        <v>343</v>
      </c>
    </row>
    <row r="1772" spans="2:8" ht="13.5" customHeight="1">
      <c r="B1772" s="57" t="s">
        <v>3136</v>
      </c>
      <c r="D1772" s="57" t="s">
        <v>8141</v>
      </c>
      <c r="F1772" s="57">
        <v>10</v>
      </c>
      <c r="G1772" s="57" t="s">
        <v>3184</v>
      </c>
      <c r="H1772" s="57" t="s">
        <v>343</v>
      </c>
    </row>
    <row r="1773" spans="2:8" ht="13.5" customHeight="1">
      <c r="B1773" s="57" t="s">
        <v>3153</v>
      </c>
      <c r="D1773" s="57" t="s">
        <v>3154</v>
      </c>
      <c r="F1773" s="57">
        <v>17</v>
      </c>
      <c r="G1773" s="57" t="s">
        <v>3184</v>
      </c>
      <c r="H1773" s="57" t="s">
        <v>343</v>
      </c>
    </row>
    <row r="1774" spans="2:8" ht="13.5" customHeight="1">
      <c r="B1774" s="94" t="s">
        <v>8463</v>
      </c>
      <c r="C1774" s="94"/>
      <c r="D1774" s="95" t="s">
        <v>939</v>
      </c>
      <c r="F1774" s="57">
        <v>17</v>
      </c>
      <c r="G1774" s="57" t="s">
        <v>3184</v>
      </c>
      <c r="H1774" s="57" t="s">
        <v>343</v>
      </c>
    </row>
    <row r="1775" spans="2:8" ht="13.5" customHeight="1">
      <c r="B1775" s="57" t="s">
        <v>3180</v>
      </c>
      <c r="D1775" s="57" t="s">
        <v>3181</v>
      </c>
      <c r="F1775" s="57">
        <v>20</v>
      </c>
      <c r="G1775" s="57" t="s">
        <v>3184</v>
      </c>
      <c r="H1775" s="57" t="s">
        <v>343</v>
      </c>
    </row>
    <row r="1776" spans="2:8" ht="13.5" customHeight="1">
      <c r="B1776" s="57" t="s">
        <v>3140</v>
      </c>
      <c r="D1776" s="57" t="s">
        <v>3142</v>
      </c>
      <c r="F1776" s="57">
        <v>20</v>
      </c>
      <c r="G1776" s="57" t="s">
        <v>3184</v>
      </c>
      <c r="H1776" s="57" t="s">
        <v>343</v>
      </c>
    </row>
    <row r="1777" spans="2:8" ht="13.5" customHeight="1">
      <c r="B1777" s="94" t="s">
        <v>8464</v>
      </c>
      <c r="C1777" s="94"/>
      <c r="D1777" s="95" t="s">
        <v>8465</v>
      </c>
      <c r="F1777" s="57">
        <v>20</v>
      </c>
      <c r="G1777" s="57" t="s">
        <v>3184</v>
      </c>
      <c r="H1777" s="57" t="s">
        <v>343</v>
      </c>
    </row>
    <row r="1778" spans="2:8" ht="13.5" customHeight="1">
      <c r="B1778" s="57" t="s">
        <v>3159</v>
      </c>
      <c r="D1778" s="57" t="s">
        <v>2296</v>
      </c>
      <c r="F1778" s="57">
        <v>27</v>
      </c>
      <c r="G1778" s="57" t="s">
        <v>3184</v>
      </c>
      <c r="H1778" s="57" t="s">
        <v>343</v>
      </c>
    </row>
    <row r="1779" spans="2:8" ht="13.5" customHeight="1">
      <c r="B1779" s="57" t="s">
        <v>3160</v>
      </c>
      <c r="D1779" s="57" t="s">
        <v>939</v>
      </c>
      <c r="F1779" s="57">
        <v>38</v>
      </c>
      <c r="G1779" s="57" t="s">
        <v>3184</v>
      </c>
      <c r="H1779" s="57" t="s">
        <v>343</v>
      </c>
    </row>
    <row r="1780" spans="2:8" ht="13.5" customHeight="1">
      <c r="B1780" s="57" t="s">
        <v>3178</v>
      </c>
      <c r="D1780" s="57" t="s">
        <v>3179</v>
      </c>
      <c r="F1780" s="57">
        <v>56</v>
      </c>
      <c r="G1780" s="57" t="s">
        <v>3184</v>
      </c>
      <c r="H1780" s="57" t="s">
        <v>343</v>
      </c>
    </row>
    <row r="1781" spans="2:8" ht="13.5" customHeight="1">
      <c r="B1781" s="57" t="s">
        <v>3174</v>
      </c>
      <c r="D1781" s="57" t="s">
        <v>3175</v>
      </c>
      <c r="F1781" s="57">
        <v>57</v>
      </c>
      <c r="G1781" s="57" t="s">
        <v>3184</v>
      </c>
      <c r="H1781" s="57" t="s">
        <v>343</v>
      </c>
    </row>
    <row r="1782" spans="2:8" ht="13.5" customHeight="1">
      <c r="B1782" s="57" t="s">
        <v>3157</v>
      </c>
      <c r="D1782" s="57" t="s">
        <v>3158</v>
      </c>
      <c r="F1782" s="57">
        <v>67</v>
      </c>
      <c r="G1782" s="57" t="s">
        <v>3184</v>
      </c>
      <c r="H1782" s="57" t="s">
        <v>343</v>
      </c>
    </row>
    <row r="1783" spans="2:8" ht="13.5" customHeight="1">
      <c r="B1783" s="57" t="s">
        <v>3176</v>
      </c>
      <c r="D1783" s="57" t="s">
        <v>3177</v>
      </c>
      <c r="F1783" s="57">
        <v>77</v>
      </c>
      <c r="G1783" s="57" t="s">
        <v>3184</v>
      </c>
      <c r="H1783" s="57" t="s">
        <v>343</v>
      </c>
    </row>
    <row r="1784" spans="2:8" ht="13.5" customHeight="1">
      <c r="B1784" s="57" t="s">
        <v>3143</v>
      </c>
      <c r="D1784" s="57" t="s">
        <v>3144</v>
      </c>
      <c r="F1784" s="57">
        <v>79</v>
      </c>
      <c r="G1784" s="57" t="s">
        <v>3184</v>
      </c>
      <c r="H1784" s="57" t="s">
        <v>343</v>
      </c>
    </row>
    <row r="1785" spans="2:8" ht="13.5" customHeight="1">
      <c r="B1785" s="57" t="s">
        <v>8138</v>
      </c>
      <c r="D1785" s="57" t="s">
        <v>8139</v>
      </c>
      <c r="F1785" s="57">
        <v>94</v>
      </c>
      <c r="G1785" s="57" t="s">
        <v>3184</v>
      </c>
      <c r="H1785" s="57" t="s">
        <v>343</v>
      </c>
    </row>
    <row r="1786" spans="2:8" ht="13.5" customHeight="1">
      <c r="B1786" s="57" t="s">
        <v>3149</v>
      </c>
      <c r="D1786" s="57" t="s">
        <v>3150</v>
      </c>
      <c r="F1786" s="57">
        <v>113</v>
      </c>
      <c r="G1786" s="57" t="s">
        <v>3184</v>
      </c>
      <c r="H1786" s="57" t="s">
        <v>343</v>
      </c>
    </row>
    <row r="1787" spans="2:8" ht="13.5" customHeight="1">
      <c r="B1787" s="57" t="s">
        <v>3172</v>
      </c>
      <c r="D1787" s="57" t="s">
        <v>3173</v>
      </c>
      <c r="F1787" s="57">
        <v>142</v>
      </c>
      <c r="G1787" s="57" t="s">
        <v>3184</v>
      </c>
      <c r="H1787" s="57" t="s">
        <v>343</v>
      </c>
    </row>
    <row r="1788" spans="2:8" ht="13.5" customHeight="1">
      <c r="B1788" s="57" t="s">
        <v>3161</v>
      </c>
      <c r="D1788" s="57" t="s">
        <v>3162</v>
      </c>
      <c r="F1788" s="57">
        <v>145</v>
      </c>
      <c r="G1788" s="57" t="s">
        <v>3184</v>
      </c>
      <c r="H1788" s="57" t="s">
        <v>343</v>
      </c>
    </row>
    <row r="1789" spans="2:8" ht="13.5" customHeight="1">
      <c r="B1789" s="57" t="s">
        <v>8142</v>
      </c>
      <c r="D1789" s="57" t="s">
        <v>7977</v>
      </c>
      <c r="F1789" s="57">
        <v>300</v>
      </c>
      <c r="G1789" s="57" t="s">
        <v>3184</v>
      </c>
      <c r="H1789" s="57" t="s">
        <v>343</v>
      </c>
    </row>
    <row r="1790" spans="2:8" ht="13.5" customHeight="1">
      <c r="B1790" s="57" t="s">
        <v>3145</v>
      </c>
      <c r="D1790" s="57" t="s">
        <v>3146</v>
      </c>
      <c r="F1790" s="57">
        <v>313</v>
      </c>
      <c r="G1790" s="57" t="s">
        <v>3184</v>
      </c>
      <c r="H1790" s="57" t="s">
        <v>343</v>
      </c>
    </row>
    <row r="1791" spans="2:8" ht="13.5" customHeight="1">
      <c r="B1791" s="94" t="s">
        <v>227</v>
      </c>
      <c r="C1791" s="94"/>
      <c r="D1791" s="95" t="s">
        <v>391</v>
      </c>
      <c r="F1791" s="57">
        <v>1878</v>
      </c>
      <c r="G1791" s="57" t="s">
        <v>3184</v>
      </c>
      <c r="H1791" s="57" t="s">
        <v>343</v>
      </c>
    </row>
    <row r="1792" spans="2:8" ht="13.5" customHeight="1">
      <c r="B1792" s="94" t="s">
        <v>8468</v>
      </c>
      <c r="C1792" s="94"/>
      <c r="D1792" s="95" t="s">
        <v>8469</v>
      </c>
      <c r="F1792" s="57">
        <v>1</v>
      </c>
      <c r="G1792" s="57" t="s">
        <v>3184</v>
      </c>
      <c r="H1792" s="57" t="s">
        <v>344</v>
      </c>
    </row>
    <row r="1793" spans="2:8" ht="13.5" customHeight="1">
      <c r="B1793" s="94" t="s">
        <v>8461</v>
      </c>
      <c r="C1793" s="94"/>
      <c r="D1793" s="95" t="s">
        <v>8462</v>
      </c>
      <c r="F1793" s="57">
        <v>4</v>
      </c>
      <c r="G1793" s="57" t="s">
        <v>3184</v>
      </c>
      <c r="H1793" s="57" t="s">
        <v>344</v>
      </c>
    </row>
    <row r="1794" spans="2:8" ht="13.5" customHeight="1">
      <c r="B1794" s="94" t="s">
        <v>8466</v>
      </c>
      <c r="C1794" s="94"/>
      <c r="D1794" s="95" t="s">
        <v>8467</v>
      </c>
      <c r="F1794" s="57">
        <v>8</v>
      </c>
      <c r="G1794" s="57" t="s">
        <v>3184</v>
      </c>
      <c r="H1794" s="57" t="s">
        <v>344</v>
      </c>
    </row>
    <row r="1795" spans="2:8" ht="13.5" customHeight="1">
      <c r="B1795" s="57" t="s">
        <v>3169</v>
      </c>
      <c r="D1795" s="57" t="s">
        <v>3170</v>
      </c>
      <c r="F1795" s="57">
        <v>9</v>
      </c>
      <c r="G1795" s="57" t="s">
        <v>3184</v>
      </c>
      <c r="H1795" s="57" t="s">
        <v>344</v>
      </c>
    </row>
    <row r="1796" spans="2:8" ht="13.5" customHeight="1">
      <c r="B1796" s="57" t="s">
        <v>3165</v>
      </c>
      <c r="D1796" s="57" t="s">
        <v>3166</v>
      </c>
      <c r="F1796" s="57">
        <v>16</v>
      </c>
      <c r="G1796" s="57" t="s">
        <v>3184</v>
      </c>
      <c r="H1796" s="57" t="s">
        <v>344</v>
      </c>
    </row>
    <row r="1797" spans="2:8" ht="13.5" customHeight="1">
      <c r="B1797" s="57" t="s">
        <v>3147</v>
      </c>
      <c r="D1797" s="57" t="s">
        <v>3148</v>
      </c>
      <c r="F1797" s="57">
        <v>21</v>
      </c>
      <c r="G1797" s="57" t="s">
        <v>3184</v>
      </c>
      <c r="H1797" s="57" t="s">
        <v>344</v>
      </c>
    </row>
    <row r="1798" spans="2:8" ht="13.5" customHeight="1">
      <c r="B1798" s="57" t="s">
        <v>3182</v>
      </c>
      <c r="D1798" s="57" t="s">
        <v>3183</v>
      </c>
      <c r="F1798" s="57">
        <v>29</v>
      </c>
      <c r="G1798" s="57" t="s">
        <v>3184</v>
      </c>
      <c r="H1798" s="57" t="s">
        <v>344</v>
      </c>
    </row>
    <row r="1799" spans="2:8" ht="13.5" customHeight="1">
      <c r="B1799" s="57" t="s">
        <v>3151</v>
      </c>
      <c r="D1799" s="57" t="s">
        <v>3152</v>
      </c>
      <c r="F1799" s="57">
        <v>50</v>
      </c>
      <c r="G1799" s="57" t="s">
        <v>3184</v>
      </c>
      <c r="H1799" s="57" t="s">
        <v>344</v>
      </c>
    </row>
    <row r="1800" spans="2:8" ht="13.5" customHeight="1">
      <c r="B1800" s="57" t="s">
        <v>3167</v>
      </c>
      <c r="D1800" s="57" t="s">
        <v>3168</v>
      </c>
      <c r="F1800" s="57">
        <v>51</v>
      </c>
      <c r="G1800" s="57" t="s">
        <v>3184</v>
      </c>
      <c r="H1800" s="57" t="s">
        <v>344</v>
      </c>
    </row>
    <row r="1801" spans="2:8" ht="13.5" customHeight="1">
      <c r="B1801" s="57" t="s">
        <v>3194</v>
      </c>
      <c r="D1801" s="57" t="s">
        <v>3195</v>
      </c>
      <c r="F1801" s="57">
        <v>216</v>
      </c>
      <c r="G1801" s="57" t="s">
        <v>3338</v>
      </c>
      <c r="H1801" s="57" t="s">
        <v>343</v>
      </c>
    </row>
    <row r="1802" spans="2:8" ht="13.5" customHeight="1">
      <c r="B1802" s="57" t="s">
        <v>3187</v>
      </c>
      <c r="D1802" s="57" t="s">
        <v>3188</v>
      </c>
      <c r="F1802" s="57">
        <v>723</v>
      </c>
      <c r="G1802" s="57" t="s">
        <v>3338</v>
      </c>
      <c r="H1802" s="57" t="s">
        <v>343</v>
      </c>
    </row>
    <row r="1803" spans="2:8" ht="13.5" customHeight="1">
      <c r="B1803" s="57" t="s">
        <v>3289</v>
      </c>
      <c r="D1803" s="57" t="s">
        <v>3290</v>
      </c>
      <c r="F1803" s="57">
        <v>1176</v>
      </c>
      <c r="G1803" s="57" t="s">
        <v>3338</v>
      </c>
      <c r="H1803" s="57" t="s">
        <v>343</v>
      </c>
    </row>
    <row r="1804" spans="2:8" ht="13.5" customHeight="1">
      <c r="B1804" s="57" t="s">
        <v>659</v>
      </c>
      <c r="D1804" s="57" t="s">
        <v>3185</v>
      </c>
      <c r="F1804" s="57">
        <v>6107</v>
      </c>
      <c r="G1804" s="57" t="s">
        <v>3338</v>
      </c>
      <c r="H1804" s="57" t="s">
        <v>343</v>
      </c>
    </row>
    <row r="1805" spans="2:8" ht="13.5" customHeight="1">
      <c r="B1805" s="57" t="s">
        <v>296</v>
      </c>
      <c r="D1805" s="57" t="s">
        <v>3328</v>
      </c>
      <c r="F1805" s="57">
        <v>3</v>
      </c>
      <c r="G1805" s="57" t="s">
        <v>3338</v>
      </c>
      <c r="H1805" s="57" t="s">
        <v>344</v>
      </c>
    </row>
    <row r="1806" spans="2:8" ht="13.5" customHeight="1">
      <c r="B1806" s="57" t="s">
        <v>3307</v>
      </c>
      <c r="D1806" s="57" t="s">
        <v>3308</v>
      </c>
      <c r="F1806" s="57">
        <v>10</v>
      </c>
      <c r="G1806" s="57" t="s">
        <v>3338</v>
      </c>
      <c r="H1806" s="57" t="s">
        <v>344</v>
      </c>
    </row>
    <row r="1807" spans="2:8" ht="13.5" customHeight="1">
      <c r="B1807" s="57" t="s">
        <v>3229</v>
      </c>
      <c r="D1807" s="57">
        <v>2049261103</v>
      </c>
      <c r="F1807" s="57">
        <v>20</v>
      </c>
      <c r="G1807" s="57" t="s">
        <v>3338</v>
      </c>
      <c r="H1807" s="57" t="s">
        <v>344</v>
      </c>
    </row>
    <row r="1808" spans="2:8" ht="13.5" customHeight="1">
      <c r="B1808" s="57" t="s">
        <v>3213</v>
      </c>
      <c r="D1808" s="57" t="s">
        <v>3214</v>
      </c>
      <c r="F1808" s="57">
        <v>23</v>
      </c>
      <c r="G1808" s="57" t="s">
        <v>3338</v>
      </c>
      <c r="H1808" s="57" t="s">
        <v>344</v>
      </c>
    </row>
    <row r="1809" spans="2:8" ht="13.5" customHeight="1">
      <c r="B1809" s="57" t="s">
        <v>3310</v>
      </c>
      <c r="D1809" s="57" t="s">
        <v>3311</v>
      </c>
      <c r="F1809" s="57">
        <v>47</v>
      </c>
      <c r="G1809" s="57" t="s">
        <v>3338</v>
      </c>
      <c r="H1809" s="57" t="s">
        <v>344</v>
      </c>
    </row>
    <row r="1810" spans="2:8" ht="13.5" customHeight="1">
      <c r="B1810" s="57" t="s">
        <v>663</v>
      </c>
      <c r="D1810" s="57" t="s">
        <v>664</v>
      </c>
      <c r="F1810" s="57">
        <v>73</v>
      </c>
      <c r="G1810" s="57" t="s">
        <v>3338</v>
      </c>
      <c r="H1810" s="57" t="s">
        <v>344</v>
      </c>
    </row>
    <row r="1811" spans="2:8" ht="13.5" customHeight="1">
      <c r="B1811" s="57" t="s">
        <v>3191</v>
      </c>
      <c r="D1811" s="57" t="s">
        <v>1421</v>
      </c>
      <c r="F1811" s="57">
        <v>82</v>
      </c>
      <c r="G1811" s="57" t="s">
        <v>3338</v>
      </c>
      <c r="H1811" s="57" t="s">
        <v>344</v>
      </c>
    </row>
    <row r="1812" spans="2:8" ht="13.5" customHeight="1">
      <c r="B1812" s="57" t="s">
        <v>3215</v>
      </c>
      <c r="D1812" s="57" t="s">
        <v>3216</v>
      </c>
      <c r="F1812" s="57">
        <v>100</v>
      </c>
      <c r="G1812" s="57" t="s">
        <v>3338</v>
      </c>
      <c r="H1812" s="57" t="s">
        <v>344</v>
      </c>
    </row>
    <row r="1813" spans="2:8" ht="13.5" customHeight="1">
      <c r="B1813" s="57" t="s">
        <v>3199</v>
      </c>
      <c r="D1813" s="57" t="s">
        <v>3200</v>
      </c>
      <c r="E1813" s="57" t="s">
        <v>3201</v>
      </c>
      <c r="F1813" s="57">
        <v>135</v>
      </c>
      <c r="G1813" s="57" t="s">
        <v>3338</v>
      </c>
      <c r="H1813" s="57" t="s">
        <v>344</v>
      </c>
    </row>
    <row r="1814" spans="2:8" ht="13.5" customHeight="1">
      <c r="B1814" s="57" t="s">
        <v>671</v>
      </c>
      <c r="D1814" s="57" t="s">
        <v>672</v>
      </c>
      <c r="E1814" s="57" t="s">
        <v>3196</v>
      </c>
      <c r="F1814" s="57">
        <v>190</v>
      </c>
      <c r="G1814" s="57" t="s">
        <v>3338</v>
      </c>
      <c r="H1814" s="57" t="s">
        <v>344</v>
      </c>
    </row>
    <row r="1815" spans="2:8" ht="13.5" customHeight="1">
      <c r="B1815" s="57" t="s">
        <v>3264</v>
      </c>
      <c r="D1815" s="57" t="s">
        <v>3265</v>
      </c>
      <c r="F1815" s="57">
        <v>231</v>
      </c>
      <c r="G1815" s="57" t="s">
        <v>3338</v>
      </c>
      <c r="H1815" s="57" t="s">
        <v>344</v>
      </c>
    </row>
    <row r="1816" spans="2:8" ht="13.5" customHeight="1">
      <c r="B1816" s="57" t="s">
        <v>494</v>
      </c>
      <c r="D1816" s="57" t="s">
        <v>3186</v>
      </c>
      <c r="F1816" s="57">
        <v>620</v>
      </c>
      <c r="G1816" s="57" t="s">
        <v>3338</v>
      </c>
      <c r="H1816" s="57" t="s">
        <v>344</v>
      </c>
    </row>
    <row r="1817" spans="2:8" ht="13.5" customHeight="1">
      <c r="B1817" s="57" t="s">
        <v>428</v>
      </c>
      <c r="D1817" s="57" t="s">
        <v>3203</v>
      </c>
      <c r="E1817" s="57" t="s">
        <v>685</v>
      </c>
      <c r="F1817" s="57">
        <v>1017</v>
      </c>
      <c r="G1817" s="57" t="s">
        <v>3338</v>
      </c>
      <c r="H1817" s="57" t="s">
        <v>344</v>
      </c>
    </row>
    <row r="1818" spans="2:8" ht="13.5" customHeight="1">
      <c r="B1818" s="57" t="s">
        <v>3303</v>
      </c>
      <c r="D1818" s="57" t="s">
        <v>3304</v>
      </c>
      <c r="F1818" s="57">
        <v>3</v>
      </c>
      <c r="G1818" s="57" t="s">
        <v>3338</v>
      </c>
      <c r="H1818" s="57" t="s">
        <v>345</v>
      </c>
    </row>
    <row r="1819" spans="2:8" ht="13.5" customHeight="1">
      <c r="B1819" s="57" t="s">
        <v>3323</v>
      </c>
      <c r="D1819" s="57" t="s">
        <v>3324</v>
      </c>
      <c r="F1819" s="57">
        <v>5</v>
      </c>
      <c r="G1819" s="57" t="s">
        <v>3338</v>
      </c>
      <c r="H1819" s="57" t="s">
        <v>345</v>
      </c>
    </row>
    <row r="1820" spans="2:8" ht="13.5" customHeight="1">
      <c r="B1820" s="57" t="s">
        <v>3336</v>
      </c>
      <c r="D1820" s="57" t="s">
        <v>3337</v>
      </c>
      <c r="F1820" s="57">
        <v>8</v>
      </c>
      <c r="G1820" s="57" t="s">
        <v>3338</v>
      </c>
      <c r="H1820" s="57" t="s">
        <v>345</v>
      </c>
    </row>
    <row r="1821" spans="2:8" ht="13.5" customHeight="1">
      <c r="B1821" s="57" t="s">
        <v>3299</v>
      </c>
      <c r="D1821" s="57" t="s">
        <v>3300</v>
      </c>
      <c r="F1821" s="57">
        <v>9</v>
      </c>
      <c r="G1821" s="57" t="s">
        <v>3338</v>
      </c>
      <c r="H1821" s="57" t="s">
        <v>345</v>
      </c>
    </row>
    <row r="1822" spans="2:8" ht="13.5" customHeight="1">
      <c r="B1822" s="57" t="s">
        <v>296</v>
      </c>
      <c r="D1822" s="57" t="s">
        <v>3293</v>
      </c>
      <c r="F1822" s="57">
        <v>10</v>
      </c>
      <c r="G1822" s="57" t="s">
        <v>3338</v>
      </c>
      <c r="H1822" s="57" t="s">
        <v>345</v>
      </c>
    </row>
    <row r="1823" spans="2:8" ht="13.5" customHeight="1">
      <c r="B1823" s="57" t="s">
        <v>3305</v>
      </c>
      <c r="D1823" s="57" t="s">
        <v>3306</v>
      </c>
      <c r="F1823" s="57">
        <v>19</v>
      </c>
      <c r="G1823" s="57" t="s">
        <v>3338</v>
      </c>
      <c r="H1823" s="57" t="s">
        <v>345</v>
      </c>
    </row>
    <row r="1824" spans="2:8" ht="13.5" customHeight="1">
      <c r="B1824" s="57" t="s">
        <v>3223</v>
      </c>
      <c r="D1824" s="57" t="s">
        <v>3224</v>
      </c>
      <c r="F1824" s="57">
        <v>21</v>
      </c>
      <c r="G1824" s="57" t="s">
        <v>3338</v>
      </c>
      <c r="H1824" s="57" t="s">
        <v>345</v>
      </c>
    </row>
    <row r="1825" spans="2:8" ht="13.5" customHeight="1">
      <c r="B1825" s="57" t="s">
        <v>3273</v>
      </c>
      <c r="D1825" s="57" t="s">
        <v>3274</v>
      </c>
      <c r="F1825" s="57">
        <v>21</v>
      </c>
      <c r="G1825" s="57" t="s">
        <v>3338</v>
      </c>
      <c r="H1825" s="57" t="s">
        <v>345</v>
      </c>
    </row>
    <row r="1826" spans="2:8" ht="13.5" customHeight="1">
      <c r="B1826" s="57" t="s">
        <v>3277</v>
      </c>
      <c r="D1826" s="57" t="s">
        <v>3278</v>
      </c>
      <c r="F1826" s="57">
        <v>22</v>
      </c>
      <c r="G1826" s="57" t="s">
        <v>3338</v>
      </c>
      <c r="H1826" s="57" t="s">
        <v>345</v>
      </c>
    </row>
    <row r="1827" spans="2:8" ht="13.5" customHeight="1">
      <c r="B1827" s="57" t="s">
        <v>3279</v>
      </c>
      <c r="D1827" s="57" t="s">
        <v>3280</v>
      </c>
      <c r="F1827" s="57">
        <v>35</v>
      </c>
      <c r="G1827" s="57" t="s">
        <v>3338</v>
      </c>
      <c r="H1827" s="57" t="s">
        <v>345</v>
      </c>
    </row>
    <row r="1828" spans="2:8" ht="13.5" customHeight="1">
      <c r="B1828" s="57" t="s">
        <v>3225</v>
      </c>
      <c r="D1828" s="57" t="s">
        <v>3226</v>
      </c>
      <c r="F1828" s="57">
        <v>39</v>
      </c>
      <c r="G1828" s="57" t="s">
        <v>3338</v>
      </c>
      <c r="H1828" s="57" t="s">
        <v>345</v>
      </c>
    </row>
    <row r="1829" spans="2:8" ht="13.5" customHeight="1">
      <c r="B1829" s="57" t="s">
        <v>3241</v>
      </c>
      <c r="D1829" s="57" t="s">
        <v>3242</v>
      </c>
      <c r="F1829" s="57">
        <v>42</v>
      </c>
      <c r="G1829" s="57" t="s">
        <v>3338</v>
      </c>
      <c r="H1829" s="57" t="s">
        <v>345</v>
      </c>
    </row>
    <row r="1830" spans="2:8" ht="13.5" customHeight="1">
      <c r="B1830" s="57" t="s">
        <v>2771</v>
      </c>
      <c r="D1830" s="57" t="s">
        <v>3268</v>
      </c>
      <c r="F1830" s="57">
        <v>45</v>
      </c>
      <c r="G1830" s="57" t="s">
        <v>3338</v>
      </c>
      <c r="H1830" s="57" t="s">
        <v>345</v>
      </c>
    </row>
    <row r="1831" spans="2:8" ht="13.5" customHeight="1">
      <c r="B1831" s="57" t="s">
        <v>3269</v>
      </c>
      <c r="D1831" s="57" t="s">
        <v>3270</v>
      </c>
      <c r="F1831" s="57">
        <v>49</v>
      </c>
      <c r="G1831" s="57" t="s">
        <v>3338</v>
      </c>
      <c r="H1831" s="57" t="s">
        <v>345</v>
      </c>
    </row>
    <row r="1832" spans="2:8" ht="13.5" customHeight="1">
      <c r="B1832" s="57" t="s">
        <v>3239</v>
      </c>
      <c r="D1832" s="57" t="s">
        <v>3240</v>
      </c>
      <c r="F1832" s="57">
        <v>50</v>
      </c>
      <c r="G1832" s="57" t="s">
        <v>3338</v>
      </c>
      <c r="H1832" s="57" t="s">
        <v>345</v>
      </c>
    </row>
    <row r="1833" spans="2:8" ht="13.5" customHeight="1">
      <c r="B1833" s="57" t="s">
        <v>3312</v>
      </c>
      <c r="D1833" s="57" t="s">
        <v>3313</v>
      </c>
      <c r="F1833" s="57">
        <v>54</v>
      </c>
      <c r="G1833" s="57" t="s">
        <v>3338</v>
      </c>
      <c r="H1833" s="57" t="s">
        <v>345</v>
      </c>
    </row>
    <row r="1834" spans="2:8" ht="13.5" customHeight="1">
      <c r="B1834" s="57" t="s">
        <v>3237</v>
      </c>
      <c r="D1834" s="57" t="s">
        <v>3238</v>
      </c>
      <c r="F1834" s="57">
        <v>72</v>
      </c>
      <c r="G1834" s="57" t="s">
        <v>3338</v>
      </c>
      <c r="H1834" s="57" t="s">
        <v>345</v>
      </c>
    </row>
    <row r="1835" spans="2:8" ht="13.5" customHeight="1">
      <c r="B1835" s="57" t="s">
        <v>1284</v>
      </c>
      <c r="D1835" s="57" t="s">
        <v>3217</v>
      </c>
      <c r="F1835" s="57">
        <v>127</v>
      </c>
      <c r="G1835" s="57" t="s">
        <v>3338</v>
      </c>
      <c r="H1835" s="57" t="s">
        <v>345</v>
      </c>
    </row>
    <row r="1836" spans="2:8" ht="13.5" customHeight="1">
      <c r="B1836" s="57" t="s">
        <v>3261</v>
      </c>
      <c r="D1836" s="57" t="s">
        <v>3309</v>
      </c>
      <c r="F1836" s="57">
        <v>130</v>
      </c>
      <c r="G1836" s="57" t="s">
        <v>3338</v>
      </c>
      <c r="H1836" s="57" t="s">
        <v>345</v>
      </c>
    </row>
    <row r="1837" spans="2:8" ht="13.5" customHeight="1">
      <c r="B1837" s="57" t="s">
        <v>3329</v>
      </c>
      <c r="D1837" s="68" t="s">
        <v>3330</v>
      </c>
      <c r="F1837" s="57">
        <v>132</v>
      </c>
      <c r="G1837" s="57" t="s">
        <v>3338</v>
      </c>
      <c r="H1837" s="57" t="s">
        <v>345</v>
      </c>
    </row>
    <row r="1838" spans="2:8" ht="13.5" customHeight="1">
      <c r="B1838" s="57" t="s">
        <v>3197</v>
      </c>
      <c r="D1838" s="57" t="s">
        <v>3198</v>
      </c>
      <c r="F1838" s="57">
        <v>138</v>
      </c>
      <c r="G1838" s="57" t="s">
        <v>3338</v>
      </c>
      <c r="H1838" s="57" t="s">
        <v>345</v>
      </c>
    </row>
    <row r="1839" spans="2:8" ht="13.5" customHeight="1">
      <c r="B1839" s="57" t="s">
        <v>3192</v>
      </c>
      <c r="D1839" s="57" t="s">
        <v>3193</v>
      </c>
      <c r="F1839" s="57">
        <v>140</v>
      </c>
      <c r="G1839" s="57" t="s">
        <v>3338</v>
      </c>
      <c r="H1839" s="57" t="s">
        <v>345</v>
      </c>
    </row>
    <row r="1840" spans="2:8" ht="13.5" customHeight="1">
      <c r="B1840" s="57" t="s">
        <v>3266</v>
      </c>
      <c r="D1840" s="57" t="s">
        <v>3267</v>
      </c>
      <c r="F1840" s="57">
        <v>164</v>
      </c>
      <c r="G1840" s="57" t="s">
        <v>3338</v>
      </c>
      <c r="H1840" s="57" t="s">
        <v>345</v>
      </c>
    </row>
    <row r="1841" spans="2:8" ht="13.5" customHeight="1">
      <c r="B1841" s="57" t="s">
        <v>3206</v>
      </c>
      <c r="D1841" s="57" t="s">
        <v>3207</v>
      </c>
      <c r="F1841" s="57">
        <v>640</v>
      </c>
      <c r="G1841" s="57" t="s">
        <v>3338</v>
      </c>
      <c r="H1841" s="57" t="s">
        <v>345</v>
      </c>
    </row>
    <row r="1842" spans="2:8" ht="13.5" customHeight="1">
      <c r="B1842" s="57" t="s">
        <v>3319</v>
      </c>
      <c r="D1842" s="57" t="s">
        <v>3320</v>
      </c>
      <c r="F1842" s="57">
        <v>1</v>
      </c>
      <c r="G1842" s="57" t="s">
        <v>3338</v>
      </c>
      <c r="H1842" s="57" t="s">
        <v>919</v>
      </c>
    </row>
    <row r="1843" spans="2:8" ht="13.5" customHeight="1">
      <c r="B1843" s="57" t="s">
        <v>3317</v>
      </c>
      <c r="D1843" s="57" t="s">
        <v>3318</v>
      </c>
      <c r="F1843" s="57">
        <v>3</v>
      </c>
      <c r="G1843" s="57" t="s">
        <v>3338</v>
      </c>
      <c r="H1843" s="57" t="s">
        <v>919</v>
      </c>
    </row>
    <row r="1844" spans="2:8" ht="13.5" customHeight="1">
      <c r="B1844" s="57" t="s">
        <v>3315</v>
      </c>
      <c r="D1844" s="57" t="s">
        <v>3316</v>
      </c>
      <c r="F1844" s="57">
        <v>6</v>
      </c>
      <c r="G1844" s="57" t="s">
        <v>3338</v>
      </c>
      <c r="H1844" s="57" t="s">
        <v>919</v>
      </c>
    </row>
    <row r="1845" spans="2:8" ht="13.5" customHeight="1">
      <c r="B1845" s="57" t="s">
        <v>3325</v>
      </c>
      <c r="D1845" s="57" t="s">
        <v>3326</v>
      </c>
      <c r="E1845" s="57" t="s">
        <v>3327</v>
      </c>
      <c r="F1845" s="57">
        <v>11</v>
      </c>
      <c r="G1845" s="57" t="s">
        <v>3338</v>
      </c>
      <c r="H1845" s="57" t="s">
        <v>919</v>
      </c>
    </row>
    <row r="1846" spans="2:8" ht="13.5" customHeight="1">
      <c r="B1846" s="57" t="s">
        <v>3211</v>
      </c>
      <c r="D1846" s="57" t="s">
        <v>3212</v>
      </c>
      <c r="F1846" s="57">
        <v>14</v>
      </c>
      <c r="G1846" s="57" t="s">
        <v>3338</v>
      </c>
      <c r="H1846" s="57" t="s">
        <v>919</v>
      </c>
    </row>
    <row r="1847" spans="2:8" ht="13.5" customHeight="1">
      <c r="B1847" s="57" t="s">
        <v>3291</v>
      </c>
      <c r="D1847" s="57" t="s">
        <v>3292</v>
      </c>
      <c r="F1847" s="57">
        <v>19</v>
      </c>
      <c r="G1847" s="57" t="s">
        <v>3338</v>
      </c>
      <c r="H1847" s="57" t="s">
        <v>919</v>
      </c>
    </row>
    <row r="1848" spans="2:8" ht="13.5" customHeight="1">
      <c r="B1848" s="57" t="s">
        <v>3235</v>
      </c>
      <c r="D1848" s="57" t="s">
        <v>3236</v>
      </c>
      <c r="F1848" s="57">
        <v>21</v>
      </c>
      <c r="G1848" s="57" t="s">
        <v>3338</v>
      </c>
      <c r="H1848" s="57" t="s">
        <v>919</v>
      </c>
    </row>
    <row r="1849" spans="2:8" ht="13.5" customHeight="1">
      <c r="B1849" s="57" t="s">
        <v>3283</v>
      </c>
      <c r="D1849" s="57" t="s">
        <v>3284</v>
      </c>
      <c r="E1849" s="57" t="s">
        <v>3285</v>
      </c>
      <c r="F1849" s="57">
        <v>21</v>
      </c>
      <c r="G1849" s="57" t="s">
        <v>3338</v>
      </c>
      <c r="H1849" s="57" t="s">
        <v>919</v>
      </c>
    </row>
    <row r="1850" spans="2:8" ht="13.5" customHeight="1">
      <c r="B1850" s="57" t="s">
        <v>3275</v>
      </c>
      <c r="D1850" s="57" t="s">
        <v>3276</v>
      </c>
      <c r="F1850" s="57">
        <v>22</v>
      </c>
      <c r="G1850" s="57" t="s">
        <v>3338</v>
      </c>
      <c r="H1850" s="57" t="s">
        <v>919</v>
      </c>
    </row>
    <row r="1851" spans="2:8" ht="13.5" customHeight="1">
      <c r="B1851" s="57" t="s">
        <v>3253</v>
      </c>
      <c r="D1851" s="57" t="s">
        <v>3254</v>
      </c>
      <c r="F1851" s="57">
        <v>22</v>
      </c>
      <c r="G1851" s="57" t="s">
        <v>3338</v>
      </c>
      <c r="H1851" s="57" t="s">
        <v>919</v>
      </c>
    </row>
    <row r="1852" spans="2:8" ht="13.5" customHeight="1">
      <c r="B1852" s="57" t="s">
        <v>3255</v>
      </c>
      <c r="D1852" s="57" t="s">
        <v>3256</v>
      </c>
      <c r="F1852" s="57">
        <v>22</v>
      </c>
      <c r="G1852" s="57" t="s">
        <v>3338</v>
      </c>
      <c r="H1852" s="57" t="s">
        <v>919</v>
      </c>
    </row>
    <row r="1853" spans="2:8" ht="13.5" customHeight="1">
      <c r="B1853" s="57" t="s">
        <v>3281</v>
      </c>
      <c r="D1853" s="57" t="s">
        <v>3282</v>
      </c>
      <c r="F1853" s="57">
        <v>22</v>
      </c>
      <c r="G1853" s="57" t="s">
        <v>3338</v>
      </c>
      <c r="H1853" s="57" t="s">
        <v>919</v>
      </c>
    </row>
    <row r="1854" spans="2:8" ht="13.5" customHeight="1">
      <c r="B1854" s="57" t="s">
        <v>3251</v>
      </c>
      <c r="D1854" s="57" t="s">
        <v>3252</v>
      </c>
      <c r="F1854" s="57">
        <v>36</v>
      </c>
      <c r="G1854" s="57" t="s">
        <v>3338</v>
      </c>
      <c r="H1854" s="57" t="s">
        <v>919</v>
      </c>
    </row>
    <row r="1855" spans="2:8" ht="13.5" customHeight="1">
      <c r="B1855" s="57" t="s">
        <v>3227</v>
      </c>
      <c r="D1855" s="57" t="s">
        <v>3228</v>
      </c>
      <c r="F1855" s="57">
        <v>40</v>
      </c>
      <c r="G1855" s="57" t="s">
        <v>3338</v>
      </c>
      <c r="H1855" s="57" t="s">
        <v>919</v>
      </c>
    </row>
    <row r="1856" spans="2:8" ht="13.5" customHeight="1">
      <c r="B1856" s="57" t="s">
        <v>3218</v>
      </c>
      <c r="D1856" s="57" t="s">
        <v>3219</v>
      </c>
      <c r="F1856" s="57">
        <v>42</v>
      </c>
      <c r="G1856" s="57" t="s">
        <v>3338</v>
      </c>
      <c r="H1856" s="57" t="s">
        <v>919</v>
      </c>
    </row>
    <row r="1857" spans="2:8" ht="13.5" customHeight="1">
      <c r="B1857" s="57" t="s">
        <v>3249</v>
      </c>
      <c r="D1857" s="68" t="s">
        <v>3250</v>
      </c>
      <c r="F1857" s="57">
        <v>42</v>
      </c>
      <c r="G1857" s="57" t="s">
        <v>3338</v>
      </c>
      <c r="H1857" s="57" t="s">
        <v>919</v>
      </c>
    </row>
    <row r="1858" spans="2:8" ht="13.5" customHeight="1">
      <c r="B1858" s="57" t="s">
        <v>3247</v>
      </c>
      <c r="D1858" s="68" t="s">
        <v>3248</v>
      </c>
      <c r="F1858" s="57">
        <v>43</v>
      </c>
      <c r="G1858" s="57" t="s">
        <v>3338</v>
      </c>
      <c r="H1858" s="57" t="s">
        <v>919</v>
      </c>
    </row>
    <row r="1859" spans="2:8" ht="13.5" customHeight="1">
      <c r="B1859" s="57" t="s">
        <v>3301</v>
      </c>
      <c r="D1859" s="57" t="s">
        <v>3302</v>
      </c>
      <c r="F1859" s="57">
        <v>48</v>
      </c>
      <c r="G1859" s="57" t="s">
        <v>3338</v>
      </c>
      <c r="H1859" s="57" t="s">
        <v>919</v>
      </c>
    </row>
    <row r="1860" spans="2:8" ht="13.5" customHeight="1">
      <c r="B1860" s="57" t="s">
        <v>3230</v>
      </c>
      <c r="D1860" s="57">
        <v>473092285</v>
      </c>
      <c r="F1860" s="57">
        <v>52</v>
      </c>
      <c r="G1860" s="57" t="s">
        <v>3338</v>
      </c>
      <c r="H1860" s="57" t="s">
        <v>919</v>
      </c>
    </row>
    <row r="1861" spans="2:8" ht="13.5" customHeight="1">
      <c r="B1861" s="57" t="s">
        <v>3204</v>
      </c>
      <c r="D1861" s="57" t="s">
        <v>3205</v>
      </c>
      <c r="F1861" s="57">
        <v>71</v>
      </c>
      <c r="G1861" s="57" t="s">
        <v>3338</v>
      </c>
      <c r="H1861" s="57" t="s">
        <v>919</v>
      </c>
    </row>
    <row r="1862" spans="2:8" ht="13.5" customHeight="1">
      <c r="B1862" s="57" t="s">
        <v>3245</v>
      </c>
      <c r="D1862" s="57" t="s">
        <v>3246</v>
      </c>
      <c r="F1862" s="57">
        <v>81</v>
      </c>
      <c r="G1862" s="57" t="s">
        <v>3338</v>
      </c>
      <c r="H1862" s="57" t="s">
        <v>919</v>
      </c>
    </row>
    <row r="1863" spans="2:8" ht="13.5" customHeight="1">
      <c r="B1863" s="57" t="s">
        <v>3297</v>
      </c>
      <c r="D1863" s="57" t="s">
        <v>3298</v>
      </c>
      <c r="F1863" s="57">
        <v>90</v>
      </c>
      <c r="G1863" s="57" t="s">
        <v>3338</v>
      </c>
      <c r="H1863" s="57" t="s">
        <v>919</v>
      </c>
    </row>
    <row r="1864" spans="2:8" ht="13.5" customHeight="1">
      <c r="B1864" s="57" t="s">
        <v>3257</v>
      </c>
      <c r="D1864" s="68" t="s">
        <v>3258</v>
      </c>
      <c r="F1864" s="57">
        <v>98</v>
      </c>
      <c r="G1864" s="57" t="s">
        <v>3338</v>
      </c>
      <c r="H1864" s="57" t="s">
        <v>919</v>
      </c>
    </row>
    <row r="1865" spans="2:8" ht="13.5" customHeight="1">
      <c r="B1865" s="57" t="s">
        <v>3189</v>
      </c>
      <c r="D1865" s="57" t="s">
        <v>3190</v>
      </c>
      <c r="F1865" s="57">
        <v>164</v>
      </c>
      <c r="G1865" s="57" t="s">
        <v>3338</v>
      </c>
      <c r="H1865" s="57" t="s">
        <v>919</v>
      </c>
    </row>
    <row r="1866" spans="2:8" ht="13.5" customHeight="1">
      <c r="B1866" s="57" t="s">
        <v>3261</v>
      </c>
      <c r="D1866" s="57" t="s">
        <v>3262</v>
      </c>
      <c r="E1866" s="57" t="s">
        <v>3263</v>
      </c>
      <c r="F1866" s="57">
        <v>225</v>
      </c>
      <c r="G1866" s="57" t="s">
        <v>3338</v>
      </c>
      <c r="H1866" s="57" t="s">
        <v>919</v>
      </c>
    </row>
    <row r="1867" spans="2:8" ht="13.5" customHeight="1">
      <c r="B1867" s="57" t="s">
        <v>3294</v>
      </c>
      <c r="D1867" s="57" t="s">
        <v>3294</v>
      </c>
      <c r="F1867" s="57">
        <v>40</v>
      </c>
      <c r="G1867" s="57" t="s">
        <v>3338</v>
      </c>
      <c r="H1867" s="57" t="s">
        <v>918</v>
      </c>
    </row>
    <row r="1868" spans="2:8" ht="13.5" customHeight="1">
      <c r="B1868" s="57" t="s">
        <v>3295</v>
      </c>
      <c r="D1868" s="57" t="s">
        <v>3295</v>
      </c>
      <c r="E1868" s="57" t="s">
        <v>3296</v>
      </c>
      <c r="F1868" s="57">
        <v>40</v>
      </c>
      <c r="G1868" s="57" t="s">
        <v>3338</v>
      </c>
      <c r="H1868" s="57" t="s">
        <v>918</v>
      </c>
    </row>
    <row r="1869" spans="2:8" ht="13.5" customHeight="1">
      <c r="B1869" s="57" t="s">
        <v>3331</v>
      </c>
      <c r="D1869" s="57" t="s">
        <v>3331</v>
      </c>
      <c r="E1869" s="57" t="s">
        <v>3332</v>
      </c>
      <c r="F1869" s="57">
        <v>171</v>
      </c>
      <c r="G1869" s="57" t="s">
        <v>3338</v>
      </c>
      <c r="H1869" s="57" t="s">
        <v>918</v>
      </c>
    </row>
    <row r="1870" spans="2:8" ht="13.5" customHeight="1">
      <c r="B1870" s="57" t="s">
        <v>3321</v>
      </c>
      <c r="D1870" s="57" t="s">
        <v>3322</v>
      </c>
      <c r="F1870" s="57">
        <v>4</v>
      </c>
      <c r="G1870" s="57" t="s">
        <v>3338</v>
      </c>
      <c r="H1870" s="57" t="s">
        <v>1114</v>
      </c>
    </row>
    <row r="1871" spans="2:8" ht="13.5" customHeight="1">
      <c r="B1871" s="57" t="s">
        <v>3231</v>
      </c>
      <c r="D1871" s="57" t="s">
        <v>3232</v>
      </c>
      <c r="F1871" s="57">
        <v>22</v>
      </c>
      <c r="G1871" s="57" t="s">
        <v>3338</v>
      </c>
      <c r="H1871" s="57" t="s">
        <v>1114</v>
      </c>
    </row>
    <row r="1872" spans="2:8" ht="13.5" customHeight="1">
      <c r="B1872" s="57" t="s">
        <v>3243</v>
      </c>
      <c r="D1872" s="68" t="s">
        <v>3244</v>
      </c>
      <c r="F1872" s="57">
        <v>22</v>
      </c>
      <c r="G1872" s="57" t="s">
        <v>3338</v>
      </c>
      <c r="H1872" s="57" t="s">
        <v>1114</v>
      </c>
    </row>
    <row r="1873" spans="2:8" ht="13.5" customHeight="1">
      <c r="B1873" s="57" t="s">
        <v>3210</v>
      </c>
      <c r="D1873" s="57" t="s">
        <v>1817</v>
      </c>
      <c r="E1873" s="60" t="s">
        <v>8294</v>
      </c>
      <c r="F1873" s="57">
        <v>22</v>
      </c>
      <c r="G1873" s="57" t="s">
        <v>3338</v>
      </c>
      <c r="H1873" s="57" t="s">
        <v>1114</v>
      </c>
    </row>
    <row r="1874" spans="2:8" ht="13.5" customHeight="1">
      <c r="B1874" s="57" t="s">
        <v>3286</v>
      </c>
      <c r="D1874" s="57" t="s">
        <v>3287</v>
      </c>
      <c r="F1874" s="57">
        <v>22</v>
      </c>
      <c r="G1874" s="57" t="s">
        <v>3338</v>
      </c>
      <c r="H1874" s="57" t="s">
        <v>1114</v>
      </c>
    </row>
    <row r="1875" spans="2:8" ht="13.5" customHeight="1">
      <c r="B1875" s="57" t="s">
        <v>3333</v>
      </c>
      <c r="D1875" s="57" t="s">
        <v>3334</v>
      </c>
      <c r="E1875" s="57" t="s">
        <v>3335</v>
      </c>
      <c r="F1875" s="57">
        <v>22</v>
      </c>
      <c r="G1875" s="57" t="s">
        <v>3338</v>
      </c>
      <c r="H1875" s="57" t="s">
        <v>1114</v>
      </c>
    </row>
    <row r="1876" spans="2:8" ht="13.5" customHeight="1">
      <c r="B1876" s="57" t="s">
        <v>3288</v>
      </c>
      <c r="D1876" s="57" t="s">
        <v>2705</v>
      </c>
      <c r="F1876" s="57">
        <v>22</v>
      </c>
      <c r="G1876" s="57" t="s">
        <v>3338</v>
      </c>
      <c r="H1876" s="57" t="s">
        <v>1114</v>
      </c>
    </row>
    <row r="1877" spans="2:8" ht="13.5" customHeight="1">
      <c r="B1877" s="57" t="s">
        <v>3271</v>
      </c>
      <c r="D1877" s="68" t="s">
        <v>3272</v>
      </c>
      <c r="F1877" s="57">
        <v>46</v>
      </c>
      <c r="G1877" s="57" t="s">
        <v>3338</v>
      </c>
      <c r="H1877" s="57" t="s">
        <v>1114</v>
      </c>
    </row>
    <row r="1878" spans="2:8" ht="13.5" customHeight="1">
      <c r="B1878" s="57" t="s">
        <v>3259</v>
      </c>
      <c r="D1878" s="57" t="s">
        <v>3260</v>
      </c>
      <c r="F1878" s="57">
        <v>75</v>
      </c>
      <c r="G1878" s="57" t="s">
        <v>3338</v>
      </c>
      <c r="H1878" s="57" t="s">
        <v>1114</v>
      </c>
    </row>
    <row r="1879" spans="2:8" ht="13.5" customHeight="1">
      <c r="B1879" s="57" t="s">
        <v>3191</v>
      </c>
      <c r="D1879" s="57" t="s">
        <v>3220</v>
      </c>
      <c r="F1879" s="57">
        <v>84</v>
      </c>
      <c r="G1879" s="57" t="s">
        <v>3338</v>
      </c>
      <c r="H1879" s="57" t="s">
        <v>1114</v>
      </c>
    </row>
    <row r="1880" spans="2:8" ht="13.5" customHeight="1">
      <c r="B1880" s="57" t="s">
        <v>3208</v>
      </c>
      <c r="D1880" s="57" t="s">
        <v>3209</v>
      </c>
      <c r="F1880" s="57">
        <v>93</v>
      </c>
      <c r="G1880" s="57" t="s">
        <v>3338</v>
      </c>
      <c r="H1880" s="57" t="s">
        <v>1114</v>
      </c>
    </row>
    <row r="1881" spans="2:8" ht="13.5" customHeight="1">
      <c r="B1881" s="57" t="s">
        <v>3202</v>
      </c>
      <c r="D1881" s="57" t="s">
        <v>1978</v>
      </c>
      <c r="F1881" s="57">
        <v>378</v>
      </c>
      <c r="G1881" s="57" t="s">
        <v>3338</v>
      </c>
      <c r="H1881" s="57" t="s">
        <v>1114</v>
      </c>
    </row>
    <row r="1882" spans="2:8" ht="13.5" customHeight="1">
      <c r="B1882" s="57" t="s">
        <v>3368</v>
      </c>
      <c r="D1882" s="68" t="s">
        <v>3369</v>
      </c>
      <c r="F1882" s="57">
        <v>1</v>
      </c>
      <c r="G1882" s="57" t="s">
        <v>3376</v>
      </c>
      <c r="H1882" s="57" t="s">
        <v>363</v>
      </c>
    </row>
    <row r="1883" spans="2:8" ht="13.5" customHeight="1">
      <c r="B1883" s="57" t="s">
        <v>3366</v>
      </c>
      <c r="D1883" s="57" t="s">
        <v>3367</v>
      </c>
      <c r="F1883" s="57">
        <v>2</v>
      </c>
      <c r="G1883" s="57" t="s">
        <v>3376</v>
      </c>
      <c r="H1883" s="57" t="s">
        <v>363</v>
      </c>
    </row>
    <row r="1884" spans="2:8" ht="13.5" customHeight="1">
      <c r="B1884" s="57" t="s">
        <v>3370</v>
      </c>
      <c r="D1884" s="68" t="s">
        <v>3371</v>
      </c>
      <c r="F1884" s="57">
        <v>2</v>
      </c>
      <c r="G1884" s="57" t="s">
        <v>3376</v>
      </c>
      <c r="H1884" s="57" t="s">
        <v>363</v>
      </c>
    </row>
    <row r="1885" spans="2:8" ht="13.5" customHeight="1">
      <c r="B1885" s="57" t="s">
        <v>690</v>
      </c>
      <c r="D1885" s="57" t="s">
        <v>691</v>
      </c>
      <c r="F1885" s="57">
        <v>4</v>
      </c>
      <c r="G1885" s="57" t="s">
        <v>3376</v>
      </c>
      <c r="H1885" s="57" t="s">
        <v>363</v>
      </c>
    </row>
    <row r="1886" spans="2:8" ht="13.5" customHeight="1">
      <c r="B1886" s="57" t="s">
        <v>3372</v>
      </c>
      <c r="D1886" s="57" t="s">
        <v>3373</v>
      </c>
      <c r="F1886" s="57">
        <v>5</v>
      </c>
      <c r="G1886" s="57" t="s">
        <v>3376</v>
      </c>
      <c r="H1886" s="57" t="s">
        <v>363</v>
      </c>
    </row>
    <row r="1887" spans="2:8" ht="13.5" customHeight="1">
      <c r="B1887" s="57" t="s">
        <v>3342</v>
      </c>
      <c r="D1887" s="57" t="s">
        <v>3343</v>
      </c>
      <c r="F1887" s="57">
        <v>6</v>
      </c>
      <c r="G1887" s="57" t="s">
        <v>3376</v>
      </c>
      <c r="H1887" s="57" t="s">
        <v>363</v>
      </c>
    </row>
    <row r="1888" spans="2:8" ht="13.5" customHeight="1">
      <c r="B1888" s="57" t="s">
        <v>3348</v>
      </c>
      <c r="D1888" s="57" t="s">
        <v>3349</v>
      </c>
      <c r="F1888" s="57">
        <v>7</v>
      </c>
      <c r="G1888" s="57" t="s">
        <v>3376</v>
      </c>
      <c r="H1888" s="57" t="s">
        <v>363</v>
      </c>
    </row>
    <row r="1889" spans="2:8" ht="13.5" customHeight="1">
      <c r="B1889" s="57" t="s">
        <v>3344</v>
      </c>
      <c r="D1889" s="57" t="s">
        <v>3345</v>
      </c>
      <c r="F1889" s="57">
        <v>8</v>
      </c>
      <c r="G1889" s="57" t="s">
        <v>3376</v>
      </c>
      <c r="H1889" s="57" t="s">
        <v>363</v>
      </c>
    </row>
    <row r="1890" spans="2:8" ht="13.5" customHeight="1">
      <c r="B1890" s="57" t="s">
        <v>3354</v>
      </c>
      <c r="D1890" s="68" t="s">
        <v>3355</v>
      </c>
      <c r="F1890" s="57">
        <v>8</v>
      </c>
      <c r="G1890" s="57" t="s">
        <v>3376</v>
      </c>
      <c r="H1890" s="57" t="s">
        <v>363</v>
      </c>
    </row>
    <row r="1891" spans="2:8" ht="13.5" customHeight="1">
      <c r="B1891" s="57" t="s">
        <v>3362</v>
      </c>
      <c r="D1891" s="57" t="s">
        <v>3363</v>
      </c>
      <c r="F1891" s="57">
        <v>9</v>
      </c>
      <c r="G1891" s="57" t="s">
        <v>3376</v>
      </c>
      <c r="H1891" s="57" t="s">
        <v>363</v>
      </c>
    </row>
    <row r="1892" spans="2:8" ht="13.5" customHeight="1">
      <c r="B1892" s="57" t="s">
        <v>3346</v>
      </c>
      <c r="D1892" s="68" t="s">
        <v>3347</v>
      </c>
      <c r="F1892" s="57">
        <v>9</v>
      </c>
      <c r="G1892" s="57" t="s">
        <v>3376</v>
      </c>
      <c r="H1892" s="57" t="s">
        <v>363</v>
      </c>
    </row>
    <row r="1893" spans="2:8" ht="13.5" customHeight="1">
      <c r="B1893" s="57" t="s">
        <v>3358</v>
      </c>
      <c r="D1893" s="57" t="s">
        <v>3359</v>
      </c>
      <c r="F1893" s="57">
        <v>9</v>
      </c>
      <c r="G1893" s="57" t="s">
        <v>3376</v>
      </c>
      <c r="H1893" s="57" t="s">
        <v>363</v>
      </c>
    </row>
    <row r="1894" spans="2:8" ht="13.5" customHeight="1">
      <c r="B1894" s="57" t="s">
        <v>3352</v>
      </c>
      <c r="D1894" s="57" t="s">
        <v>3353</v>
      </c>
      <c r="F1894" s="57">
        <v>10</v>
      </c>
      <c r="G1894" s="57" t="s">
        <v>3376</v>
      </c>
      <c r="H1894" s="57" t="s">
        <v>363</v>
      </c>
    </row>
    <row r="1895" spans="2:8" ht="13.5" customHeight="1">
      <c r="B1895" s="57" t="s">
        <v>3374</v>
      </c>
      <c r="D1895" s="57" t="s">
        <v>3375</v>
      </c>
      <c r="F1895" s="57">
        <v>10</v>
      </c>
      <c r="G1895" s="57" t="s">
        <v>3376</v>
      </c>
      <c r="H1895" s="57" t="s">
        <v>363</v>
      </c>
    </row>
    <row r="1896" spans="2:8" ht="13.5" customHeight="1">
      <c r="B1896" s="57" t="s">
        <v>3350</v>
      </c>
      <c r="D1896" s="57" t="s">
        <v>3351</v>
      </c>
      <c r="F1896" s="57">
        <v>10</v>
      </c>
      <c r="G1896" s="57" t="s">
        <v>3376</v>
      </c>
      <c r="H1896" s="57" t="s">
        <v>363</v>
      </c>
    </row>
    <row r="1897" spans="2:8" ht="13.5" customHeight="1">
      <c r="B1897" s="57" t="s">
        <v>3360</v>
      </c>
      <c r="D1897" s="57" t="s">
        <v>3361</v>
      </c>
      <c r="F1897" s="57">
        <v>20</v>
      </c>
      <c r="G1897" s="57" t="s">
        <v>3376</v>
      </c>
      <c r="H1897" s="57" t="s">
        <v>363</v>
      </c>
    </row>
    <row r="1898" spans="2:8" ht="13.5" customHeight="1">
      <c r="B1898" s="57" t="s">
        <v>3340</v>
      </c>
      <c r="D1898" s="57" t="s">
        <v>3341</v>
      </c>
      <c r="E1898" s="57" t="s">
        <v>1783</v>
      </c>
      <c r="F1898" s="57">
        <v>32</v>
      </c>
      <c r="G1898" s="57" t="s">
        <v>3376</v>
      </c>
      <c r="H1898" s="57" t="s">
        <v>363</v>
      </c>
    </row>
    <row r="1899" spans="2:8" ht="13.5" customHeight="1">
      <c r="B1899" s="57" t="s">
        <v>3356</v>
      </c>
      <c r="D1899" s="57" t="s">
        <v>3357</v>
      </c>
      <c r="F1899" s="57">
        <v>33</v>
      </c>
      <c r="G1899" s="57" t="s">
        <v>3376</v>
      </c>
      <c r="H1899" s="57" t="s">
        <v>363</v>
      </c>
    </row>
    <row r="1900" spans="2:8" ht="13.5" customHeight="1">
      <c r="B1900" s="57" t="s">
        <v>3339</v>
      </c>
      <c r="D1900" s="57" t="s">
        <v>496</v>
      </c>
      <c r="E1900" s="57" t="s">
        <v>1784</v>
      </c>
      <c r="F1900" s="57">
        <v>43</v>
      </c>
      <c r="G1900" s="57" t="s">
        <v>3376</v>
      </c>
      <c r="H1900" s="57" t="s">
        <v>363</v>
      </c>
    </row>
    <row r="1901" spans="2:8" ht="13.5" customHeight="1">
      <c r="B1901" s="57" t="s">
        <v>3569</v>
      </c>
      <c r="D1901" s="68" t="s">
        <v>3570</v>
      </c>
      <c r="F1901" s="57">
        <v>1</v>
      </c>
      <c r="G1901" s="57" t="s">
        <v>3652</v>
      </c>
      <c r="H1901" s="57" t="s">
        <v>343</v>
      </c>
    </row>
    <row r="1902" spans="2:8" ht="13.5" customHeight="1">
      <c r="B1902" s="57" t="s">
        <v>3415</v>
      </c>
      <c r="D1902" s="57" t="s">
        <v>3416</v>
      </c>
      <c r="E1902" s="57" t="s">
        <v>3417</v>
      </c>
      <c r="F1902" s="57">
        <v>2</v>
      </c>
      <c r="G1902" s="57" t="s">
        <v>3652</v>
      </c>
      <c r="H1902" s="57" t="s">
        <v>343</v>
      </c>
    </row>
    <row r="1903" spans="2:8" ht="13.5" customHeight="1">
      <c r="B1903" s="57" t="s">
        <v>3421</v>
      </c>
      <c r="D1903" s="57" t="s">
        <v>3422</v>
      </c>
      <c r="E1903" s="57" t="s">
        <v>3423</v>
      </c>
      <c r="F1903" s="57">
        <v>2</v>
      </c>
      <c r="G1903" s="57" t="s">
        <v>3652</v>
      </c>
      <c r="H1903" s="57" t="s">
        <v>343</v>
      </c>
    </row>
    <row r="1904" spans="2:8" ht="13.5" customHeight="1">
      <c r="B1904" s="57" t="s">
        <v>3412</v>
      </c>
      <c r="D1904" s="57" t="s">
        <v>3413</v>
      </c>
      <c r="E1904" s="57" t="s">
        <v>3414</v>
      </c>
      <c r="F1904" s="57">
        <v>2</v>
      </c>
      <c r="G1904" s="57" t="s">
        <v>3652</v>
      </c>
      <c r="H1904" s="57" t="s">
        <v>343</v>
      </c>
    </row>
    <row r="1905" spans="2:8" ht="13.5" customHeight="1">
      <c r="B1905" s="57" t="s">
        <v>3406</v>
      </c>
      <c r="D1905" s="57" t="s">
        <v>3407</v>
      </c>
      <c r="E1905" s="57" t="s">
        <v>3408</v>
      </c>
      <c r="F1905" s="57">
        <v>2</v>
      </c>
      <c r="G1905" s="57" t="s">
        <v>3652</v>
      </c>
      <c r="H1905" s="57" t="s">
        <v>343</v>
      </c>
    </row>
    <row r="1906" spans="2:8" ht="13.5" customHeight="1">
      <c r="B1906" s="57" t="s">
        <v>3418</v>
      </c>
      <c r="D1906" s="57" t="s">
        <v>3419</v>
      </c>
      <c r="E1906" s="57" t="s">
        <v>3420</v>
      </c>
      <c r="F1906" s="57">
        <v>2</v>
      </c>
      <c r="G1906" s="57" t="s">
        <v>3652</v>
      </c>
      <c r="H1906" s="57" t="s">
        <v>343</v>
      </c>
    </row>
    <row r="1907" spans="2:8" ht="13.5" customHeight="1">
      <c r="B1907" s="57" t="s">
        <v>3409</v>
      </c>
      <c r="D1907" s="68" t="s">
        <v>3410</v>
      </c>
      <c r="E1907" s="57" t="s">
        <v>3411</v>
      </c>
      <c r="F1907" s="57">
        <v>2</v>
      </c>
      <c r="G1907" s="57" t="s">
        <v>3652</v>
      </c>
      <c r="H1907" s="57" t="s">
        <v>343</v>
      </c>
    </row>
    <row r="1908" spans="2:8" ht="13.5" customHeight="1">
      <c r="B1908" s="57" t="s">
        <v>3450</v>
      </c>
      <c r="D1908" s="57" t="s">
        <v>3451</v>
      </c>
      <c r="F1908" s="57">
        <v>2</v>
      </c>
      <c r="G1908" s="57" t="s">
        <v>3652</v>
      </c>
      <c r="H1908" s="57" t="s">
        <v>343</v>
      </c>
    </row>
    <row r="1909" spans="2:8" ht="13.5" customHeight="1">
      <c r="B1909" s="57" t="s">
        <v>3549</v>
      </c>
      <c r="D1909" s="57" t="s">
        <v>3550</v>
      </c>
      <c r="F1909" s="57">
        <v>2</v>
      </c>
      <c r="G1909" s="57" t="s">
        <v>3652</v>
      </c>
      <c r="H1909" s="57" t="s">
        <v>343</v>
      </c>
    </row>
    <row r="1910" spans="2:8" ht="13.5" customHeight="1">
      <c r="B1910" s="57" t="s">
        <v>3562</v>
      </c>
      <c r="D1910" s="57" t="s">
        <v>3563</v>
      </c>
      <c r="F1910" s="57">
        <v>2</v>
      </c>
      <c r="G1910" s="57" t="s">
        <v>3652</v>
      </c>
      <c r="H1910" s="57" t="s">
        <v>343</v>
      </c>
    </row>
    <row r="1911" spans="2:8" ht="13.5" customHeight="1">
      <c r="B1911" s="57" t="s">
        <v>3444</v>
      </c>
      <c r="D1911" s="57" t="s">
        <v>3445</v>
      </c>
      <c r="F1911" s="57">
        <v>2</v>
      </c>
      <c r="G1911" s="57" t="s">
        <v>3652</v>
      </c>
      <c r="H1911" s="57" t="s">
        <v>343</v>
      </c>
    </row>
    <row r="1912" spans="2:8" ht="13.5" customHeight="1">
      <c r="B1912" s="57" t="s">
        <v>3448</v>
      </c>
      <c r="D1912" s="57" t="s">
        <v>3449</v>
      </c>
      <c r="F1912" s="57">
        <v>2</v>
      </c>
      <c r="G1912" s="57" t="s">
        <v>3652</v>
      </c>
      <c r="H1912" s="57" t="s">
        <v>343</v>
      </c>
    </row>
    <row r="1913" spans="2:8" ht="13.5" customHeight="1">
      <c r="B1913" s="57" t="s">
        <v>3440</v>
      </c>
      <c r="D1913" s="57" t="s">
        <v>3441</v>
      </c>
      <c r="E1913" s="57" t="s">
        <v>3442</v>
      </c>
      <c r="F1913" s="57">
        <v>8</v>
      </c>
      <c r="G1913" s="57" t="s">
        <v>3652</v>
      </c>
      <c r="H1913" s="57" t="s">
        <v>343</v>
      </c>
    </row>
    <row r="1914" spans="2:8" ht="13.5" customHeight="1">
      <c r="B1914" s="57" t="s">
        <v>3538</v>
      </c>
      <c r="D1914" s="57" t="s">
        <v>3539</v>
      </c>
      <c r="F1914" s="57">
        <v>10</v>
      </c>
      <c r="G1914" s="57" t="s">
        <v>3652</v>
      </c>
      <c r="H1914" s="57" t="s">
        <v>343</v>
      </c>
    </row>
    <row r="1915" spans="2:8" ht="13.5" customHeight="1">
      <c r="B1915" s="57" t="s">
        <v>3472</v>
      </c>
      <c r="D1915" s="57" t="s">
        <v>3473</v>
      </c>
      <c r="E1915" s="57" t="s">
        <v>3474</v>
      </c>
      <c r="F1915" s="57">
        <v>10</v>
      </c>
      <c r="G1915" s="57" t="s">
        <v>3652</v>
      </c>
      <c r="H1915" s="57" t="s">
        <v>343</v>
      </c>
    </row>
    <row r="1916" spans="2:8" ht="13.5" customHeight="1">
      <c r="B1916" s="57" t="s">
        <v>3569</v>
      </c>
      <c r="D1916" s="57" t="s">
        <v>3571</v>
      </c>
      <c r="E1916" s="57" t="s">
        <v>3572</v>
      </c>
      <c r="F1916" s="57">
        <v>10</v>
      </c>
      <c r="G1916" s="57" t="s">
        <v>3652</v>
      </c>
      <c r="H1916" s="57" t="s">
        <v>343</v>
      </c>
    </row>
    <row r="1917" spans="2:8" ht="13.5" customHeight="1">
      <c r="B1917" s="57" t="s">
        <v>3573</v>
      </c>
      <c r="D1917" s="57" t="s">
        <v>3574</v>
      </c>
      <c r="E1917" s="57" t="s">
        <v>3575</v>
      </c>
      <c r="F1917" s="57">
        <v>15</v>
      </c>
      <c r="G1917" s="57" t="s">
        <v>3652</v>
      </c>
      <c r="H1917" s="57" t="s">
        <v>343</v>
      </c>
    </row>
    <row r="1918" spans="2:8" ht="13.5" customHeight="1">
      <c r="B1918" s="57" t="s">
        <v>3501</v>
      </c>
      <c r="D1918" s="57" t="s">
        <v>3502</v>
      </c>
      <c r="F1918" s="57">
        <v>1</v>
      </c>
      <c r="G1918" s="57" t="s">
        <v>3652</v>
      </c>
      <c r="H1918" s="57" t="s">
        <v>344</v>
      </c>
    </row>
    <row r="1919" spans="2:8" ht="13.5" customHeight="1">
      <c r="B1919" s="57" t="s">
        <v>3507</v>
      </c>
      <c r="D1919" s="57" t="s">
        <v>3508</v>
      </c>
      <c r="F1919" s="57">
        <v>1</v>
      </c>
      <c r="G1919" s="57" t="s">
        <v>3652</v>
      </c>
      <c r="H1919" s="57" t="s">
        <v>344</v>
      </c>
    </row>
    <row r="1920" spans="2:8" ht="13.5" customHeight="1">
      <c r="B1920" s="57" t="s">
        <v>3522</v>
      </c>
      <c r="D1920" s="57" t="s">
        <v>3523</v>
      </c>
      <c r="F1920" s="57">
        <v>1</v>
      </c>
      <c r="G1920" s="57" t="s">
        <v>3652</v>
      </c>
      <c r="H1920" s="57" t="s">
        <v>344</v>
      </c>
    </row>
    <row r="1921" spans="2:8" ht="13.5" customHeight="1">
      <c r="B1921" s="57" t="s">
        <v>3435</v>
      </c>
      <c r="D1921" s="57" t="s">
        <v>3436</v>
      </c>
      <c r="E1921" s="57" t="s">
        <v>3437</v>
      </c>
      <c r="F1921" s="57">
        <v>2</v>
      </c>
      <c r="G1921" s="57" t="s">
        <v>3652</v>
      </c>
      <c r="H1921" s="57" t="s">
        <v>344</v>
      </c>
    </row>
    <row r="1922" spans="2:8" ht="13.5" customHeight="1">
      <c r="B1922" s="57" t="s">
        <v>3404</v>
      </c>
      <c r="D1922" s="57" t="s">
        <v>3405</v>
      </c>
      <c r="F1922" s="57">
        <v>2</v>
      </c>
      <c r="G1922" s="57" t="s">
        <v>3652</v>
      </c>
      <c r="H1922" s="57" t="s">
        <v>344</v>
      </c>
    </row>
    <row r="1923" spans="2:8" ht="13.5" customHeight="1">
      <c r="B1923" s="57" t="s">
        <v>3429</v>
      </c>
      <c r="D1923" s="57" t="s">
        <v>3430</v>
      </c>
      <c r="F1923" s="57">
        <v>2</v>
      </c>
      <c r="G1923" s="57" t="s">
        <v>3652</v>
      </c>
      <c r="H1923" s="57" t="s">
        <v>344</v>
      </c>
    </row>
    <row r="1924" spans="2:8" ht="13.5" customHeight="1">
      <c r="B1924" s="57" t="s">
        <v>3385</v>
      </c>
      <c r="D1924" s="57" t="s">
        <v>3386</v>
      </c>
      <c r="F1924" s="57">
        <v>3</v>
      </c>
      <c r="G1924" s="57" t="s">
        <v>3652</v>
      </c>
      <c r="H1924" s="57" t="s">
        <v>344</v>
      </c>
    </row>
    <row r="1925" spans="2:8" ht="13.5" customHeight="1">
      <c r="B1925" s="57" t="s">
        <v>3509</v>
      </c>
      <c r="D1925" s="57" t="s">
        <v>3510</v>
      </c>
      <c r="F1925" s="57">
        <v>3</v>
      </c>
      <c r="G1925" s="57" t="s">
        <v>3652</v>
      </c>
      <c r="H1925" s="57" t="s">
        <v>344</v>
      </c>
    </row>
    <row r="1926" spans="2:8" ht="13.5" customHeight="1">
      <c r="B1926" s="57" t="s">
        <v>3431</v>
      </c>
      <c r="D1926" s="57" t="s">
        <v>3432</v>
      </c>
      <c r="F1926" s="57">
        <v>4</v>
      </c>
      <c r="G1926" s="57" t="s">
        <v>3652</v>
      </c>
      <c r="H1926" s="57" t="s">
        <v>344</v>
      </c>
    </row>
    <row r="1927" spans="2:8" ht="13.5" customHeight="1">
      <c r="B1927" s="57" t="s">
        <v>3389</v>
      </c>
      <c r="D1927" s="57" t="s">
        <v>3390</v>
      </c>
      <c r="F1927" s="57">
        <v>5</v>
      </c>
      <c r="G1927" s="57" t="s">
        <v>3652</v>
      </c>
      <c r="H1927" s="57" t="s">
        <v>344</v>
      </c>
    </row>
    <row r="1928" spans="2:8" ht="13.5" customHeight="1">
      <c r="B1928" s="57" t="s">
        <v>3438</v>
      </c>
      <c r="D1928" s="57" t="s">
        <v>3439</v>
      </c>
      <c r="F1928" s="57">
        <v>5</v>
      </c>
      <c r="G1928" s="57" t="s">
        <v>3652</v>
      </c>
      <c r="H1928" s="57" t="s">
        <v>344</v>
      </c>
    </row>
    <row r="1929" spans="2:8" ht="13.5" customHeight="1">
      <c r="B1929" s="57" t="s">
        <v>3526</v>
      </c>
      <c r="D1929" s="57" t="s">
        <v>3527</v>
      </c>
      <c r="F1929" s="57">
        <v>5</v>
      </c>
      <c r="G1929" s="57" t="s">
        <v>3652</v>
      </c>
      <c r="H1929" s="57" t="s">
        <v>344</v>
      </c>
    </row>
    <row r="1930" spans="2:8" ht="13.5" customHeight="1">
      <c r="B1930" s="57" t="s">
        <v>3433</v>
      </c>
      <c r="D1930" s="57" t="s">
        <v>3434</v>
      </c>
      <c r="F1930" s="57">
        <v>5</v>
      </c>
      <c r="G1930" s="57" t="s">
        <v>3652</v>
      </c>
      <c r="H1930" s="57" t="s">
        <v>344</v>
      </c>
    </row>
    <row r="1931" spans="2:8" ht="13.5" customHeight="1">
      <c r="B1931" s="57" t="s">
        <v>3381</v>
      </c>
      <c r="D1931" s="57" t="s">
        <v>3382</v>
      </c>
      <c r="F1931" s="57">
        <v>7</v>
      </c>
      <c r="G1931" s="57" t="s">
        <v>3652</v>
      </c>
      <c r="H1931" s="57" t="s">
        <v>344</v>
      </c>
    </row>
    <row r="1932" spans="2:8" ht="13.5" customHeight="1">
      <c r="B1932" s="57" t="s">
        <v>3377</v>
      </c>
      <c r="D1932" s="57" t="s">
        <v>3378</v>
      </c>
      <c r="F1932" s="57">
        <v>8</v>
      </c>
      <c r="G1932" s="57" t="s">
        <v>3652</v>
      </c>
      <c r="H1932" s="57" t="s">
        <v>344</v>
      </c>
    </row>
    <row r="1933" spans="2:8" ht="13.5" customHeight="1">
      <c r="B1933" s="57" t="s">
        <v>3397</v>
      </c>
      <c r="D1933" s="57" t="s">
        <v>3398</v>
      </c>
      <c r="F1933" s="57">
        <v>10</v>
      </c>
      <c r="G1933" s="57" t="s">
        <v>3652</v>
      </c>
      <c r="H1933" s="57" t="s">
        <v>344</v>
      </c>
    </row>
    <row r="1934" spans="2:8" ht="13.5" customHeight="1">
      <c r="B1934" s="57" t="s">
        <v>3395</v>
      </c>
      <c r="D1934" s="57" t="s">
        <v>3396</v>
      </c>
      <c r="F1934" s="57">
        <v>10</v>
      </c>
      <c r="G1934" s="57" t="s">
        <v>3652</v>
      </c>
      <c r="H1934" s="57" t="s">
        <v>344</v>
      </c>
    </row>
    <row r="1935" spans="2:8" ht="13.5" customHeight="1">
      <c r="D1935" s="57" t="s">
        <v>3603</v>
      </c>
      <c r="F1935" s="57">
        <v>10</v>
      </c>
      <c r="G1935" s="57" t="s">
        <v>3652</v>
      </c>
      <c r="H1935" s="57" t="s">
        <v>344</v>
      </c>
    </row>
    <row r="1936" spans="2:8" ht="13.5" customHeight="1">
      <c r="B1936" s="57" t="s">
        <v>3383</v>
      </c>
      <c r="D1936" s="57" t="s">
        <v>3384</v>
      </c>
      <c r="F1936" s="57">
        <v>10</v>
      </c>
      <c r="G1936" s="57" t="s">
        <v>3652</v>
      </c>
      <c r="H1936" s="57" t="s">
        <v>344</v>
      </c>
    </row>
    <row r="1937" spans="2:8" ht="13.5" customHeight="1">
      <c r="B1937" s="57" t="s">
        <v>3424</v>
      </c>
      <c r="D1937" s="57" t="s">
        <v>3425</v>
      </c>
      <c r="F1937" s="57">
        <v>11</v>
      </c>
      <c r="G1937" s="57" t="s">
        <v>3652</v>
      </c>
      <c r="H1937" s="57" t="s">
        <v>344</v>
      </c>
    </row>
    <row r="1938" spans="2:8" ht="13.5" customHeight="1">
      <c r="B1938" s="57" t="s">
        <v>3387</v>
      </c>
      <c r="D1938" s="57" t="s">
        <v>3388</v>
      </c>
      <c r="E1938" s="60" t="s">
        <v>8295</v>
      </c>
      <c r="F1938" s="57">
        <v>14</v>
      </c>
      <c r="G1938" s="57" t="s">
        <v>3652</v>
      </c>
      <c r="H1938" s="57" t="s">
        <v>344</v>
      </c>
    </row>
    <row r="1939" spans="2:8" ht="13.5" customHeight="1">
      <c r="B1939" s="57" t="s">
        <v>3399</v>
      </c>
      <c r="D1939" s="57" t="s">
        <v>3400</v>
      </c>
      <c r="F1939" s="57">
        <v>15</v>
      </c>
      <c r="G1939" s="57" t="s">
        <v>3652</v>
      </c>
      <c r="H1939" s="57" t="s">
        <v>344</v>
      </c>
    </row>
    <row r="1940" spans="2:8" ht="13.5" customHeight="1">
      <c r="B1940" s="57" t="s">
        <v>3391</v>
      </c>
      <c r="D1940" s="57" t="s">
        <v>3392</v>
      </c>
      <c r="F1940" s="57">
        <v>30</v>
      </c>
      <c r="G1940" s="57" t="s">
        <v>3652</v>
      </c>
      <c r="H1940" s="57" t="s">
        <v>344</v>
      </c>
    </row>
    <row r="1941" spans="2:8" ht="13.5" customHeight="1">
      <c r="B1941" s="57" t="s">
        <v>3505</v>
      </c>
      <c r="D1941" s="57" t="s">
        <v>3506</v>
      </c>
      <c r="F1941" s="57">
        <v>31</v>
      </c>
      <c r="G1941" s="57" t="s">
        <v>3652</v>
      </c>
      <c r="H1941" s="57" t="s">
        <v>344</v>
      </c>
    </row>
    <row r="1942" spans="2:8" ht="13.5" customHeight="1">
      <c r="B1942" s="57" t="s">
        <v>3393</v>
      </c>
      <c r="D1942" s="57" t="s">
        <v>3394</v>
      </c>
      <c r="F1942" s="57">
        <v>35</v>
      </c>
      <c r="G1942" s="57" t="s">
        <v>3652</v>
      </c>
      <c r="H1942" s="57" t="s">
        <v>344</v>
      </c>
    </row>
    <row r="1943" spans="2:8" ht="13.5" customHeight="1">
      <c r="B1943" s="57" t="s">
        <v>3401</v>
      </c>
      <c r="D1943" s="57" t="s">
        <v>3402</v>
      </c>
      <c r="F1943" s="57">
        <v>40</v>
      </c>
      <c r="G1943" s="57" t="s">
        <v>3652</v>
      </c>
      <c r="H1943" s="57" t="s">
        <v>344</v>
      </c>
    </row>
    <row r="1944" spans="2:8" ht="13.5" customHeight="1">
      <c r="B1944" s="57" t="s">
        <v>3426</v>
      </c>
      <c r="D1944" s="57" t="s">
        <v>3427</v>
      </c>
      <c r="E1944" s="57" t="s">
        <v>3428</v>
      </c>
      <c r="F1944" s="57">
        <v>40</v>
      </c>
      <c r="G1944" s="57" t="s">
        <v>3652</v>
      </c>
      <c r="H1944" s="57" t="s">
        <v>344</v>
      </c>
    </row>
    <row r="1945" spans="2:8" ht="13.5" customHeight="1">
      <c r="B1945" s="57" t="s">
        <v>3379</v>
      </c>
      <c r="D1945" s="57" t="s">
        <v>3380</v>
      </c>
      <c r="F1945" s="57">
        <v>51</v>
      </c>
      <c r="G1945" s="57" t="s">
        <v>3652</v>
      </c>
      <c r="H1945" s="57" t="s">
        <v>344</v>
      </c>
    </row>
    <row r="1946" spans="2:8" ht="13.5" customHeight="1">
      <c r="B1946" s="57" t="s">
        <v>3452</v>
      </c>
      <c r="D1946" s="57" t="s">
        <v>3453</v>
      </c>
      <c r="F1946" s="57">
        <v>1</v>
      </c>
      <c r="G1946" s="57" t="s">
        <v>3652</v>
      </c>
      <c r="H1946" s="57" t="s">
        <v>345</v>
      </c>
    </row>
    <row r="1947" spans="2:8" ht="13.5" customHeight="1">
      <c r="B1947" s="57" t="s">
        <v>3499</v>
      </c>
      <c r="D1947" s="57" t="s">
        <v>3500</v>
      </c>
      <c r="F1947" s="57">
        <v>1</v>
      </c>
      <c r="G1947" s="57" t="s">
        <v>3652</v>
      </c>
      <c r="H1947" s="57" t="s">
        <v>345</v>
      </c>
    </row>
    <row r="1948" spans="2:8" ht="13.5" customHeight="1">
      <c r="B1948" s="57" t="s">
        <v>3524</v>
      </c>
      <c r="D1948" s="57" t="s">
        <v>3525</v>
      </c>
      <c r="F1948" s="57">
        <v>1</v>
      </c>
      <c r="G1948" s="57" t="s">
        <v>3652</v>
      </c>
      <c r="H1948" s="57" t="s">
        <v>345</v>
      </c>
    </row>
    <row r="1949" spans="2:8" ht="13.5" customHeight="1">
      <c r="B1949" s="57" t="s">
        <v>3497</v>
      </c>
      <c r="D1949" s="57" t="s">
        <v>3498</v>
      </c>
      <c r="F1949" s="57">
        <v>1</v>
      </c>
      <c r="G1949" s="57" t="s">
        <v>3652</v>
      </c>
      <c r="H1949" s="57" t="s">
        <v>345</v>
      </c>
    </row>
    <row r="1950" spans="2:8" ht="13.5" customHeight="1">
      <c r="B1950" s="57" t="s">
        <v>3503</v>
      </c>
      <c r="D1950" s="68" t="s">
        <v>3504</v>
      </c>
      <c r="F1950" s="57">
        <v>1</v>
      </c>
      <c r="G1950" s="57" t="s">
        <v>3652</v>
      </c>
      <c r="H1950" s="57" t="s">
        <v>345</v>
      </c>
    </row>
    <row r="1951" spans="2:8" ht="13.5" customHeight="1">
      <c r="B1951" s="57" t="s">
        <v>3518</v>
      </c>
      <c r="D1951" s="57" t="s">
        <v>3519</v>
      </c>
      <c r="F1951" s="57">
        <v>1</v>
      </c>
      <c r="G1951" s="57" t="s">
        <v>3652</v>
      </c>
      <c r="H1951" s="57" t="s">
        <v>345</v>
      </c>
    </row>
    <row r="1952" spans="2:8" ht="13.5" customHeight="1">
      <c r="B1952" s="57" t="s">
        <v>3513</v>
      </c>
      <c r="D1952" s="57" t="s">
        <v>3514</v>
      </c>
      <c r="F1952" s="57">
        <v>1</v>
      </c>
      <c r="G1952" s="57" t="s">
        <v>3652</v>
      </c>
      <c r="H1952" s="57" t="s">
        <v>345</v>
      </c>
    </row>
    <row r="1953" spans="2:8" ht="13.5" customHeight="1">
      <c r="B1953" s="57" t="s">
        <v>3530</v>
      </c>
      <c r="D1953" s="57" t="s">
        <v>3531</v>
      </c>
      <c r="F1953" s="57">
        <v>1</v>
      </c>
      <c r="G1953" s="57" t="s">
        <v>3652</v>
      </c>
      <c r="H1953" s="57" t="s">
        <v>345</v>
      </c>
    </row>
    <row r="1954" spans="2:8" ht="13.5" customHeight="1">
      <c r="B1954" s="57" t="s">
        <v>3532</v>
      </c>
      <c r="D1954" s="57" t="s">
        <v>3533</v>
      </c>
      <c r="F1954" s="57">
        <v>1</v>
      </c>
      <c r="G1954" s="57" t="s">
        <v>3652</v>
      </c>
      <c r="H1954" s="57" t="s">
        <v>345</v>
      </c>
    </row>
    <row r="1955" spans="2:8" ht="13.5" customHeight="1">
      <c r="B1955" s="57" t="s">
        <v>3468</v>
      </c>
      <c r="D1955" s="57" t="s">
        <v>3604</v>
      </c>
      <c r="F1955" s="57">
        <v>1</v>
      </c>
      <c r="G1955" s="57" t="s">
        <v>3652</v>
      </c>
      <c r="H1955" s="57" t="s">
        <v>345</v>
      </c>
    </row>
    <row r="1956" spans="2:8" ht="13.5" customHeight="1">
      <c r="B1956" s="57" t="s">
        <v>3462</v>
      </c>
      <c r="D1956" s="57" t="s">
        <v>3463</v>
      </c>
      <c r="F1956" s="57">
        <v>2</v>
      </c>
      <c r="G1956" s="57" t="s">
        <v>3652</v>
      </c>
      <c r="H1956" s="57" t="s">
        <v>345</v>
      </c>
    </row>
    <row r="1957" spans="2:8" ht="13.5" customHeight="1">
      <c r="B1957" s="57" t="s">
        <v>3466</v>
      </c>
      <c r="D1957" s="57" t="s">
        <v>3467</v>
      </c>
      <c r="F1957" s="57">
        <v>2</v>
      </c>
      <c r="G1957" s="57" t="s">
        <v>3652</v>
      </c>
      <c r="H1957" s="57" t="s">
        <v>345</v>
      </c>
    </row>
    <row r="1958" spans="2:8" ht="13.5" customHeight="1">
      <c r="B1958" s="57" t="s">
        <v>3458</v>
      </c>
      <c r="D1958" s="57" t="s">
        <v>3459</v>
      </c>
      <c r="F1958" s="57">
        <v>2</v>
      </c>
      <c r="G1958" s="57" t="s">
        <v>3652</v>
      </c>
      <c r="H1958" s="57" t="s">
        <v>345</v>
      </c>
    </row>
    <row r="1959" spans="2:8" ht="13.5" customHeight="1">
      <c r="B1959" s="57" t="s">
        <v>3495</v>
      </c>
      <c r="D1959" s="57" t="s">
        <v>3496</v>
      </c>
      <c r="F1959" s="57">
        <v>2</v>
      </c>
      <c r="G1959" s="57" t="s">
        <v>3652</v>
      </c>
      <c r="H1959" s="57" t="s">
        <v>345</v>
      </c>
    </row>
    <row r="1960" spans="2:8" ht="13.5" customHeight="1">
      <c r="B1960" s="57" t="s">
        <v>263</v>
      </c>
      <c r="D1960" s="57" t="s">
        <v>3517</v>
      </c>
      <c r="F1960" s="57">
        <v>2</v>
      </c>
      <c r="G1960" s="57" t="s">
        <v>3652</v>
      </c>
      <c r="H1960" s="57" t="s">
        <v>345</v>
      </c>
    </row>
    <row r="1961" spans="2:8" ht="13.5" customHeight="1">
      <c r="B1961" s="57" t="s">
        <v>3515</v>
      </c>
      <c r="D1961" s="57" t="s">
        <v>3516</v>
      </c>
      <c r="F1961" s="57">
        <v>2</v>
      </c>
      <c r="G1961" s="57" t="s">
        <v>3652</v>
      </c>
      <c r="H1961" s="57" t="s">
        <v>345</v>
      </c>
    </row>
    <row r="1962" spans="2:8" ht="13.5" customHeight="1">
      <c r="B1962" s="57" t="s">
        <v>3489</v>
      </c>
      <c r="D1962" s="57" t="s">
        <v>3490</v>
      </c>
      <c r="F1962" s="57">
        <v>2</v>
      </c>
      <c r="G1962" s="57" t="s">
        <v>3652</v>
      </c>
      <c r="H1962" s="57" t="s">
        <v>345</v>
      </c>
    </row>
    <row r="1963" spans="2:8" ht="13.5" customHeight="1">
      <c r="B1963" s="57" t="s">
        <v>3483</v>
      </c>
      <c r="D1963" s="57" t="s">
        <v>3484</v>
      </c>
      <c r="F1963" s="57">
        <v>2</v>
      </c>
      <c r="G1963" s="57" t="s">
        <v>3652</v>
      </c>
      <c r="H1963" s="57" t="s">
        <v>345</v>
      </c>
    </row>
    <row r="1964" spans="2:8" ht="13.5" customHeight="1">
      <c r="B1964" s="57" t="s">
        <v>3487</v>
      </c>
      <c r="D1964" s="57" t="s">
        <v>3488</v>
      </c>
      <c r="F1964" s="57">
        <v>2</v>
      </c>
      <c r="G1964" s="57" t="s">
        <v>3652</v>
      </c>
      <c r="H1964" s="57" t="s">
        <v>345</v>
      </c>
    </row>
    <row r="1965" spans="2:8" ht="13.5" customHeight="1">
      <c r="B1965" s="57" t="s">
        <v>3540</v>
      </c>
      <c r="D1965" s="57" t="s">
        <v>3541</v>
      </c>
      <c r="F1965" s="57">
        <v>2</v>
      </c>
      <c r="G1965" s="57" t="s">
        <v>3652</v>
      </c>
      <c r="H1965" s="57" t="s">
        <v>345</v>
      </c>
    </row>
    <row r="1966" spans="2:8" ht="13.5" customHeight="1">
      <c r="B1966" s="57" t="s">
        <v>3456</v>
      </c>
      <c r="D1966" s="57" t="s">
        <v>3457</v>
      </c>
      <c r="F1966" s="57">
        <v>2</v>
      </c>
      <c r="G1966" s="57" t="s">
        <v>3652</v>
      </c>
      <c r="H1966" s="57" t="s">
        <v>345</v>
      </c>
    </row>
    <row r="1967" spans="2:8" ht="13.5" customHeight="1">
      <c r="B1967" s="57" t="s">
        <v>3383</v>
      </c>
      <c r="D1967" s="57" t="s">
        <v>3607</v>
      </c>
      <c r="F1967" s="57">
        <v>2</v>
      </c>
      <c r="G1967" s="57" t="s">
        <v>3652</v>
      </c>
      <c r="H1967" s="57" t="s">
        <v>345</v>
      </c>
    </row>
    <row r="1968" spans="2:8" ht="13.5" customHeight="1">
      <c r="B1968" s="57" t="s">
        <v>3605</v>
      </c>
      <c r="D1968" s="57" t="s">
        <v>3606</v>
      </c>
      <c r="F1968" s="57">
        <v>2</v>
      </c>
      <c r="G1968" s="57" t="s">
        <v>3652</v>
      </c>
      <c r="H1968" s="57" t="s">
        <v>345</v>
      </c>
    </row>
    <row r="1969" spans="2:8" ht="13.5" customHeight="1">
      <c r="B1969" s="57" t="s">
        <v>823</v>
      </c>
      <c r="D1969" s="57" t="s">
        <v>915</v>
      </c>
      <c r="F1969" s="57">
        <v>4</v>
      </c>
      <c r="G1969" s="57" t="s">
        <v>3652</v>
      </c>
      <c r="H1969" s="57" t="s">
        <v>345</v>
      </c>
    </row>
    <row r="1970" spans="2:8" ht="13.5" customHeight="1">
      <c r="B1970" s="57" t="s">
        <v>3479</v>
      </c>
      <c r="D1970" s="57" t="s">
        <v>3480</v>
      </c>
      <c r="F1970" s="57">
        <v>6</v>
      </c>
      <c r="G1970" s="57" t="s">
        <v>3652</v>
      </c>
      <c r="H1970" s="57" t="s">
        <v>345</v>
      </c>
    </row>
    <row r="1971" spans="2:8" ht="13.5" customHeight="1">
      <c r="B1971" s="57" t="s">
        <v>3468</v>
      </c>
      <c r="D1971" s="57" t="s">
        <v>3469</v>
      </c>
      <c r="F1971" s="57">
        <v>8</v>
      </c>
      <c r="G1971" s="57" t="s">
        <v>3652</v>
      </c>
      <c r="H1971" s="57" t="s">
        <v>345</v>
      </c>
    </row>
    <row r="1972" spans="2:8" ht="13.5" customHeight="1">
      <c r="B1972" s="57" t="s">
        <v>3460</v>
      </c>
      <c r="D1972" s="57" t="s">
        <v>3461</v>
      </c>
      <c r="F1972" s="57">
        <v>10</v>
      </c>
      <c r="G1972" s="57" t="s">
        <v>3652</v>
      </c>
      <c r="H1972" s="57" t="s">
        <v>345</v>
      </c>
    </row>
    <row r="1973" spans="2:8" ht="13.5" customHeight="1">
      <c r="B1973" s="57" t="s">
        <v>3485</v>
      </c>
      <c r="D1973" s="57" t="s">
        <v>3486</v>
      </c>
      <c r="F1973" s="57">
        <v>12</v>
      </c>
      <c r="G1973" s="57" t="s">
        <v>3652</v>
      </c>
      <c r="H1973" s="57" t="s">
        <v>345</v>
      </c>
    </row>
    <row r="1974" spans="2:8" ht="13.5" customHeight="1">
      <c r="B1974" s="57" t="s">
        <v>3534</v>
      </c>
      <c r="D1974" s="57" t="s">
        <v>3535</v>
      </c>
      <c r="F1974" s="57">
        <v>12</v>
      </c>
      <c r="G1974" s="57" t="s">
        <v>3652</v>
      </c>
      <c r="H1974" s="57" t="s">
        <v>345</v>
      </c>
    </row>
    <row r="1975" spans="2:8" ht="13.5" customHeight="1">
      <c r="B1975" s="57" t="s">
        <v>3491</v>
      </c>
      <c r="D1975" s="57" t="s">
        <v>3492</v>
      </c>
      <c r="F1975" s="57">
        <v>17</v>
      </c>
      <c r="G1975" s="57" t="s">
        <v>3652</v>
      </c>
      <c r="H1975" s="57" t="s">
        <v>345</v>
      </c>
    </row>
    <row r="1976" spans="2:8" ht="13.5" customHeight="1">
      <c r="B1976" s="57" t="s">
        <v>269</v>
      </c>
      <c r="D1976" s="57" t="s">
        <v>2223</v>
      </c>
      <c r="F1976" s="57">
        <v>40</v>
      </c>
      <c r="G1976" s="57" t="s">
        <v>3652</v>
      </c>
      <c r="H1976" s="57" t="s">
        <v>345</v>
      </c>
    </row>
    <row r="1977" spans="2:8" ht="13.5" customHeight="1">
      <c r="B1977" s="57" t="s">
        <v>3454</v>
      </c>
      <c r="D1977" s="57" t="s">
        <v>3455</v>
      </c>
      <c r="F1977" s="57">
        <v>42</v>
      </c>
      <c r="G1977" s="57" t="s">
        <v>3652</v>
      </c>
      <c r="H1977" s="57" t="s">
        <v>345</v>
      </c>
    </row>
    <row r="1978" spans="2:8" ht="13.5" customHeight="1">
      <c r="B1978" s="57" t="s">
        <v>3446</v>
      </c>
      <c r="D1978" s="57" t="s">
        <v>3447</v>
      </c>
      <c r="F1978" s="57">
        <v>47</v>
      </c>
      <c r="G1978" s="57" t="s">
        <v>3652</v>
      </c>
      <c r="H1978" s="57" t="s">
        <v>345</v>
      </c>
    </row>
    <row r="1979" spans="2:8" ht="13.5" customHeight="1">
      <c r="B1979" s="57" t="s">
        <v>3493</v>
      </c>
      <c r="D1979" s="57" t="s">
        <v>3494</v>
      </c>
      <c r="F1979" s="57">
        <v>79</v>
      </c>
      <c r="G1979" s="57" t="s">
        <v>3652</v>
      </c>
      <c r="H1979" s="57" t="s">
        <v>345</v>
      </c>
    </row>
    <row r="1980" spans="2:8" ht="13.5" customHeight="1">
      <c r="B1980" s="57" t="s">
        <v>3511</v>
      </c>
      <c r="D1980" s="57" t="s">
        <v>3512</v>
      </c>
      <c r="F1980" s="57">
        <v>1</v>
      </c>
      <c r="G1980" s="57" t="s">
        <v>3652</v>
      </c>
      <c r="H1980" s="57" t="s">
        <v>919</v>
      </c>
    </row>
    <row r="1981" spans="2:8" ht="13.5" customHeight="1">
      <c r="B1981" s="57" t="s">
        <v>3528</v>
      </c>
      <c r="D1981" s="57" t="s">
        <v>3529</v>
      </c>
      <c r="F1981" s="57">
        <v>1</v>
      </c>
      <c r="G1981" s="57" t="s">
        <v>3652</v>
      </c>
      <c r="H1981" s="57" t="s">
        <v>919</v>
      </c>
    </row>
    <row r="1982" spans="2:8" ht="13.5" customHeight="1">
      <c r="B1982" s="57" t="s">
        <v>3564</v>
      </c>
      <c r="D1982" s="57" t="s">
        <v>3565</v>
      </c>
      <c r="E1982" s="57" t="s">
        <v>3566</v>
      </c>
      <c r="F1982" s="57">
        <v>1</v>
      </c>
      <c r="G1982" s="57" t="s">
        <v>3652</v>
      </c>
      <c r="H1982" s="57" t="s">
        <v>919</v>
      </c>
    </row>
    <row r="1983" spans="2:8" ht="13.5" customHeight="1">
      <c r="B1983" s="57" t="s">
        <v>3470</v>
      </c>
      <c r="D1983" s="57" t="s">
        <v>3471</v>
      </c>
      <c r="F1983" s="57">
        <v>2</v>
      </c>
      <c r="G1983" s="57" t="s">
        <v>3652</v>
      </c>
      <c r="H1983" s="57" t="s">
        <v>919</v>
      </c>
    </row>
    <row r="1984" spans="2:8" ht="13.5" customHeight="1">
      <c r="B1984" s="57" t="s">
        <v>3536</v>
      </c>
      <c r="D1984" s="57" t="s">
        <v>3537</v>
      </c>
      <c r="F1984" s="57">
        <v>2</v>
      </c>
      <c r="G1984" s="57" t="s">
        <v>3652</v>
      </c>
      <c r="H1984" s="57" t="s">
        <v>919</v>
      </c>
    </row>
    <row r="1985" spans="2:8" ht="13.5" customHeight="1">
      <c r="D1985" s="57" t="s">
        <v>3580</v>
      </c>
      <c r="E1985" s="57" t="s">
        <v>3581</v>
      </c>
      <c r="F1985" s="57">
        <v>2</v>
      </c>
      <c r="G1985" s="57" t="s">
        <v>3652</v>
      </c>
      <c r="H1985" s="57" t="s">
        <v>919</v>
      </c>
    </row>
    <row r="1986" spans="2:8" ht="13.5" customHeight="1">
      <c r="B1986" s="57" t="s">
        <v>3464</v>
      </c>
      <c r="D1986" s="57" t="s">
        <v>3465</v>
      </c>
      <c r="F1986" s="57">
        <v>3</v>
      </c>
      <c r="G1986" s="57" t="s">
        <v>3652</v>
      </c>
      <c r="H1986" s="57" t="s">
        <v>919</v>
      </c>
    </row>
    <row r="1987" spans="2:8" ht="13.5" customHeight="1">
      <c r="B1987" s="57" t="s">
        <v>3608</v>
      </c>
      <c r="D1987" s="57" t="s">
        <v>3609</v>
      </c>
      <c r="F1987" s="57">
        <v>6</v>
      </c>
      <c r="G1987" s="57" t="s">
        <v>3652</v>
      </c>
      <c r="H1987" s="57" t="s">
        <v>919</v>
      </c>
    </row>
    <row r="1988" spans="2:8" ht="13.5" customHeight="1">
      <c r="B1988" s="57" t="s">
        <v>3477</v>
      </c>
      <c r="D1988" s="57" t="s">
        <v>3478</v>
      </c>
      <c r="F1988" s="57">
        <v>9</v>
      </c>
      <c r="G1988" s="57" t="s">
        <v>3652</v>
      </c>
      <c r="H1988" s="57" t="s">
        <v>919</v>
      </c>
    </row>
    <row r="1989" spans="2:8" ht="13.5" customHeight="1">
      <c r="B1989" s="57" t="s">
        <v>3475</v>
      </c>
      <c r="D1989" s="57" t="s">
        <v>3476</v>
      </c>
      <c r="F1989" s="57">
        <v>10</v>
      </c>
      <c r="G1989" s="57" t="s">
        <v>3652</v>
      </c>
      <c r="H1989" s="57" t="s">
        <v>919</v>
      </c>
    </row>
    <row r="1990" spans="2:8" ht="13.5" customHeight="1">
      <c r="B1990" s="57" t="s">
        <v>3481</v>
      </c>
      <c r="D1990" s="57" t="s">
        <v>3482</v>
      </c>
      <c r="F1990" s="57">
        <v>33</v>
      </c>
      <c r="G1990" s="57" t="s">
        <v>3652</v>
      </c>
      <c r="H1990" s="57" t="s">
        <v>919</v>
      </c>
    </row>
    <row r="1991" spans="2:8" ht="13.5" customHeight="1">
      <c r="B1991" s="57" t="s">
        <v>3551</v>
      </c>
      <c r="D1991" s="57" t="s">
        <v>3552</v>
      </c>
      <c r="F1991" s="57">
        <v>1</v>
      </c>
      <c r="G1991" s="57" t="s">
        <v>3652</v>
      </c>
      <c r="H1991" s="57" t="s">
        <v>918</v>
      </c>
    </row>
    <row r="1992" spans="2:8" ht="13.5" customHeight="1">
      <c r="D1992" s="57" t="s">
        <v>3443</v>
      </c>
      <c r="F1992" s="57">
        <v>1</v>
      </c>
      <c r="G1992" s="57" t="s">
        <v>3652</v>
      </c>
      <c r="H1992" s="57" t="s">
        <v>918</v>
      </c>
    </row>
    <row r="1993" spans="2:8" ht="13.5" customHeight="1">
      <c r="B1993" s="57" t="s">
        <v>3584</v>
      </c>
      <c r="D1993" s="57" t="s">
        <v>286</v>
      </c>
      <c r="F1993" s="57">
        <v>1</v>
      </c>
      <c r="G1993" s="57" t="s">
        <v>3652</v>
      </c>
      <c r="H1993" s="57" t="s">
        <v>918</v>
      </c>
    </row>
    <row r="1994" spans="2:8" ht="13.5" customHeight="1">
      <c r="B1994" s="57" t="s">
        <v>3576</v>
      </c>
      <c r="D1994" s="57" t="s">
        <v>3577</v>
      </c>
      <c r="F1994" s="57">
        <v>1</v>
      </c>
      <c r="G1994" s="57" t="s">
        <v>3652</v>
      </c>
      <c r="H1994" s="57" t="s">
        <v>918</v>
      </c>
    </row>
    <row r="1995" spans="2:8" ht="13.5" customHeight="1">
      <c r="B1995" s="57" t="s">
        <v>3578</v>
      </c>
      <c r="D1995" s="57" t="s">
        <v>3579</v>
      </c>
      <c r="F1995" s="57">
        <v>1</v>
      </c>
      <c r="G1995" s="57" t="s">
        <v>3652</v>
      </c>
      <c r="H1995" s="57" t="s">
        <v>918</v>
      </c>
    </row>
    <row r="1996" spans="2:8" ht="13.5" customHeight="1">
      <c r="B1996" s="57" t="s">
        <v>3553</v>
      </c>
      <c r="D1996" s="57" t="s">
        <v>3554</v>
      </c>
      <c r="F1996" s="57">
        <v>2</v>
      </c>
      <c r="G1996" s="57" t="s">
        <v>3652</v>
      </c>
      <c r="H1996" s="57" t="s">
        <v>918</v>
      </c>
    </row>
    <row r="1997" spans="2:8" ht="13.5" customHeight="1">
      <c r="B1997" s="57" t="s">
        <v>3547</v>
      </c>
      <c r="D1997" s="57" t="s">
        <v>3548</v>
      </c>
      <c r="F1997" s="57">
        <v>2</v>
      </c>
      <c r="G1997" s="57" t="s">
        <v>3652</v>
      </c>
      <c r="H1997" s="57" t="s">
        <v>918</v>
      </c>
    </row>
    <row r="1998" spans="2:8" ht="13.5" customHeight="1">
      <c r="B1998" s="57" t="s">
        <v>3556</v>
      </c>
      <c r="D1998" s="57" t="s">
        <v>3557</v>
      </c>
      <c r="F1998" s="57">
        <v>2</v>
      </c>
      <c r="G1998" s="57" t="s">
        <v>3652</v>
      </c>
      <c r="H1998" s="57" t="s">
        <v>918</v>
      </c>
    </row>
    <row r="1999" spans="2:8" ht="13.5" customHeight="1">
      <c r="B1999" s="57" t="s">
        <v>3596</v>
      </c>
      <c r="D1999" s="57" t="s">
        <v>3597</v>
      </c>
      <c r="F1999" s="57">
        <v>2</v>
      </c>
      <c r="G1999" s="57" t="s">
        <v>3652</v>
      </c>
      <c r="H1999" s="57" t="s">
        <v>918</v>
      </c>
    </row>
    <row r="2000" spans="2:8" ht="13.5" customHeight="1">
      <c r="B2000" s="57" t="s">
        <v>1422</v>
      </c>
      <c r="D2000" s="57" t="s">
        <v>1419</v>
      </c>
      <c r="F2000" s="57">
        <v>2</v>
      </c>
      <c r="G2000" s="57" t="s">
        <v>3652</v>
      </c>
      <c r="H2000" s="57" t="s">
        <v>918</v>
      </c>
    </row>
    <row r="2001" spans="2:8" ht="13.5" customHeight="1">
      <c r="B2001" s="57" t="s">
        <v>3567</v>
      </c>
      <c r="D2001" s="57" t="s">
        <v>3568</v>
      </c>
      <c r="F2001" s="57">
        <v>2</v>
      </c>
      <c r="G2001" s="57" t="s">
        <v>3652</v>
      </c>
      <c r="H2001" s="57" t="s">
        <v>918</v>
      </c>
    </row>
    <row r="2002" spans="2:8" ht="13.5" customHeight="1">
      <c r="B2002" s="57" t="s">
        <v>3383</v>
      </c>
      <c r="D2002" s="57" t="s">
        <v>3546</v>
      </c>
      <c r="F2002" s="57">
        <v>2</v>
      </c>
      <c r="G2002" s="57" t="s">
        <v>3652</v>
      </c>
      <c r="H2002" s="57" t="s">
        <v>918</v>
      </c>
    </row>
    <row r="2003" spans="2:8" ht="13.5" customHeight="1">
      <c r="B2003" s="57" t="s">
        <v>3585</v>
      </c>
      <c r="D2003" s="57" t="s">
        <v>3586</v>
      </c>
      <c r="E2003" s="57" t="s">
        <v>3587</v>
      </c>
      <c r="F2003" s="57">
        <v>2</v>
      </c>
      <c r="G2003" s="57" t="s">
        <v>3652</v>
      </c>
      <c r="H2003" s="57" t="s">
        <v>918</v>
      </c>
    </row>
    <row r="2004" spans="2:8" ht="13.5" customHeight="1">
      <c r="B2004" s="57" t="s">
        <v>3520</v>
      </c>
      <c r="D2004" s="57" t="s">
        <v>3521</v>
      </c>
      <c r="F2004" s="57">
        <v>2</v>
      </c>
      <c r="G2004" s="57" t="s">
        <v>3652</v>
      </c>
      <c r="H2004" s="57" t="s">
        <v>918</v>
      </c>
    </row>
    <row r="2005" spans="2:8" ht="13.5" customHeight="1">
      <c r="B2005" s="57" t="s">
        <v>3582</v>
      </c>
      <c r="D2005" s="57" t="s">
        <v>3583</v>
      </c>
      <c r="F2005" s="57">
        <v>2</v>
      </c>
      <c r="G2005" s="57" t="s">
        <v>3652</v>
      </c>
      <c r="H2005" s="57" t="s">
        <v>918</v>
      </c>
    </row>
    <row r="2006" spans="2:8" ht="13.5" customHeight="1">
      <c r="B2006" s="57" t="s">
        <v>3598</v>
      </c>
      <c r="D2006" s="57" t="s">
        <v>3599</v>
      </c>
      <c r="F2006" s="57">
        <v>2</v>
      </c>
      <c r="G2006" s="57" t="s">
        <v>3652</v>
      </c>
      <c r="H2006" s="57" t="s">
        <v>918</v>
      </c>
    </row>
    <row r="2007" spans="2:8" ht="13.5" customHeight="1">
      <c r="B2007" s="57" t="s">
        <v>3593</v>
      </c>
      <c r="D2007" s="57" t="s">
        <v>3594</v>
      </c>
      <c r="E2007" s="57" t="s">
        <v>3595</v>
      </c>
      <c r="F2007" s="57">
        <v>2</v>
      </c>
      <c r="G2007" s="57" t="s">
        <v>3652</v>
      </c>
      <c r="H2007" s="57" t="s">
        <v>918</v>
      </c>
    </row>
    <row r="2008" spans="2:8" ht="13.5" customHeight="1">
      <c r="B2008" s="57" t="s">
        <v>3558</v>
      </c>
      <c r="D2008" s="57" t="s">
        <v>3559</v>
      </c>
      <c r="F2008" s="57">
        <v>2</v>
      </c>
      <c r="G2008" s="57" t="s">
        <v>3652</v>
      </c>
      <c r="H2008" s="57" t="s">
        <v>918</v>
      </c>
    </row>
    <row r="2009" spans="2:8" ht="13.5" customHeight="1">
      <c r="B2009" s="57" t="s">
        <v>3600</v>
      </c>
      <c r="D2009" s="57" t="s">
        <v>3601</v>
      </c>
      <c r="F2009" s="57">
        <v>2</v>
      </c>
      <c r="G2009" s="57" t="s">
        <v>3652</v>
      </c>
      <c r="H2009" s="57" t="s">
        <v>918</v>
      </c>
    </row>
    <row r="2010" spans="2:8" ht="13.5" customHeight="1">
      <c r="B2010" s="57" t="s">
        <v>3588</v>
      </c>
      <c r="D2010" s="57" t="s">
        <v>3589</v>
      </c>
      <c r="F2010" s="57">
        <v>2</v>
      </c>
      <c r="G2010" s="57" t="s">
        <v>3652</v>
      </c>
      <c r="H2010" s="57" t="s">
        <v>918</v>
      </c>
    </row>
    <row r="2011" spans="2:8" ht="13.5" customHeight="1">
      <c r="B2011" s="57" t="s">
        <v>3553</v>
      </c>
      <c r="D2011" s="57" t="s">
        <v>3555</v>
      </c>
      <c r="F2011" s="57">
        <v>4</v>
      </c>
      <c r="G2011" s="57" t="s">
        <v>3652</v>
      </c>
      <c r="H2011" s="57" t="s">
        <v>918</v>
      </c>
    </row>
    <row r="2012" spans="2:8" ht="13.5" customHeight="1">
      <c r="B2012" s="57" t="s">
        <v>3560</v>
      </c>
      <c r="D2012" s="57" t="s">
        <v>3561</v>
      </c>
      <c r="F2012" s="57">
        <v>4</v>
      </c>
      <c r="G2012" s="57" t="s">
        <v>3652</v>
      </c>
      <c r="H2012" s="57" t="s">
        <v>918</v>
      </c>
    </row>
    <row r="2013" spans="2:8" ht="13.5" customHeight="1">
      <c r="B2013" s="57" t="s">
        <v>3542</v>
      </c>
      <c r="D2013" s="57" t="s">
        <v>3543</v>
      </c>
      <c r="F2013" s="57">
        <v>5</v>
      </c>
      <c r="G2013" s="57" t="s">
        <v>3652</v>
      </c>
      <c r="H2013" s="57" t="s">
        <v>918</v>
      </c>
    </row>
    <row r="2014" spans="2:8" ht="13.5" customHeight="1">
      <c r="B2014" s="60" t="s">
        <v>8296</v>
      </c>
      <c r="D2014" s="57" t="s">
        <v>3602</v>
      </c>
      <c r="F2014" s="57">
        <v>5</v>
      </c>
      <c r="G2014" s="57" t="s">
        <v>3652</v>
      </c>
      <c r="H2014" s="57" t="s">
        <v>918</v>
      </c>
    </row>
    <row r="2015" spans="2:8" ht="13.5" customHeight="1">
      <c r="B2015" s="57" t="s">
        <v>3544</v>
      </c>
      <c r="D2015" s="57" t="s">
        <v>3545</v>
      </c>
      <c r="F2015" s="57">
        <v>7</v>
      </c>
      <c r="G2015" s="57" t="s">
        <v>3652</v>
      </c>
      <c r="H2015" s="57" t="s">
        <v>918</v>
      </c>
    </row>
    <row r="2016" spans="2:8" ht="13.5" customHeight="1">
      <c r="B2016" s="57" t="s">
        <v>3590</v>
      </c>
      <c r="D2016" s="68" t="s">
        <v>2269</v>
      </c>
      <c r="F2016" s="57">
        <v>20</v>
      </c>
      <c r="G2016" s="57" t="s">
        <v>3652</v>
      </c>
      <c r="H2016" s="57" t="s">
        <v>918</v>
      </c>
    </row>
    <row r="2017" spans="2:9" ht="13.5" customHeight="1">
      <c r="B2017" s="57" t="s">
        <v>3591</v>
      </c>
      <c r="D2017" s="57" t="s">
        <v>3592</v>
      </c>
      <c r="F2017" s="57">
        <v>20</v>
      </c>
      <c r="G2017" s="57" t="s">
        <v>3652</v>
      </c>
      <c r="H2017" s="57" t="s">
        <v>918</v>
      </c>
    </row>
    <row r="2018" spans="2:9" ht="13.5" customHeight="1">
      <c r="B2018" s="57" t="s">
        <v>313</v>
      </c>
      <c r="D2018" s="57" t="s">
        <v>3610</v>
      </c>
      <c r="F2018" s="57">
        <v>21</v>
      </c>
      <c r="G2018" s="57" t="s">
        <v>3652</v>
      </c>
      <c r="H2018" s="57" t="s">
        <v>918</v>
      </c>
    </row>
    <row r="2019" spans="2:9" ht="13.5" customHeight="1">
      <c r="B2019" s="57" t="s">
        <v>313</v>
      </c>
      <c r="D2019" s="57" t="s">
        <v>1962</v>
      </c>
      <c r="F2019" s="57">
        <v>32</v>
      </c>
      <c r="G2019" s="57" t="s">
        <v>3652</v>
      </c>
      <c r="H2019" s="57" t="s">
        <v>918</v>
      </c>
    </row>
    <row r="2020" spans="2:9" ht="13.5" customHeight="1">
      <c r="B2020" s="57" t="s">
        <v>3633</v>
      </c>
      <c r="D2020" s="57" t="s">
        <v>3634</v>
      </c>
      <c r="F2020" s="57">
        <v>2</v>
      </c>
      <c r="G2020" s="57" t="s">
        <v>3652</v>
      </c>
      <c r="H2020" s="57" t="s">
        <v>1114</v>
      </c>
    </row>
    <row r="2021" spans="2:9" ht="13.5" customHeight="1">
      <c r="B2021" s="57" t="s">
        <v>3625</v>
      </c>
      <c r="D2021" s="57" t="s">
        <v>3626</v>
      </c>
      <c r="F2021" s="57">
        <v>3</v>
      </c>
      <c r="G2021" s="57" t="s">
        <v>3652</v>
      </c>
      <c r="H2021" s="57" t="s">
        <v>1114</v>
      </c>
      <c r="I2021" s="60" t="s">
        <v>8297</v>
      </c>
    </row>
    <row r="2022" spans="2:9" ht="13.5" customHeight="1">
      <c r="B2022" s="57" t="s">
        <v>263</v>
      </c>
      <c r="D2022" s="57" t="s">
        <v>2281</v>
      </c>
      <c r="F2022" s="57">
        <v>5</v>
      </c>
      <c r="G2022" s="57" t="s">
        <v>3652</v>
      </c>
      <c r="H2022" s="57" t="s">
        <v>1114</v>
      </c>
    </row>
    <row r="2023" spans="2:9" ht="13.5" customHeight="1">
      <c r="B2023" s="57" t="s">
        <v>3623</v>
      </c>
      <c r="D2023" s="57" t="s">
        <v>3624</v>
      </c>
      <c r="F2023" s="57">
        <v>5</v>
      </c>
      <c r="G2023" s="57" t="s">
        <v>3652</v>
      </c>
      <c r="H2023" s="57" t="s">
        <v>1114</v>
      </c>
    </row>
    <row r="2024" spans="2:9" ht="13.5" customHeight="1">
      <c r="B2024" s="57" t="s">
        <v>3621</v>
      </c>
      <c r="D2024" s="57" t="s">
        <v>3622</v>
      </c>
      <c r="F2024" s="57">
        <v>5</v>
      </c>
      <c r="G2024" s="57" t="s">
        <v>3652</v>
      </c>
      <c r="H2024" s="57" t="s">
        <v>1114</v>
      </c>
    </row>
    <row r="2025" spans="2:9" ht="13.5" customHeight="1">
      <c r="B2025" s="57" t="s">
        <v>3635</v>
      </c>
      <c r="D2025" s="57" t="s">
        <v>3636</v>
      </c>
      <c r="F2025" s="57">
        <v>8</v>
      </c>
      <c r="G2025" s="57" t="s">
        <v>3652</v>
      </c>
      <c r="H2025" s="57" t="s">
        <v>1114</v>
      </c>
    </row>
    <row r="2026" spans="2:9" ht="13.5" customHeight="1">
      <c r="B2026" s="57" t="s">
        <v>3460</v>
      </c>
      <c r="D2026" s="57" t="s">
        <v>3613</v>
      </c>
      <c r="F2026" s="57">
        <v>10</v>
      </c>
      <c r="G2026" s="57" t="s">
        <v>3652</v>
      </c>
      <c r="H2026" s="57" t="s">
        <v>1114</v>
      </c>
    </row>
    <row r="2027" spans="2:9" ht="13.5" customHeight="1">
      <c r="B2027" s="57" t="s">
        <v>3647</v>
      </c>
      <c r="D2027" s="57" t="s">
        <v>3648</v>
      </c>
      <c r="F2027" s="57">
        <v>10</v>
      </c>
      <c r="G2027" s="57" t="s">
        <v>3652</v>
      </c>
      <c r="H2027" s="57" t="s">
        <v>1114</v>
      </c>
    </row>
    <row r="2028" spans="2:9" ht="13.5" customHeight="1">
      <c r="B2028" s="57" t="s">
        <v>3643</v>
      </c>
      <c r="D2028" s="57" t="s">
        <v>3644</v>
      </c>
      <c r="F2028" s="57">
        <v>11</v>
      </c>
      <c r="G2028" s="57" t="s">
        <v>3652</v>
      </c>
      <c r="H2028" s="57" t="s">
        <v>1114</v>
      </c>
    </row>
    <row r="2029" spans="2:9" ht="13.5" customHeight="1">
      <c r="B2029" s="57" t="s">
        <v>3639</v>
      </c>
      <c r="D2029" s="57" t="s">
        <v>3640</v>
      </c>
      <c r="F2029" s="57">
        <v>12</v>
      </c>
      <c r="G2029" s="57" t="s">
        <v>3652</v>
      </c>
      <c r="H2029" s="57" t="s">
        <v>1114</v>
      </c>
    </row>
    <row r="2030" spans="2:9" ht="13.5" customHeight="1">
      <c r="B2030" s="57" t="s">
        <v>3641</v>
      </c>
      <c r="D2030" s="57" t="s">
        <v>3642</v>
      </c>
      <c r="F2030" s="57">
        <v>12</v>
      </c>
      <c r="G2030" s="57" t="s">
        <v>3652</v>
      </c>
      <c r="H2030" s="57" t="s">
        <v>1114</v>
      </c>
    </row>
    <row r="2031" spans="2:9" ht="13.5" customHeight="1">
      <c r="B2031" s="57" t="s">
        <v>3637</v>
      </c>
      <c r="D2031" s="57" t="s">
        <v>3638</v>
      </c>
      <c r="F2031" s="57">
        <v>12</v>
      </c>
      <c r="G2031" s="57" t="s">
        <v>3652</v>
      </c>
      <c r="H2031" s="57" t="s">
        <v>1114</v>
      </c>
    </row>
    <row r="2032" spans="2:9" ht="13.5" customHeight="1">
      <c r="B2032" s="57" t="s">
        <v>3645</v>
      </c>
      <c r="D2032" s="57" t="s">
        <v>3646</v>
      </c>
      <c r="F2032" s="57">
        <v>12</v>
      </c>
      <c r="G2032" s="57" t="s">
        <v>3652</v>
      </c>
      <c r="H2032" s="57" t="s">
        <v>1114</v>
      </c>
    </row>
    <row r="2033" spans="2:9" ht="13.5" customHeight="1">
      <c r="B2033" s="57" t="s">
        <v>3649</v>
      </c>
      <c r="D2033" s="57" t="s">
        <v>2223</v>
      </c>
      <c r="F2033" s="57">
        <v>37</v>
      </c>
      <c r="G2033" s="57" t="s">
        <v>3652</v>
      </c>
      <c r="H2033" s="57" t="s">
        <v>1114</v>
      </c>
    </row>
    <row r="2034" spans="2:9" ht="13.5" customHeight="1">
      <c r="B2034" s="57" t="s">
        <v>3619</v>
      </c>
      <c r="D2034" s="57" t="s">
        <v>3620</v>
      </c>
      <c r="F2034" s="57">
        <v>2</v>
      </c>
      <c r="G2034" s="57" t="s">
        <v>3652</v>
      </c>
      <c r="H2034" s="57" t="s">
        <v>1115</v>
      </c>
    </row>
    <row r="2035" spans="2:9" ht="13.5" customHeight="1">
      <c r="B2035" s="57" t="s">
        <v>3617</v>
      </c>
      <c r="D2035" s="57" t="s">
        <v>3618</v>
      </c>
      <c r="F2035" s="57">
        <v>2</v>
      </c>
      <c r="G2035" s="57" t="s">
        <v>3652</v>
      </c>
      <c r="H2035" s="57" t="s">
        <v>1115</v>
      </c>
    </row>
    <row r="2036" spans="2:9" ht="13.5" customHeight="1">
      <c r="B2036" s="57" t="s">
        <v>3615</v>
      </c>
      <c r="D2036" s="57" t="s">
        <v>3616</v>
      </c>
      <c r="F2036" s="57">
        <v>2</v>
      </c>
      <c r="G2036" s="57" t="s">
        <v>3652</v>
      </c>
      <c r="H2036" s="57" t="s">
        <v>1115</v>
      </c>
    </row>
    <row r="2037" spans="2:9" ht="13.5" customHeight="1">
      <c r="B2037" s="57" t="s">
        <v>3631</v>
      </c>
      <c r="D2037" s="57" t="s">
        <v>3632</v>
      </c>
      <c r="F2037" s="57">
        <v>3</v>
      </c>
      <c r="G2037" s="57" t="s">
        <v>3652</v>
      </c>
      <c r="H2037" s="57" t="s">
        <v>1115</v>
      </c>
    </row>
    <row r="2038" spans="2:9" ht="13.5" customHeight="1">
      <c r="B2038" s="57" t="s">
        <v>3627</v>
      </c>
      <c r="D2038" s="57" t="s">
        <v>3628</v>
      </c>
      <c r="F2038" s="57">
        <v>3</v>
      </c>
      <c r="G2038" s="57" t="s">
        <v>3652</v>
      </c>
      <c r="H2038" s="57" t="s">
        <v>1115</v>
      </c>
    </row>
    <row r="2039" spans="2:9" ht="13.5" customHeight="1">
      <c r="B2039" s="57" t="s">
        <v>3629</v>
      </c>
      <c r="D2039" s="68" t="s">
        <v>3630</v>
      </c>
      <c r="F2039" s="57">
        <v>3</v>
      </c>
      <c r="G2039" s="57" t="s">
        <v>3652</v>
      </c>
      <c r="H2039" s="57" t="s">
        <v>1115</v>
      </c>
    </row>
    <row r="2040" spans="2:9" ht="13.5" customHeight="1">
      <c r="B2040" s="57" t="s">
        <v>3611</v>
      </c>
      <c r="D2040" s="57" t="s">
        <v>3612</v>
      </c>
      <c r="F2040" s="57">
        <v>5</v>
      </c>
      <c r="G2040" s="57" t="s">
        <v>3652</v>
      </c>
      <c r="H2040" s="57" t="s">
        <v>1115</v>
      </c>
    </row>
    <row r="2041" spans="2:9" ht="13.5" customHeight="1">
      <c r="B2041" s="57" t="s">
        <v>3444</v>
      </c>
      <c r="D2041" s="57" t="s">
        <v>3614</v>
      </c>
      <c r="F2041" s="57">
        <v>5</v>
      </c>
      <c r="G2041" s="57" t="s">
        <v>3652</v>
      </c>
      <c r="H2041" s="57" t="s">
        <v>1115</v>
      </c>
    </row>
    <row r="2042" spans="2:9" ht="13.5" customHeight="1">
      <c r="B2042" s="57" t="s">
        <v>3650</v>
      </c>
      <c r="D2042" s="57" t="s">
        <v>3650</v>
      </c>
      <c r="F2042" s="57">
        <v>6</v>
      </c>
      <c r="G2042" s="57" t="s">
        <v>3652</v>
      </c>
      <c r="H2042" s="57" t="s">
        <v>1115</v>
      </c>
    </row>
    <row r="2043" spans="2:9" ht="13.5" customHeight="1">
      <c r="B2043" s="57" t="s">
        <v>3187</v>
      </c>
      <c r="D2043" s="68" t="s">
        <v>3651</v>
      </c>
      <c r="F2043" s="57">
        <v>35</v>
      </c>
      <c r="G2043" s="57" t="s">
        <v>3652</v>
      </c>
      <c r="H2043" s="57" t="s">
        <v>1115</v>
      </c>
    </row>
    <row r="2044" spans="2:9" ht="13.5" customHeight="1">
      <c r="B2044" s="57" t="s">
        <v>3771</v>
      </c>
      <c r="D2044" s="57" t="s">
        <v>3772</v>
      </c>
      <c r="F2044" s="57">
        <v>2</v>
      </c>
      <c r="G2044" s="57" t="s">
        <v>3810</v>
      </c>
      <c r="H2044" s="57" t="s">
        <v>1116</v>
      </c>
    </row>
    <row r="2045" spans="2:9" ht="13.5" customHeight="1">
      <c r="B2045" s="57" t="s">
        <v>3756</v>
      </c>
      <c r="D2045" s="57" t="s">
        <v>3757</v>
      </c>
      <c r="F2045" s="57">
        <v>10</v>
      </c>
      <c r="G2045" s="57" t="s">
        <v>3810</v>
      </c>
      <c r="H2045" s="57" t="s">
        <v>1116</v>
      </c>
    </row>
    <row r="2046" spans="2:9" ht="13.5" customHeight="1">
      <c r="B2046" s="57" t="s">
        <v>3655</v>
      </c>
      <c r="D2046" s="57" t="s">
        <v>3656</v>
      </c>
      <c r="F2046" s="57">
        <v>99</v>
      </c>
      <c r="G2046" s="57" t="s">
        <v>3810</v>
      </c>
      <c r="H2046" s="57" t="s">
        <v>1116</v>
      </c>
    </row>
    <row r="2047" spans="2:9" ht="13.5" customHeight="1">
      <c r="B2047" s="57" t="s">
        <v>3781</v>
      </c>
      <c r="D2047" s="57" t="s">
        <v>652</v>
      </c>
      <c r="F2047" s="57">
        <v>7</v>
      </c>
      <c r="G2047" s="57" t="s">
        <v>3810</v>
      </c>
      <c r="H2047" s="57" t="s">
        <v>343</v>
      </c>
      <c r="I2047" s="68"/>
    </row>
    <row r="2048" spans="2:9" ht="13.5" customHeight="1">
      <c r="B2048" s="57" t="s">
        <v>3660</v>
      </c>
      <c r="D2048" s="57" t="s">
        <v>871</v>
      </c>
      <c r="F2048" s="57">
        <v>7</v>
      </c>
      <c r="G2048" s="57" t="s">
        <v>3810</v>
      </c>
      <c r="H2048" s="57" t="s">
        <v>343</v>
      </c>
    </row>
    <row r="2049" spans="2:9" ht="13.5" customHeight="1">
      <c r="B2049" s="57" t="s">
        <v>3691</v>
      </c>
      <c r="D2049" s="68" t="s">
        <v>3692</v>
      </c>
      <c r="F2049" s="57">
        <v>7</v>
      </c>
      <c r="G2049" s="57" t="s">
        <v>3810</v>
      </c>
      <c r="H2049" s="57" t="s">
        <v>343</v>
      </c>
    </row>
    <row r="2050" spans="2:9" ht="13.5" customHeight="1">
      <c r="B2050" s="57" t="s">
        <v>3798</v>
      </c>
      <c r="D2050" s="57" t="s">
        <v>3799</v>
      </c>
      <c r="F2050" s="57">
        <v>8</v>
      </c>
      <c r="G2050" s="57" t="s">
        <v>3810</v>
      </c>
      <c r="H2050" s="57" t="s">
        <v>343</v>
      </c>
    </row>
    <row r="2051" spans="2:9" ht="13.5" customHeight="1">
      <c r="B2051" s="57" t="s">
        <v>3802</v>
      </c>
      <c r="D2051" s="57" t="s">
        <v>3803</v>
      </c>
      <c r="F2051" s="57">
        <v>8</v>
      </c>
      <c r="G2051" s="57" t="s">
        <v>3810</v>
      </c>
      <c r="H2051" s="57" t="s">
        <v>343</v>
      </c>
    </row>
    <row r="2052" spans="2:9" ht="13.5" customHeight="1">
      <c r="B2052" s="57" t="s">
        <v>3670</v>
      </c>
      <c r="D2052" s="57" t="s">
        <v>3671</v>
      </c>
      <c r="F2052" s="57">
        <v>9</v>
      </c>
      <c r="G2052" s="57" t="s">
        <v>3810</v>
      </c>
      <c r="H2052" s="57" t="s">
        <v>343</v>
      </c>
    </row>
    <row r="2053" spans="2:9" ht="13.5" customHeight="1">
      <c r="B2053" s="57" t="s">
        <v>3685</v>
      </c>
      <c r="D2053" s="57" t="s">
        <v>3082</v>
      </c>
      <c r="F2053" s="57">
        <v>10</v>
      </c>
      <c r="G2053" s="57" t="s">
        <v>3810</v>
      </c>
      <c r="H2053" s="57" t="s">
        <v>343</v>
      </c>
    </row>
    <row r="2054" spans="2:9" ht="13.5" customHeight="1">
      <c r="B2054" s="57" t="s">
        <v>3792</v>
      </c>
      <c r="D2054" s="57" t="s">
        <v>3793</v>
      </c>
      <c r="F2054" s="57">
        <v>10</v>
      </c>
      <c r="G2054" s="57" t="s">
        <v>3810</v>
      </c>
      <c r="H2054" s="57" t="s">
        <v>343</v>
      </c>
    </row>
    <row r="2055" spans="2:9" ht="13.5" customHeight="1">
      <c r="B2055" s="57" t="s">
        <v>3675</v>
      </c>
      <c r="D2055" s="57" t="s">
        <v>3676</v>
      </c>
      <c r="F2055" s="57">
        <v>10</v>
      </c>
      <c r="G2055" s="57" t="s">
        <v>3810</v>
      </c>
      <c r="H2055" s="57" t="s">
        <v>343</v>
      </c>
    </row>
    <row r="2056" spans="2:9" ht="13.5" customHeight="1">
      <c r="B2056" s="57" t="s">
        <v>3800</v>
      </c>
      <c r="D2056" s="57" t="s">
        <v>3801</v>
      </c>
      <c r="F2056" s="57">
        <v>12</v>
      </c>
      <c r="G2056" s="57" t="s">
        <v>3810</v>
      </c>
      <c r="H2056" s="57" t="s">
        <v>343</v>
      </c>
      <c r="I2056" s="57" t="s">
        <v>3809</v>
      </c>
    </row>
    <row r="2057" spans="2:9" ht="13.5" customHeight="1">
      <c r="B2057" s="57" t="s">
        <v>3790</v>
      </c>
      <c r="D2057" s="57" t="s">
        <v>3791</v>
      </c>
      <c r="F2057" s="57">
        <v>18</v>
      </c>
      <c r="G2057" s="57" t="s">
        <v>3810</v>
      </c>
      <c r="H2057" s="57" t="s">
        <v>343</v>
      </c>
    </row>
    <row r="2058" spans="2:9" ht="13.5" customHeight="1">
      <c r="B2058" s="57" t="s">
        <v>3794</v>
      </c>
      <c r="D2058" s="57" t="s">
        <v>3795</v>
      </c>
      <c r="F2058" s="57">
        <v>19</v>
      </c>
      <c r="G2058" s="57" t="s">
        <v>3810</v>
      </c>
      <c r="H2058" s="57" t="s">
        <v>343</v>
      </c>
    </row>
    <row r="2059" spans="2:9" ht="13.5" customHeight="1">
      <c r="B2059" s="57" t="s">
        <v>3659</v>
      </c>
      <c r="D2059" s="57" t="s">
        <v>867</v>
      </c>
      <c r="F2059" s="57">
        <v>20</v>
      </c>
      <c r="G2059" s="57" t="s">
        <v>3810</v>
      </c>
      <c r="H2059" s="57" t="s">
        <v>343</v>
      </c>
    </row>
    <row r="2060" spans="2:9" ht="13.5" customHeight="1">
      <c r="B2060" s="57" t="s">
        <v>3796</v>
      </c>
      <c r="D2060" s="57" t="s">
        <v>3797</v>
      </c>
      <c r="F2060" s="57">
        <v>20</v>
      </c>
      <c r="G2060" s="57" t="s">
        <v>3810</v>
      </c>
      <c r="H2060" s="57" t="s">
        <v>343</v>
      </c>
    </row>
    <row r="2061" spans="2:9" ht="13.5" customHeight="1">
      <c r="B2061" s="57" t="s">
        <v>3672</v>
      </c>
      <c r="D2061" s="57" t="s">
        <v>3674</v>
      </c>
      <c r="F2061" s="57">
        <v>20</v>
      </c>
      <c r="G2061" s="57" t="s">
        <v>3810</v>
      </c>
      <c r="H2061" s="57" t="s">
        <v>343</v>
      </c>
    </row>
    <row r="2062" spans="2:9" ht="13.5" customHeight="1">
      <c r="B2062" s="57" t="s">
        <v>3693</v>
      </c>
      <c r="D2062" s="57" t="s">
        <v>3694</v>
      </c>
      <c r="F2062" s="57">
        <v>25</v>
      </c>
      <c r="G2062" s="57" t="s">
        <v>3810</v>
      </c>
      <c r="H2062" s="57" t="s">
        <v>343</v>
      </c>
    </row>
    <row r="2063" spans="2:9" ht="13.5" customHeight="1">
      <c r="B2063" s="57" t="s">
        <v>3686</v>
      </c>
      <c r="D2063" s="57" t="s">
        <v>3687</v>
      </c>
      <c r="F2063" s="57">
        <v>29</v>
      </c>
      <c r="G2063" s="57" t="s">
        <v>3810</v>
      </c>
      <c r="H2063" s="57" t="s">
        <v>343</v>
      </c>
    </row>
    <row r="2064" spans="2:9" ht="13.5" customHeight="1">
      <c r="B2064" s="57" t="s">
        <v>3672</v>
      </c>
      <c r="D2064" s="57" t="s">
        <v>3673</v>
      </c>
      <c r="F2064" s="57">
        <v>29</v>
      </c>
      <c r="G2064" s="57" t="s">
        <v>3810</v>
      </c>
      <c r="H2064" s="57" t="s">
        <v>343</v>
      </c>
    </row>
    <row r="2065" spans="2:8" ht="13.5" customHeight="1">
      <c r="B2065" s="57" t="s">
        <v>3666</v>
      </c>
      <c r="D2065" s="57" t="s">
        <v>3667</v>
      </c>
      <c r="F2065" s="57">
        <v>51</v>
      </c>
      <c r="G2065" s="57" t="s">
        <v>3810</v>
      </c>
      <c r="H2065" s="57" t="s">
        <v>343</v>
      </c>
    </row>
    <row r="2066" spans="2:8" ht="13.5" customHeight="1">
      <c r="B2066" s="57" t="s">
        <v>3668</v>
      </c>
      <c r="D2066" s="57" t="s">
        <v>3669</v>
      </c>
      <c r="F2066" s="57">
        <v>108</v>
      </c>
      <c r="G2066" s="57" t="s">
        <v>3810</v>
      </c>
      <c r="H2066" s="57" t="s">
        <v>343</v>
      </c>
    </row>
    <row r="2067" spans="2:8" ht="13.5" customHeight="1">
      <c r="B2067" s="57" t="s">
        <v>3677</v>
      </c>
      <c r="D2067" s="57" t="s">
        <v>3678</v>
      </c>
      <c r="F2067" s="57">
        <v>116</v>
      </c>
      <c r="G2067" s="57" t="s">
        <v>3810</v>
      </c>
      <c r="H2067" s="57" t="s">
        <v>343</v>
      </c>
    </row>
    <row r="2068" spans="2:8" ht="13.5" customHeight="1">
      <c r="B2068" s="57" t="s">
        <v>3653</v>
      </c>
      <c r="D2068" s="57" t="s">
        <v>3654</v>
      </c>
      <c r="F2068" s="57">
        <v>395</v>
      </c>
      <c r="G2068" s="57" t="s">
        <v>3810</v>
      </c>
      <c r="H2068" s="57" t="s">
        <v>343</v>
      </c>
    </row>
    <row r="2069" spans="2:8" ht="13.5" customHeight="1">
      <c r="B2069" s="57" t="s">
        <v>3695</v>
      </c>
      <c r="D2069" s="57" t="s">
        <v>3696</v>
      </c>
      <c r="F2069" s="57">
        <v>448</v>
      </c>
      <c r="G2069" s="57" t="s">
        <v>3810</v>
      </c>
      <c r="H2069" s="57" t="s">
        <v>343</v>
      </c>
    </row>
    <row r="2070" spans="2:8" ht="13.5" customHeight="1">
      <c r="B2070" s="57" t="s">
        <v>3741</v>
      </c>
      <c r="D2070" s="68" t="s">
        <v>3743</v>
      </c>
      <c r="F2070" s="57">
        <v>2</v>
      </c>
      <c r="G2070" s="57" t="s">
        <v>3810</v>
      </c>
      <c r="H2070" s="57" t="s">
        <v>344</v>
      </c>
    </row>
    <row r="2071" spans="2:8" ht="13.5" customHeight="1">
      <c r="B2071" s="57" t="s">
        <v>3705</v>
      </c>
      <c r="D2071" s="57" t="s">
        <v>3706</v>
      </c>
      <c r="F2071" s="57">
        <v>2</v>
      </c>
      <c r="G2071" s="57" t="s">
        <v>3810</v>
      </c>
      <c r="H2071" s="57" t="s">
        <v>344</v>
      </c>
    </row>
    <row r="2072" spans="2:8" ht="13.5" customHeight="1">
      <c r="B2072" s="57" t="s">
        <v>3748</v>
      </c>
      <c r="D2072" s="57" t="s">
        <v>3749</v>
      </c>
      <c r="F2072" s="57">
        <v>2</v>
      </c>
      <c r="G2072" s="57" t="s">
        <v>3810</v>
      </c>
      <c r="H2072" s="57" t="s">
        <v>344</v>
      </c>
    </row>
    <row r="2073" spans="2:8" ht="13.5" customHeight="1">
      <c r="B2073" s="57" t="s">
        <v>3718</v>
      </c>
      <c r="D2073" s="57" t="s">
        <v>3719</v>
      </c>
      <c r="F2073" s="57">
        <v>3</v>
      </c>
      <c r="G2073" s="57" t="s">
        <v>3810</v>
      </c>
      <c r="H2073" s="57" t="s">
        <v>344</v>
      </c>
    </row>
    <row r="2074" spans="2:8" ht="13.5" customHeight="1">
      <c r="B2074" s="57" t="s">
        <v>3765</v>
      </c>
      <c r="D2074" s="57" t="s">
        <v>3766</v>
      </c>
      <c r="F2074" s="57">
        <v>3</v>
      </c>
      <c r="G2074" s="57" t="s">
        <v>3810</v>
      </c>
      <c r="H2074" s="57" t="s">
        <v>344</v>
      </c>
    </row>
    <row r="2075" spans="2:8" ht="13.5" customHeight="1">
      <c r="B2075" s="57" t="s">
        <v>3752</v>
      </c>
      <c r="D2075" s="57" t="s">
        <v>3753</v>
      </c>
      <c r="F2075" s="57">
        <v>3</v>
      </c>
      <c r="G2075" s="57" t="s">
        <v>3810</v>
      </c>
      <c r="H2075" s="57" t="s">
        <v>344</v>
      </c>
    </row>
    <row r="2076" spans="2:8" ht="13.5" customHeight="1">
      <c r="B2076" s="57" t="s">
        <v>3720</v>
      </c>
      <c r="D2076" s="57" t="s">
        <v>3721</v>
      </c>
      <c r="F2076" s="57">
        <v>4</v>
      </c>
      <c r="G2076" s="57" t="s">
        <v>3810</v>
      </c>
      <c r="H2076" s="57" t="s">
        <v>344</v>
      </c>
    </row>
    <row r="2077" spans="2:8" ht="13.5" customHeight="1">
      <c r="B2077" s="57" t="s">
        <v>3716</v>
      </c>
      <c r="D2077" s="57" t="s">
        <v>3717</v>
      </c>
      <c r="F2077" s="57">
        <v>5</v>
      </c>
      <c r="G2077" s="57" t="s">
        <v>3810</v>
      </c>
      <c r="H2077" s="57" t="s">
        <v>344</v>
      </c>
    </row>
    <row r="2078" spans="2:8" ht="13.5" customHeight="1">
      <c r="B2078" s="57" t="s">
        <v>3764</v>
      </c>
      <c r="D2078" s="57" t="s">
        <v>877</v>
      </c>
      <c r="F2078" s="57">
        <v>5</v>
      </c>
      <c r="G2078" s="57" t="s">
        <v>3810</v>
      </c>
      <c r="H2078" s="57" t="s">
        <v>344</v>
      </c>
    </row>
    <row r="2079" spans="2:8" ht="13.5" customHeight="1">
      <c r="B2079" s="57" t="s">
        <v>3663</v>
      </c>
      <c r="D2079" s="57" t="s">
        <v>3664</v>
      </c>
      <c r="F2079" s="57">
        <v>9</v>
      </c>
      <c r="G2079" s="57" t="s">
        <v>3810</v>
      </c>
      <c r="H2079" s="57" t="s">
        <v>344</v>
      </c>
    </row>
    <row r="2080" spans="2:8" ht="13.5" customHeight="1">
      <c r="B2080" s="57" t="s">
        <v>3773</v>
      </c>
      <c r="D2080" s="57" t="s">
        <v>3103</v>
      </c>
      <c r="F2080" s="57">
        <v>10</v>
      </c>
      <c r="G2080" s="57" t="s">
        <v>3810</v>
      </c>
      <c r="H2080" s="57" t="s">
        <v>344</v>
      </c>
    </row>
    <row r="2081" spans="2:8" ht="13.5" customHeight="1">
      <c r="B2081" s="57" t="s">
        <v>3689</v>
      </c>
      <c r="D2081" s="57" t="s">
        <v>3690</v>
      </c>
      <c r="F2081" s="57">
        <v>19</v>
      </c>
      <c r="G2081" s="57" t="s">
        <v>3810</v>
      </c>
      <c r="H2081" s="57" t="s">
        <v>344</v>
      </c>
    </row>
    <row r="2082" spans="2:8" ht="13.5" customHeight="1">
      <c r="B2082" s="68" t="s">
        <v>3777</v>
      </c>
      <c r="D2082" s="57" t="s">
        <v>3778</v>
      </c>
      <c r="F2082" s="57">
        <v>21</v>
      </c>
      <c r="G2082" s="57" t="s">
        <v>3810</v>
      </c>
      <c r="H2082" s="57" t="s">
        <v>344</v>
      </c>
    </row>
    <row r="2083" spans="2:8" ht="13.5" customHeight="1">
      <c r="B2083" s="57" t="s">
        <v>3657</v>
      </c>
      <c r="D2083" s="57" t="s">
        <v>3658</v>
      </c>
      <c r="F2083" s="57">
        <v>26</v>
      </c>
      <c r="G2083" s="57" t="s">
        <v>3810</v>
      </c>
      <c r="H2083" s="57" t="s">
        <v>344</v>
      </c>
    </row>
    <row r="2084" spans="2:8" ht="13.5" customHeight="1">
      <c r="B2084" s="57" t="s">
        <v>3769</v>
      </c>
      <c r="D2084" s="57" t="s">
        <v>3770</v>
      </c>
      <c r="F2084" s="57">
        <v>40</v>
      </c>
      <c r="G2084" s="57" t="s">
        <v>3810</v>
      </c>
      <c r="H2084" s="57" t="s">
        <v>344</v>
      </c>
    </row>
    <row r="2085" spans="2:8" ht="13.5" customHeight="1">
      <c r="B2085" s="57" t="s">
        <v>3739</v>
      </c>
      <c r="D2085" s="57" t="s">
        <v>3740</v>
      </c>
      <c r="F2085" s="57">
        <v>57</v>
      </c>
      <c r="G2085" s="57" t="s">
        <v>3810</v>
      </c>
      <c r="H2085" s="57" t="s">
        <v>344</v>
      </c>
    </row>
    <row r="2086" spans="2:8" ht="13.5" customHeight="1">
      <c r="B2086" s="57" t="s">
        <v>3665</v>
      </c>
      <c r="D2086" s="57" t="s">
        <v>3171</v>
      </c>
      <c r="F2086" s="57">
        <v>63</v>
      </c>
      <c r="G2086" s="57" t="s">
        <v>3810</v>
      </c>
      <c r="H2086" s="57" t="s">
        <v>344</v>
      </c>
    </row>
    <row r="2087" spans="2:8" ht="13.5" customHeight="1">
      <c r="B2087" s="57" t="s">
        <v>3714</v>
      </c>
      <c r="D2087" s="57" t="s">
        <v>3715</v>
      </c>
      <c r="F2087" s="57">
        <v>81</v>
      </c>
      <c r="G2087" s="57" t="s">
        <v>3810</v>
      </c>
      <c r="H2087" s="57" t="s">
        <v>344</v>
      </c>
    </row>
    <row r="2088" spans="2:8" ht="13.5" customHeight="1">
      <c r="B2088" s="57" t="s">
        <v>3741</v>
      </c>
      <c r="D2088" s="57" t="s">
        <v>3742</v>
      </c>
      <c r="F2088" s="57">
        <v>1</v>
      </c>
      <c r="G2088" s="57" t="s">
        <v>3810</v>
      </c>
      <c r="H2088" s="57" t="s">
        <v>345</v>
      </c>
    </row>
    <row r="2089" spans="2:8" ht="13.5" customHeight="1">
      <c r="B2089" s="57" t="s">
        <v>3681</v>
      </c>
      <c r="D2089" s="57" t="s">
        <v>3682</v>
      </c>
      <c r="F2089" s="57">
        <v>1</v>
      </c>
      <c r="G2089" s="57" t="s">
        <v>3810</v>
      </c>
      <c r="H2089" s="57" t="s">
        <v>345</v>
      </c>
    </row>
    <row r="2090" spans="2:8" ht="13.5" customHeight="1">
      <c r="B2090" s="57" t="s">
        <v>3683</v>
      </c>
      <c r="D2090" s="57" t="s">
        <v>3684</v>
      </c>
      <c r="F2090" s="57">
        <v>1</v>
      </c>
      <c r="G2090" s="57" t="s">
        <v>3810</v>
      </c>
      <c r="H2090" s="57" t="s">
        <v>345</v>
      </c>
    </row>
    <row r="2091" spans="2:8" ht="13.5" customHeight="1">
      <c r="B2091" s="57" t="s">
        <v>3767</v>
      </c>
      <c r="D2091" s="57" t="s">
        <v>3768</v>
      </c>
      <c r="F2091" s="57">
        <v>1</v>
      </c>
      <c r="G2091" s="57" t="s">
        <v>3810</v>
      </c>
      <c r="H2091" s="57" t="s">
        <v>345</v>
      </c>
    </row>
    <row r="2092" spans="2:8" ht="13.5" customHeight="1">
      <c r="B2092" s="57" t="s">
        <v>3763</v>
      </c>
      <c r="D2092" s="68" t="s">
        <v>939</v>
      </c>
      <c r="F2092" s="57">
        <v>2</v>
      </c>
      <c r="G2092" s="57" t="s">
        <v>3810</v>
      </c>
      <c r="H2092" s="57" t="s">
        <v>345</v>
      </c>
    </row>
    <row r="2093" spans="2:8" ht="13.5" customHeight="1">
      <c r="B2093" s="57" t="s">
        <v>3744</v>
      </c>
      <c r="D2093" s="57" t="s">
        <v>3745</v>
      </c>
      <c r="F2093" s="57">
        <v>2</v>
      </c>
      <c r="G2093" s="57" t="s">
        <v>3810</v>
      </c>
      <c r="H2093" s="57" t="s">
        <v>345</v>
      </c>
    </row>
    <row r="2094" spans="2:8" ht="13.5" customHeight="1">
      <c r="B2094" s="57" t="s">
        <v>3779</v>
      </c>
      <c r="D2094" s="57" t="s">
        <v>3780</v>
      </c>
      <c r="F2094" s="57">
        <v>6</v>
      </c>
      <c r="G2094" s="57" t="s">
        <v>3810</v>
      </c>
      <c r="H2094" s="57" t="s">
        <v>345</v>
      </c>
    </row>
    <row r="2095" spans="2:8" ht="13.5" customHeight="1">
      <c r="B2095" s="57" t="s">
        <v>3775</v>
      </c>
      <c r="D2095" s="57" t="s">
        <v>3776</v>
      </c>
      <c r="F2095" s="57">
        <v>9</v>
      </c>
      <c r="G2095" s="57" t="s">
        <v>3810</v>
      </c>
      <c r="H2095" s="57" t="s">
        <v>345</v>
      </c>
    </row>
    <row r="2096" spans="2:8" ht="13.5" customHeight="1">
      <c r="B2096" s="57" t="s">
        <v>3762</v>
      </c>
      <c r="D2096" s="57" t="s">
        <v>477</v>
      </c>
      <c r="F2096" s="57">
        <v>10</v>
      </c>
      <c r="G2096" s="57" t="s">
        <v>3810</v>
      </c>
      <c r="H2096" s="57" t="s">
        <v>345</v>
      </c>
    </row>
    <row r="2097" spans="2:8" ht="13.5" customHeight="1">
      <c r="B2097" s="57" t="s">
        <v>3725</v>
      </c>
      <c r="D2097" s="57" t="s">
        <v>3175</v>
      </c>
      <c r="F2097" s="57">
        <v>14</v>
      </c>
      <c r="G2097" s="57" t="s">
        <v>3810</v>
      </c>
      <c r="H2097" s="57" t="s">
        <v>345</v>
      </c>
    </row>
    <row r="2098" spans="2:8" ht="13.5" customHeight="1">
      <c r="B2098" s="57" t="s">
        <v>3733</v>
      </c>
      <c r="D2098" s="57" t="s">
        <v>3734</v>
      </c>
      <c r="F2098" s="57">
        <v>15</v>
      </c>
      <c r="G2098" s="57" t="s">
        <v>3810</v>
      </c>
      <c r="H2098" s="57" t="s">
        <v>345</v>
      </c>
    </row>
    <row r="2099" spans="2:8" ht="13.5" customHeight="1">
      <c r="B2099" s="57" t="s">
        <v>3723</v>
      </c>
      <c r="D2099" s="57" t="s">
        <v>3177</v>
      </c>
      <c r="F2099" s="57">
        <v>15</v>
      </c>
      <c r="G2099" s="57" t="s">
        <v>3810</v>
      </c>
      <c r="H2099" s="57" t="s">
        <v>345</v>
      </c>
    </row>
    <row r="2100" spans="2:8" ht="13.5" customHeight="1">
      <c r="B2100" s="57" t="s">
        <v>3726</v>
      </c>
      <c r="D2100" s="57" t="s">
        <v>3727</v>
      </c>
      <c r="F2100" s="57">
        <v>18</v>
      </c>
      <c r="G2100" s="57" t="s">
        <v>3810</v>
      </c>
      <c r="H2100" s="57" t="s">
        <v>345</v>
      </c>
    </row>
    <row r="2101" spans="2:8" ht="13.5" customHeight="1">
      <c r="B2101" s="57" t="s">
        <v>3731</v>
      </c>
      <c r="D2101" s="57" t="s">
        <v>3732</v>
      </c>
      <c r="F2101" s="57">
        <v>30</v>
      </c>
      <c r="G2101" s="57" t="s">
        <v>3810</v>
      </c>
      <c r="H2101" s="57" t="s">
        <v>345</v>
      </c>
    </row>
    <row r="2102" spans="2:8" ht="13.5" customHeight="1">
      <c r="B2102" s="57" t="s">
        <v>3697</v>
      </c>
      <c r="D2102" s="57" t="s">
        <v>3698</v>
      </c>
      <c r="F2102" s="57">
        <v>42</v>
      </c>
      <c r="G2102" s="57" t="s">
        <v>3810</v>
      </c>
      <c r="H2102" s="57" t="s">
        <v>345</v>
      </c>
    </row>
    <row r="2103" spans="2:8" ht="13.5" customHeight="1">
      <c r="B2103" s="57" t="s">
        <v>3703</v>
      </c>
      <c r="D2103" s="57" t="s">
        <v>3704</v>
      </c>
      <c r="F2103" s="57">
        <v>200</v>
      </c>
      <c r="G2103" s="57" t="s">
        <v>3810</v>
      </c>
      <c r="H2103" s="57" t="s">
        <v>345</v>
      </c>
    </row>
    <row r="2104" spans="2:8" ht="13.5" customHeight="1">
      <c r="B2104" s="57" t="s">
        <v>3699</v>
      </c>
      <c r="D2104" s="57" t="s">
        <v>3700</v>
      </c>
      <c r="F2104" s="57">
        <v>200</v>
      </c>
      <c r="G2104" s="57" t="s">
        <v>3810</v>
      </c>
      <c r="H2104" s="57" t="s">
        <v>345</v>
      </c>
    </row>
    <row r="2105" spans="2:8" ht="13.5" customHeight="1">
      <c r="B2105" s="57" t="s">
        <v>3746</v>
      </c>
      <c r="D2105" s="57" t="s">
        <v>3747</v>
      </c>
      <c r="F2105" s="57">
        <v>243</v>
      </c>
      <c r="G2105" s="57" t="s">
        <v>3810</v>
      </c>
      <c r="H2105" s="57" t="s">
        <v>345</v>
      </c>
    </row>
    <row r="2106" spans="2:8" ht="13.5" customHeight="1">
      <c r="B2106" s="57" t="s">
        <v>3701</v>
      </c>
      <c r="D2106" s="57" t="s">
        <v>3702</v>
      </c>
      <c r="F2106" s="57">
        <v>500</v>
      </c>
      <c r="G2106" s="57" t="s">
        <v>3810</v>
      </c>
      <c r="H2106" s="57" t="s">
        <v>345</v>
      </c>
    </row>
    <row r="2107" spans="2:8" ht="13.5" customHeight="1">
      <c r="B2107" s="57" t="s">
        <v>601</v>
      </c>
      <c r="D2107" s="57" t="s">
        <v>3707</v>
      </c>
      <c r="F2107" s="57">
        <v>3</v>
      </c>
      <c r="G2107" s="57" t="s">
        <v>3810</v>
      </c>
      <c r="H2107" s="57" t="s">
        <v>919</v>
      </c>
    </row>
    <row r="2108" spans="2:8" ht="13.5" customHeight="1">
      <c r="B2108" s="57" t="s">
        <v>3582</v>
      </c>
      <c r="D2108" s="57" t="s">
        <v>1104</v>
      </c>
      <c r="F2108" s="57">
        <v>5</v>
      </c>
      <c r="G2108" s="57" t="s">
        <v>3810</v>
      </c>
      <c r="H2108" s="57" t="s">
        <v>919</v>
      </c>
    </row>
    <row r="2109" spans="2:8" ht="13.5" customHeight="1">
      <c r="B2109" s="57" t="s">
        <v>3736</v>
      </c>
      <c r="D2109" s="57" t="s">
        <v>3737</v>
      </c>
      <c r="F2109" s="57">
        <v>7</v>
      </c>
      <c r="G2109" s="57" t="s">
        <v>3810</v>
      </c>
      <c r="H2109" s="57" t="s">
        <v>919</v>
      </c>
    </row>
    <row r="2110" spans="2:8" ht="13.5" customHeight="1">
      <c r="B2110" s="57" t="s">
        <v>3679</v>
      </c>
      <c r="D2110" s="57" t="s">
        <v>3680</v>
      </c>
      <c r="F2110" s="57">
        <v>9</v>
      </c>
      <c r="G2110" s="57" t="s">
        <v>3810</v>
      </c>
      <c r="H2110" s="57" t="s">
        <v>919</v>
      </c>
    </row>
    <row r="2111" spans="2:8" ht="13.5" customHeight="1">
      <c r="B2111" s="57" t="s">
        <v>3728</v>
      </c>
      <c r="D2111" s="57" t="s">
        <v>3729</v>
      </c>
      <c r="F2111" s="57">
        <v>47</v>
      </c>
      <c r="G2111" s="57" t="s">
        <v>3810</v>
      </c>
      <c r="H2111" s="57" t="s">
        <v>919</v>
      </c>
    </row>
    <row r="2112" spans="2:8" ht="13.5" customHeight="1">
      <c r="B2112" s="57" t="s">
        <v>3750</v>
      </c>
      <c r="D2112" s="57" t="s">
        <v>3751</v>
      </c>
      <c r="F2112" s="57">
        <v>102</v>
      </c>
      <c r="G2112" s="57" t="s">
        <v>3810</v>
      </c>
      <c r="H2112" s="57" t="s">
        <v>919</v>
      </c>
    </row>
    <row r="2113" spans="2:9" ht="13.5" customHeight="1">
      <c r="B2113" s="57" t="s">
        <v>1716</v>
      </c>
      <c r="D2113" s="57" t="s">
        <v>1409</v>
      </c>
      <c r="F2113" s="57">
        <v>390</v>
      </c>
      <c r="G2113" s="57" t="s">
        <v>3810</v>
      </c>
      <c r="H2113" s="57" t="s">
        <v>919</v>
      </c>
      <c r="I2113" s="57" t="s">
        <v>3806</v>
      </c>
    </row>
    <row r="2114" spans="2:9" ht="13.5" customHeight="1">
      <c r="B2114" s="57" t="s">
        <v>1716</v>
      </c>
      <c r="D2114" s="57" t="s">
        <v>3722</v>
      </c>
      <c r="F2114" s="57">
        <v>800</v>
      </c>
      <c r="G2114" s="57" t="s">
        <v>3810</v>
      </c>
      <c r="H2114" s="57" t="s">
        <v>919</v>
      </c>
      <c r="I2114" s="57" t="s">
        <v>3805</v>
      </c>
    </row>
    <row r="2115" spans="2:9" ht="13.5" customHeight="1">
      <c r="B2115" s="57" t="s">
        <v>3788</v>
      </c>
      <c r="D2115" s="57" t="s">
        <v>3789</v>
      </c>
      <c r="F2115" s="57">
        <v>2</v>
      </c>
      <c r="G2115" s="57" t="s">
        <v>3810</v>
      </c>
      <c r="H2115" s="57" t="s">
        <v>918</v>
      </c>
      <c r="I2115" s="57" t="s">
        <v>3808</v>
      </c>
    </row>
    <row r="2116" spans="2:9" ht="13.5" customHeight="1">
      <c r="B2116" s="57" t="s">
        <v>3708</v>
      </c>
      <c r="D2116" s="57" t="s">
        <v>3709</v>
      </c>
      <c r="F2116" s="57">
        <v>2</v>
      </c>
      <c r="G2116" s="57" t="s">
        <v>3810</v>
      </c>
      <c r="H2116" s="57" t="s">
        <v>918</v>
      </c>
    </row>
    <row r="2117" spans="2:9" ht="13.5" customHeight="1">
      <c r="B2117" s="57" t="s">
        <v>3712</v>
      </c>
      <c r="D2117" s="57" t="s">
        <v>3713</v>
      </c>
      <c r="F2117" s="57">
        <v>4</v>
      </c>
      <c r="G2117" s="57" t="s">
        <v>3810</v>
      </c>
      <c r="H2117" s="57" t="s">
        <v>918</v>
      </c>
    </row>
    <row r="2118" spans="2:9" ht="13.5" customHeight="1">
      <c r="B2118" s="57" t="s">
        <v>3710</v>
      </c>
      <c r="D2118" s="57" t="s">
        <v>3711</v>
      </c>
      <c r="F2118" s="57">
        <v>14</v>
      </c>
      <c r="G2118" s="57" t="s">
        <v>3810</v>
      </c>
      <c r="H2118" s="57" t="s">
        <v>918</v>
      </c>
      <c r="I2118" s="57" t="s">
        <v>3804</v>
      </c>
    </row>
    <row r="2119" spans="2:9" ht="13.5" customHeight="1">
      <c r="B2119" s="57" t="s">
        <v>3758</v>
      </c>
      <c r="D2119" s="57" t="s">
        <v>3759</v>
      </c>
      <c r="F2119" s="57">
        <v>102</v>
      </c>
      <c r="G2119" s="57" t="s">
        <v>3810</v>
      </c>
      <c r="H2119" s="57" t="s">
        <v>918</v>
      </c>
      <c r="I2119" s="57" t="s">
        <v>3807</v>
      </c>
    </row>
    <row r="2120" spans="2:9" ht="13.5" customHeight="1">
      <c r="B2120" s="57" t="s">
        <v>3786</v>
      </c>
      <c r="D2120" s="68" t="s">
        <v>3787</v>
      </c>
      <c r="E2120" s="57" t="s">
        <v>3664</v>
      </c>
      <c r="F2120" s="57">
        <v>110</v>
      </c>
      <c r="G2120" s="57" t="s">
        <v>3810</v>
      </c>
      <c r="H2120" s="57" t="s">
        <v>918</v>
      </c>
    </row>
    <row r="2121" spans="2:9" ht="13.5" customHeight="1">
      <c r="B2121" s="57" t="s">
        <v>3661</v>
      </c>
      <c r="D2121" s="68" t="s">
        <v>3662</v>
      </c>
      <c r="F2121" s="57">
        <v>198</v>
      </c>
      <c r="G2121" s="57" t="s">
        <v>3810</v>
      </c>
      <c r="H2121" s="57" t="s">
        <v>918</v>
      </c>
      <c r="I2121" s="57" t="s">
        <v>3804</v>
      </c>
    </row>
    <row r="2122" spans="2:9" ht="13.5" customHeight="1">
      <c r="B2122" s="57" t="s">
        <v>3782</v>
      </c>
      <c r="D2122" s="57" t="s">
        <v>3783</v>
      </c>
      <c r="F2122" s="57">
        <v>2</v>
      </c>
      <c r="G2122" s="57" t="s">
        <v>3810</v>
      </c>
      <c r="H2122" s="57" t="s">
        <v>1114</v>
      </c>
    </row>
    <row r="2123" spans="2:9" ht="13.5" customHeight="1">
      <c r="B2123" s="57" t="s">
        <v>3754</v>
      </c>
      <c r="D2123" s="57" t="s">
        <v>3755</v>
      </c>
      <c r="F2123" s="57">
        <v>2</v>
      </c>
      <c r="G2123" s="57" t="s">
        <v>3810</v>
      </c>
      <c r="H2123" s="57" t="s">
        <v>1114</v>
      </c>
    </row>
    <row r="2124" spans="2:9" ht="13.5" customHeight="1">
      <c r="B2124" s="57" t="s">
        <v>3760</v>
      </c>
      <c r="D2124" s="57" t="s">
        <v>3761</v>
      </c>
      <c r="F2124" s="57">
        <v>4</v>
      </c>
      <c r="G2124" s="57" t="s">
        <v>3810</v>
      </c>
      <c r="H2124" s="57" t="s">
        <v>1114</v>
      </c>
    </row>
    <row r="2125" spans="2:9" ht="13.5" customHeight="1">
      <c r="B2125" s="57" t="s">
        <v>3784</v>
      </c>
      <c r="D2125" s="57" t="s">
        <v>3785</v>
      </c>
      <c r="F2125" s="57">
        <v>10</v>
      </c>
      <c r="G2125" s="57" t="s">
        <v>3810</v>
      </c>
      <c r="H2125" s="57" t="s">
        <v>1114</v>
      </c>
    </row>
    <row r="2126" spans="2:9" ht="13.5" customHeight="1">
      <c r="B2126" s="57" t="s">
        <v>3926</v>
      </c>
      <c r="D2126" s="57" t="s">
        <v>3927</v>
      </c>
      <c r="F2126" s="57">
        <v>1</v>
      </c>
      <c r="G2126" s="57" t="s">
        <v>3952</v>
      </c>
      <c r="H2126" s="57" t="s">
        <v>343</v>
      </c>
    </row>
    <row r="2127" spans="2:9" ht="13.5" customHeight="1">
      <c r="B2127" s="57" t="s">
        <v>3886</v>
      </c>
      <c r="D2127" s="57" t="s">
        <v>3887</v>
      </c>
      <c r="F2127" s="57">
        <v>1</v>
      </c>
      <c r="G2127" s="57" t="s">
        <v>3952</v>
      </c>
      <c r="H2127" s="57" t="s">
        <v>343</v>
      </c>
    </row>
    <row r="2128" spans="2:9" ht="13.5" customHeight="1">
      <c r="D2128" s="57" t="s">
        <v>3811</v>
      </c>
      <c r="F2128" s="57">
        <v>1</v>
      </c>
      <c r="G2128" s="57" t="s">
        <v>3952</v>
      </c>
      <c r="H2128" s="57" t="s">
        <v>343</v>
      </c>
    </row>
    <row r="2129" spans="2:8" ht="13.5" customHeight="1">
      <c r="B2129" s="57" t="s">
        <v>3862</v>
      </c>
      <c r="D2129" s="57" t="s">
        <v>3863</v>
      </c>
      <c r="F2129" s="57">
        <v>2</v>
      </c>
      <c r="G2129" s="57" t="s">
        <v>3952</v>
      </c>
      <c r="H2129" s="57" t="s">
        <v>343</v>
      </c>
    </row>
    <row r="2130" spans="2:8" ht="13.5" customHeight="1">
      <c r="B2130" s="57" t="s">
        <v>3936</v>
      </c>
      <c r="D2130" s="60" t="s">
        <v>8306</v>
      </c>
      <c r="F2130" s="57">
        <v>2</v>
      </c>
      <c r="G2130" s="57" t="s">
        <v>3952</v>
      </c>
      <c r="H2130" s="57" t="s">
        <v>343</v>
      </c>
    </row>
    <row r="2131" spans="2:8" ht="13.5" customHeight="1">
      <c r="B2131" s="57" t="s">
        <v>3937</v>
      </c>
      <c r="D2131" s="57" t="s">
        <v>3938</v>
      </c>
      <c r="F2131" s="57">
        <v>2</v>
      </c>
      <c r="G2131" s="57" t="s">
        <v>3952</v>
      </c>
      <c r="H2131" s="57" t="s">
        <v>343</v>
      </c>
    </row>
    <row r="2132" spans="2:8" ht="13.5" customHeight="1">
      <c r="B2132" s="57" t="s">
        <v>3846</v>
      </c>
      <c r="D2132" s="57" t="s">
        <v>3847</v>
      </c>
      <c r="F2132" s="57">
        <v>2</v>
      </c>
      <c r="G2132" s="57" t="s">
        <v>3952</v>
      </c>
      <c r="H2132" s="57" t="s">
        <v>343</v>
      </c>
    </row>
    <row r="2133" spans="2:8" ht="13.5" customHeight="1">
      <c r="B2133" s="57" t="s">
        <v>3858</v>
      </c>
      <c r="D2133" s="57" t="s">
        <v>3859</v>
      </c>
      <c r="F2133" s="57">
        <v>3</v>
      </c>
      <c r="G2133" s="57" t="s">
        <v>3952</v>
      </c>
      <c r="H2133" s="57" t="s">
        <v>343</v>
      </c>
    </row>
    <row r="2134" spans="2:8" ht="13.5" customHeight="1">
      <c r="B2134" s="57" t="s">
        <v>3880</v>
      </c>
      <c r="D2134" s="57" t="s">
        <v>3881</v>
      </c>
      <c r="F2134" s="57">
        <v>3</v>
      </c>
      <c r="G2134" s="57" t="s">
        <v>3952</v>
      </c>
      <c r="H2134" s="57" t="s">
        <v>343</v>
      </c>
    </row>
    <row r="2135" spans="2:8" ht="13.5" customHeight="1">
      <c r="B2135" s="57" t="s">
        <v>3935</v>
      </c>
      <c r="D2135" s="60" t="s">
        <v>3198</v>
      </c>
      <c r="F2135" s="57">
        <v>4</v>
      </c>
      <c r="G2135" s="57" t="s">
        <v>3952</v>
      </c>
      <c r="H2135" s="57" t="s">
        <v>343</v>
      </c>
    </row>
    <row r="2136" spans="2:8" ht="13.5" customHeight="1">
      <c r="B2136" s="57" t="s">
        <v>3929</v>
      </c>
      <c r="D2136" s="57" t="s">
        <v>3930</v>
      </c>
      <c r="F2136" s="57">
        <v>4</v>
      </c>
      <c r="G2136" s="57" t="s">
        <v>3952</v>
      </c>
      <c r="H2136" s="57" t="s">
        <v>343</v>
      </c>
    </row>
    <row r="2137" spans="2:8" ht="13.5" customHeight="1">
      <c r="B2137" s="57" t="s">
        <v>3834</v>
      </c>
      <c r="D2137" s="68" t="s">
        <v>3835</v>
      </c>
      <c r="F2137" s="57">
        <v>5</v>
      </c>
      <c r="G2137" s="57" t="s">
        <v>3952</v>
      </c>
      <c r="H2137" s="57" t="s">
        <v>343</v>
      </c>
    </row>
    <row r="2138" spans="2:8" ht="13.5" customHeight="1">
      <c r="B2138" s="57" t="s">
        <v>3836</v>
      </c>
      <c r="D2138" s="57" t="s">
        <v>3837</v>
      </c>
      <c r="F2138" s="57">
        <v>5</v>
      </c>
      <c r="G2138" s="57" t="s">
        <v>3952</v>
      </c>
      <c r="H2138" s="57" t="s">
        <v>343</v>
      </c>
    </row>
    <row r="2139" spans="2:8" ht="13.5" customHeight="1">
      <c r="B2139" s="57" t="s">
        <v>3943</v>
      </c>
      <c r="D2139" s="57" t="s">
        <v>3944</v>
      </c>
      <c r="F2139" s="57">
        <v>5</v>
      </c>
      <c r="G2139" s="57" t="s">
        <v>3952</v>
      </c>
      <c r="H2139" s="57" t="s">
        <v>343</v>
      </c>
    </row>
    <row r="2140" spans="2:8" ht="13.5" customHeight="1">
      <c r="D2140" s="57" t="s">
        <v>3812</v>
      </c>
      <c r="F2140" s="57">
        <v>5</v>
      </c>
      <c r="G2140" s="57" t="s">
        <v>3952</v>
      </c>
      <c r="H2140" s="57" t="s">
        <v>343</v>
      </c>
    </row>
    <row r="2141" spans="2:8" ht="13.5" customHeight="1">
      <c r="B2141" s="57" t="s">
        <v>3931</v>
      </c>
      <c r="D2141" s="57" t="s">
        <v>3932</v>
      </c>
      <c r="F2141" s="57">
        <v>6</v>
      </c>
      <c r="G2141" s="57" t="s">
        <v>3952</v>
      </c>
      <c r="H2141" s="57" t="s">
        <v>343</v>
      </c>
    </row>
    <row r="2142" spans="2:8" ht="13.5" customHeight="1">
      <c r="B2142" s="57" t="s">
        <v>3950</v>
      </c>
      <c r="D2142" s="57" t="s">
        <v>3951</v>
      </c>
      <c r="F2142" s="57">
        <v>6</v>
      </c>
      <c r="G2142" s="57" t="s">
        <v>3952</v>
      </c>
      <c r="H2142" s="57" t="s">
        <v>343</v>
      </c>
    </row>
    <row r="2143" spans="2:8" ht="13.5" customHeight="1">
      <c r="B2143" s="57" t="s">
        <v>3824</v>
      </c>
      <c r="D2143" s="57" t="s">
        <v>3825</v>
      </c>
      <c r="F2143" s="57">
        <v>7</v>
      </c>
      <c r="G2143" s="57" t="s">
        <v>3952</v>
      </c>
      <c r="H2143" s="57" t="s">
        <v>343</v>
      </c>
    </row>
    <row r="2144" spans="2:8" ht="13.5" customHeight="1">
      <c r="B2144" s="57" t="s">
        <v>3848</v>
      </c>
      <c r="D2144" s="57" t="s">
        <v>3849</v>
      </c>
      <c r="F2144" s="57">
        <v>7</v>
      </c>
      <c r="G2144" s="57" t="s">
        <v>3952</v>
      </c>
      <c r="H2144" s="57" t="s">
        <v>343</v>
      </c>
    </row>
    <row r="2145" spans="2:8" ht="13.5" customHeight="1">
      <c r="B2145" s="57" t="s">
        <v>3874</v>
      </c>
      <c r="D2145" s="57" t="s">
        <v>3875</v>
      </c>
      <c r="F2145" s="57">
        <v>9</v>
      </c>
      <c r="G2145" s="57" t="s">
        <v>3952</v>
      </c>
      <c r="H2145" s="57" t="s">
        <v>343</v>
      </c>
    </row>
    <row r="2146" spans="2:8" ht="13.5" customHeight="1">
      <c r="B2146" s="57" t="s">
        <v>3860</v>
      </c>
      <c r="D2146" s="57" t="s">
        <v>3861</v>
      </c>
      <c r="F2146" s="57">
        <v>9</v>
      </c>
      <c r="G2146" s="57" t="s">
        <v>3952</v>
      </c>
      <c r="H2146" s="57" t="s">
        <v>343</v>
      </c>
    </row>
    <row r="2147" spans="2:8" ht="13.5" customHeight="1">
      <c r="B2147" s="57" t="s">
        <v>3815</v>
      </c>
      <c r="D2147" s="57" t="s">
        <v>3816</v>
      </c>
      <c r="F2147" s="57">
        <v>10</v>
      </c>
      <c r="G2147" s="57" t="s">
        <v>3952</v>
      </c>
      <c r="H2147" s="57" t="s">
        <v>343</v>
      </c>
    </row>
    <row r="2148" spans="2:8" ht="13.5" customHeight="1">
      <c r="B2148" s="57" t="s">
        <v>3819</v>
      </c>
      <c r="D2148" s="57" t="s">
        <v>3820</v>
      </c>
      <c r="F2148" s="57">
        <v>10</v>
      </c>
      <c r="G2148" s="57" t="s">
        <v>3952</v>
      </c>
      <c r="H2148" s="57" t="s">
        <v>343</v>
      </c>
    </row>
    <row r="2149" spans="2:8" ht="13.5" customHeight="1">
      <c r="B2149" s="57" t="s">
        <v>3865</v>
      </c>
      <c r="D2149" s="60" t="s">
        <v>8298</v>
      </c>
      <c r="F2149" s="57">
        <v>12</v>
      </c>
      <c r="G2149" s="57" t="s">
        <v>3952</v>
      </c>
      <c r="H2149" s="57" t="s">
        <v>343</v>
      </c>
    </row>
    <row r="2150" spans="2:8" ht="13.5" customHeight="1">
      <c r="B2150" s="57" t="s">
        <v>3817</v>
      </c>
      <c r="D2150" s="60" t="s">
        <v>8300</v>
      </c>
      <c r="F2150" s="57">
        <v>13</v>
      </c>
      <c r="G2150" s="57" t="s">
        <v>3952</v>
      </c>
      <c r="H2150" s="57" t="s">
        <v>343</v>
      </c>
    </row>
    <row r="2151" spans="2:8" ht="13.5" customHeight="1">
      <c r="B2151" s="57" t="s">
        <v>3831</v>
      </c>
      <c r="D2151" s="57" t="s">
        <v>3832</v>
      </c>
      <c r="E2151" s="57" t="s">
        <v>3833</v>
      </c>
      <c r="F2151" s="57">
        <v>16</v>
      </c>
      <c r="G2151" s="57" t="s">
        <v>3952</v>
      </c>
      <c r="H2151" s="57" t="s">
        <v>343</v>
      </c>
    </row>
    <row r="2152" spans="2:8" ht="13.5" customHeight="1">
      <c r="B2152" s="57" t="s">
        <v>3948</v>
      </c>
      <c r="D2152" s="57" t="s">
        <v>3949</v>
      </c>
      <c r="F2152" s="57">
        <v>17</v>
      </c>
      <c r="G2152" s="57" t="s">
        <v>3952</v>
      </c>
      <c r="H2152" s="57" t="s">
        <v>343</v>
      </c>
    </row>
    <row r="2153" spans="2:8" ht="13.5" customHeight="1">
      <c r="B2153" s="57" t="s">
        <v>3829</v>
      </c>
      <c r="D2153" s="57" t="s">
        <v>3830</v>
      </c>
      <c r="F2153" s="57">
        <v>24</v>
      </c>
      <c r="G2153" s="57" t="s">
        <v>3952</v>
      </c>
      <c r="H2153" s="57" t="s">
        <v>343</v>
      </c>
    </row>
    <row r="2154" spans="2:8" ht="13.5" customHeight="1">
      <c r="B2154" s="57" t="s">
        <v>3904</v>
      </c>
      <c r="D2154" s="57" t="s">
        <v>3905</v>
      </c>
      <c r="F2154" s="57">
        <v>26</v>
      </c>
      <c r="G2154" s="57" t="s">
        <v>3952</v>
      </c>
      <c r="H2154" s="57" t="s">
        <v>343</v>
      </c>
    </row>
    <row r="2155" spans="2:8" ht="13.5" customHeight="1">
      <c r="B2155" s="57" t="s">
        <v>3898</v>
      </c>
      <c r="D2155" s="57" t="s">
        <v>3899</v>
      </c>
      <c r="F2155" s="57">
        <v>40</v>
      </c>
      <c r="G2155" s="57" t="s">
        <v>3952</v>
      </c>
      <c r="H2155" s="57" t="s">
        <v>343</v>
      </c>
    </row>
    <row r="2156" spans="2:8" ht="13.5" customHeight="1">
      <c r="B2156" s="57" t="s">
        <v>3821</v>
      </c>
      <c r="D2156" s="60" t="s">
        <v>8307</v>
      </c>
      <c r="F2156" s="57">
        <v>40</v>
      </c>
      <c r="G2156" s="57" t="s">
        <v>3952</v>
      </c>
      <c r="H2156" s="57" t="s">
        <v>343</v>
      </c>
    </row>
    <row r="2157" spans="2:8" ht="13.5" customHeight="1">
      <c r="B2157" s="57" t="s">
        <v>3872</v>
      </c>
      <c r="D2157" s="57" t="s">
        <v>3873</v>
      </c>
      <c r="F2157" s="57">
        <v>41</v>
      </c>
      <c r="G2157" s="57" t="s">
        <v>3952</v>
      </c>
      <c r="H2157" s="57" t="s">
        <v>343</v>
      </c>
    </row>
    <row r="2158" spans="2:8" ht="13.5" customHeight="1">
      <c r="B2158" s="57" t="s">
        <v>3924</v>
      </c>
      <c r="D2158" s="57" t="s">
        <v>3925</v>
      </c>
      <c r="F2158" s="57">
        <v>43</v>
      </c>
      <c r="G2158" s="57" t="s">
        <v>3952</v>
      </c>
      <c r="H2158" s="57" t="s">
        <v>343</v>
      </c>
    </row>
    <row r="2159" spans="2:8" ht="13.5" customHeight="1">
      <c r="B2159" s="57" t="s">
        <v>3945</v>
      </c>
      <c r="D2159" s="57" t="s">
        <v>3946</v>
      </c>
      <c r="E2159" s="57" t="s">
        <v>3947</v>
      </c>
      <c r="F2159" s="57">
        <v>43</v>
      </c>
      <c r="G2159" s="57" t="s">
        <v>3952</v>
      </c>
      <c r="H2159" s="57" t="s">
        <v>343</v>
      </c>
    </row>
    <row r="2160" spans="2:8" ht="13.5" customHeight="1">
      <c r="B2160" s="57" t="s">
        <v>3922</v>
      </c>
      <c r="D2160" s="57" t="s">
        <v>3923</v>
      </c>
      <c r="F2160" s="57">
        <v>68</v>
      </c>
      <c r="G2160" s="57" t="s">
        <v>3952</v>
      </c>
      <c r="H2160" s="57" t="s">
        <v>343</v>
      </c>
    </row>
    <row r="2161" spans="2:8" ht="13.5" customHeight="1">
      <c r="B2161" s="57" t="s">
        <v>3870</v>
      </c>
      <c r="D2161" s="57" t="s">
        <v>3871</v>
      </c>
      <c r="F2161" s="57">
        <v>1</v>
      </c>
      <c r="G2161" s="57" t="s">
        <v>3952</v>
      </c>
      <c r="H2161" s="57" t="s">
        <v>344</v>
      </c>
    </row>
    <row r="2162" spans="2:8" ht="13.5" customHeight="1">
      <c r="B2162" s="57" t="s">
        <v>3850</v>
      </c>
      <c r="D2162" s="57" t="s">
        <v>3851</v>
      </c>
      <c r="F2162" s="57">
        <v>1</v>
      </c>
      <c r="G2162" s="57" t="s">
        <v>3952</v>
      </c>
      <c r="H2162" s="57" t="s">
        <v>344</v>
      </c>
    </row>
    <row r="2163" spans="2:8" ht="13.5" customHeight="1">
      <c r="B2163" s="57" t="s">
        <v>3856</v>
      </c>
      <c r="D2163" s="57" t="s">
        <v>3857</v>
      </c>
      <c r="F2163" s="57">
        <v>1</v>
      </c>
      <c r="G2163" s="57" t="s">
        <v>3952</v>
      </c>
      <c r="H2163" s="57" t="s">
        <v>344</v>
      </c>
    </row>
    <row r="2164" spans="2:8" ht="13.5" customHeight="1">
      <c r="B2164" s="57" t="s">
        <v>3864</v>
      </c>
      <c r="D2164" s="60" t="s">
        <v>8299</v>
      </c>
      <c r="F2164" s="57">
        <v>2</v>
      </c>
      <c r="G2164" s="57" t="s">
        <v>3952</v>
      </c>
      <c r="H2164" s="57" t="s">
        <v>344</v>
      </c>
    </row>
    <row r="2165" spans="2:8" ht="13.5" customHeight="1">
      <c r="B2165" s="57" t="s">
        <v>3878</v>
      </c>
      <c r="D2165" s="57" t="s">
        <v>3879</v>
      </c>
      <c r="F2165" s="57">
        <v>2</v>
      </c>
      <c r="G2165" s="57" t="s">
        <v>3952</v>
      </c>
      <c r="H2165" s="57" t="s">
        <v>344</v>
      </c>
    </row>
    <row r="2166" spans="2:8" ht="13.5" customHeight="1">
      <c r="B2166" s="57" t="s">
        <v>3939</v>
      </c>
      <c r="D2166" s="57" t="s">
        <v>3940</v>
      </c>
      <c r="F2166" s="57">
        <v>2</v>
      </c>
      <c r="G2166" s="57" t="s">
        <v>3952</v>
      </c>
      <c r="H2166" s="57" t="s">
        <v>344</v>
      </c>
    </row>
    <row r="2167" spans="2:8" ht="13.5" customHeight="1">
      <c r="B2167" s="57" t="s">
        <v>3854</v>
      </c>
      <c r="D2167" s="57" t="s">
        <v>3855</v>
      </c>
      <c r="F2167" s="57">
        <v>2</v>
      </c>
      <c r="G2167" s="57" t="s">
        <v>3952</v>
      </c>
      <c r="H2167" s="57" t="s">
        <v>344</v>
      </c>
    </row>
    <row r="2168" spans="2:8" ht="13.5" customHeight="1">
      <c r="B2168" s="57" t="s">
        <v>3866</v>
      </c>
      <c r="D2168" s="57" t="s">
        <v>3867</v>
      </c>
      <c r="F2168" s="57">
        <v>3</v>
      </c>
      <c r="G2168" s="57" t="s">
        <v>3952</v>
      </c>
      <c r="H2168" s="57" t="s">
        <v>344</v>
      </c>
    </row>
    <row r="2169" spans="2:8" ht="13.5" customHeight="1">
      <c r="B2169" s="57" t="s">
        <v>3893</v>
      </c>
      <c r="D2169" s="60" t="s">
        <v>8302</v>
      </c>
      <c r="F2169" s="57">
        <v>3</v>
      </c>
      <c r="G2169" s="57" t="s">
        <v>3952</v>
      </c>
      <c r="H2169" s="57" t="s">
        <v>344</v>
      </c>
    </row>
    <row r="2170" spans="2:8" ht="13.5" customHeight="1">
      <c r="B2170" s="57" t="s">
        <v>3894</v>
      </c>
      <c r="D2170" s="57" t="s">
        <v>3895</v>
      </c>
      <c r="F2170" s="57">
        <v>3</v>
      </c>
      <c r="G2170" s="57" t="s">
        <v>3952</v>
      </c>
      <c r="H2170" s="57" t="s">
        <v>344</v>
      </c>
    </row>
    <row r="2171" spans="2:8" ht="13.5" customHeight="1">
      <c r="B2171" s="57" t="s">
        <v>3941</v>
      </c>
      <c r="D2171" s="57" t="s">
        <v>3942</v>
      </c>
      <c r="F2171" s="57">
        <v>5</v>
      </c>
      <c r="G2171" s="57" t="s">
        <v>3952</v>
      </c>
      <c r="H2171" s="57" t="s">
        <v>344</v>
      </c>
    </row>
    <row r="2172" spans="2:8" ht="13.5" customHeight="1">
      <c r="B2172" s="57" t="s">
        <v>3842</v>
      </c>
      <c r="D2172" s="57" t="s">
        <v>3843</v>
      </c>
      <c r="F2172" s="57">
        <v>5</v>
      </c>
      <c r="G2172" s="57" t="s">
        <v>3952</v>
      </c>
      <c r="H2172" s="57" t="s">
        <v>344</v>
      </c>
    </row>
    <row r="2173" spans="2:8" ht="13.5" customHeight="1">
      <c r="B2173" s="57" t="s">
        <v>3933</v>
      </c>
      <c r="D2173" s="57" t="s">
        <v>3934</v>
      </c>
      <c r="F2173" s="57">
        <v>5</v>
      </c>
      <c r="G2173" s="57" t="s">
        <v>3952</v>
      </c>
      <c r="H2173" s="57" t="s">
        <v>344</v>
      </c>
    </row>
    <row r="2174" spans="2:8" ht="13.5" customHeight="1">
      <c r="B2174" s="57" t="s">
        <v>3876</v>
      </c>
      <c r="D2174" s="57" t="s">
        <v>3877</v>
      </c>
      <c r="F2174" s="57">
        <v>5</v>
      </c>
      <c r="G2174" s="57" t="s">
        <v>3952</v>
      </c>
      <c r="H2174" s="57" t="s">
        <v>344</v>
      </c>
    </row>
    <row r="2175" spans="2:8" ht="13.5" customHeight="1">
      <c r="B2175" s="57" t="s">
        <v>3844</v>
      </c>
      <c r="D2175" s="60" t="s">
        <v>3845</v>
      </c>
      <c r="F2175" s="57">
        <v>5</v>
      </c>
      <c r="G2175" s="57" t="s">
        <v>3952</v>
      </c>
      <c r="H2175" s="57" t="s">
        <v>344</v>
      </c>
    </row>
    <row r="2176" spans="2:8" ht="13.5" customHeight="1">
      <c r="B2176" s="57" t="s">
        <v>3868</v>
      </c>
      <c r="D2176" s="57" t="s">
        <v>3869</v>
      </c>
      <c r="F2176" s="57">
        <v>5</v>
      </c>
      <c r="G2176" s="57" t="s">
        <v>3952</v>
      </c>
      <c r="H2176" s="57" t="s">
        <v>344</v>
      </c>
    </row>
    <row r="2177" spans="2:8" ht="13.5" customHeight="1">
      <c r="B2177" s="57" t="s">
        <v>3818</v>
      </c>
      <c r="D2177" s="60" t="s">
        <v>8304</v>
      </c>
      <c r="F2177" s="57">
        <v>7</v>
      </c>
      <c r="G2177" s="57" t="s">
        <v>3952</v>
      </c>
      <c r="H2177" s="57" t="s">
        <v>344</v>
      </c>
    </row>
    <row r="2178" spans="2:8" ht="13.5" customHeight="1">
      <c r="B2178" s="57" t="s">
        <v>3813</v>
      </c>
      <c r="D2178" s="57" t="s">
        <v>3814</v>
      </c>
      <c r="F2178" s="57">
        <v>7</v>
      </c>
      <c r="G2178" s="57" t="s">
        <v>3952</v>
      </c>
      <c r="H2178" s="57" t="s">
        <v>344</v>
      </c>
    </row>
    <row r="2179" spans="2:8" ht="13.5" customHeight="1">
      <c r="B2179" s="57" t="s">
        <v>3822</v>
      </c>
      <c r="D2179" s="57" t="s">
        <v>3823</v>
      </c>
      <c r="F2179" s="57">
        <v>9</v>
      </c>
      <c r="G2179" s="57" t="s">
        <v>3952</v>
      </c>
      <c r="H2179" s="57" t="s">
        <v>344</v>
      </c>
    </row>
    <row r="2180" spans="2:8" ht="13.5" customHeight="1">
      <c r="B2180" s="57" t="s">
        <v>3827</v>
      </c>
      <c r="D2180" s="57" t="s">
        <v>3828</v>
      </c>
      <c r="F2180" s="57">
        <v>10</v>
      </c>
      <c r="G2180" s="57" t="s">
        <v>3952</v>
      </c>
      <c r="H2180" s="57" t="s">
        <v>344</v>
      </c>
    </row>
    <row r="2181" spans="2:8" ht="13.5" customHeight="1">
      <c r="B2181" s="57" t="s">
        <v>3920</v>
      </c>
      <c r="D2181" s="57" t="s">
        <v>3921</v>
      </c>
      <c r="F2181" s="57">
        <v>11</v>
      </c>
      <c r="G2181" s="57" t="s">
        <v>3952</v>
      </c>
      <c r="H2181" s="57" t="s">
        <v>344</v>
      </c>
    </row>
    <row r="2182" spans="2:8" ht="13.5" customHeight="1">
      <c r="B2182" s="57" t="s">
        <v>3826</v>
      </c>
      <c r="D2182" s="57" t="s">
        <v>2733</v>
      </c>
      <c r="F2182" s="57">
        <v>12</v>
      </c>
      <c r="G2182" s="57" t="s">
        <v>3952</v>
      </c>
      <c r="H2182" s="57" t="s">
        <v>344</v>
      </c>
    </row>
    <row r="2183" spans="2:8" ht="13.5" customHeight="1">
      <c r="B2183" s="57" t="s">
        <v>3903</v>
      </c>
      <c r="D2183" s="60" t="s">
        <v>8303</v>
      </c>
      <c r="F2183" s="57">
        <v>14</v>
      </c>
      <c r="G2183" s="57" t="s">
        <v>3952</v>
      </c>
      <c r="H2183" s="57" t="s">
        <v>344</v>
      </c>
    </row>
    <row r="2184" spans="2:8" ht="13.5" customHeight="1">
      <c r="B2184" s="57" t="s">
        <v>3914</v>
      </c>
      <c r="D2184" s="57" t="s">
        <v>3915</v>
      </c>
      <c r="F2184" s="57">
        <v>14</v>
      </c>
      <c r="G2184" s="57" t="s">
        <v>3952</v>
      </c>
      <c r="H2184" s="57" t="s">
        <v>344</v>
      </c>
    </row>
    <row r="2185" spans="2:8" ht="13.5" customHeight="1">
      <c r="B2185" s="57" t="s">
        <v>3928</v>
      </c>
      <c r="D2185" s="60" t="s">
        <v>8305</v>
      </c>
      <c r="F2185" s="57">
        <v>15</v>
      </c>
      <c r="G2185" s="57" t="s">
        <v>3952</v>
      </c>
      <c r="H2185" s="57" t="s">
        <v>344</v>
      </c>
    </row>
    <row r="2186" spans="2:8" ht="13.5" customHeight="1">
      <c r="B2186" s="57" t="s">
        <v>3841</v>
      </c>
      <c r="D2186" s="57" t="s">
        <v>3162</v>
      </c>
      <c r="F2186" s="57">
        <v>17</v>
      </c>
      <c r="G2186" s="57" t="s">
        <v>3952</v>
      </c>
      <c r="H2186" s="57" t="s">
        <v>344</v>
      </c>
    </row>
    <row r="2187" spans="2:8" ht="13.5" customHeight="1">
      <c r="B2187" s="57" t="s">
        <v>3882</v>
      </c>
      <c r="D2187" s="57" t="s">
        <v>3883</v>
      </c>
      <c r="F2187" s="57">
        <v>20</v>
      </c>
      <c r="G2187" s="57" t="s">
        <v>3952</v>
      </c>
      <c r="H2187" s="57" t="s">
        <v>344</v>
      </c>
    </row>
    <row r="2188" spans="2:8" ht="13.5" customHeight="1">
      <c r="B2188" s="57" t="s">
        <v>3892</v>
      </c>
      <c r="D2188" s="57" t="s">
        <v>520</v>
      </c>
      <c r="F2188" s="57">
        <v>22</v>
      </c>
      <c r="G2188" s="57" t="s">
        <v>3952</v>
      </c>
      <c r="H2188" s="57" t="s">
        <v>344</v>
      </c>
    </row>
    <row r="2189" spans="2:8" ht="13.5" customHeight="1">
      <c r="B2189" s="57" t="s">
        <v>891</v>
      </c>
      <c r="D2189" s="57" t="s">
        <v>3896</v>
      </c>
      <c r="F2189" s="57">
        <v>22</v>
      </c>
      <c r="G2189" s="57" t="s">
        <v>3952</v>
      </c>
      <c r="H2189" s="57" t="s">
        <v>344</v>
      </c>
    </row>
    <row r="2190" spans="2:8" ht="13.5" customHeight="1">
      <c r="B2190" s="57" t="s">
        <v>3852</v>
      </c>
      <c r="D2190" s="57" t="s">
        <v>3853</v>
      </c>
      <c r="F2190" s="57">
        <v>22</v>
      </c>
      <c r="G2190" s="57" t="s">
        <v>3952</v>
      </c>
      <c r="H2190" s="57" t="s">
        <v>344</v>
      </c>
    </row>
    <row r="2191" spans="2:8" ht="13.5" customHeight="1">
      <c r="B2191" s="57" t="s">
        <v>3839</v>
      </c>
      <c r="D2191" s="57" t="s">
        <v>3840</v>
      </c>
      <c r="F2191" s="57">
        <v>26</v>
      </c>
      <c r="G2191" s="57" t="s">
        <v>3952</v>
      </c>
      <c r="H2191" s="57" t="s">
        <v>344</v>
      </c>
    </row>
    <row r="2192" spans="2:8" ht="13.5" customHeight="1">
      <c r="B2192" s="57" t="s">
        <v>3900</v>
      </c>
      <c r="D2192" s="57" t="s">
        <v>3901</v>
      </c>
      <c r="F2192" s="57">
        <v>26</v>
      </c>
      <c r="G2192" s="57" t="s">
        <v>3952</v>
      </c>
      <c r="H2192" s="57" t="s">
        <v>344</v>
      </c>
    </row>
    <row r="2193" spans="2:8" ht="13.5" customHeight="1">
      <c r="B2193" s="57" t="s">
        <v>3884</v>
      </c>
      <c r="D2193" s="57" t="s">
        <v>3885</v>
      </c>
      <c r="F2193" s="57">
        <v>28</v>
      </c>
      <c r="G2193" s="57" t="s">
        <v>3952</v>
      </c>
      <c r="H2193" s="57" t="s">
        <v>344</v>
      </c>
    </row>
    <row r="2194" spans="2:8" ht="13.5" customHeight="1">
      <c r="B2194" s="57" t="s">
        <v>3916</v>
      </c>
      <c r="D2194" s="57" t="s">
        <v>3917</v>
      </c>
      <c r="F2194" s="57">
        <v>28</v>
      </c>
      <c r="G2194" s="57" t="s">
        <v>3952</v>
      </c>
      <c r="H2194" s="57" t="s">
        <v>344</v>
      </c>
    </row>
    <row r="2195" spans="2:8" ht="13.5" customHeight="1">
      <c r="B2195" s="57" t="s">
        <v>3897</v>
      </c>
      <c r="D2195" s="60" t="s">
        <v>8301</v>
      </c>
      <c r="F2195" s="57">
        <v>31</v>
      </c>
      <c r="G2195" s="57" t="s">
        <v>3952</v>
      </c>
      <c r="H2195" s="57" t="s">
        <v>344</v>
      </c>
    </row>
    <row r="2196" spans="2:8" ht="13.5" customHeight="1">
      <c r="B2196" s="57" t="s">
        <v>3902</v>
      </c>
      <c r="D2196" s="57" t="s">
        <v>450</v>
      </c>
      <c r="F2196" s="57">
        <v>36</v>
      </c>
      <c r="G2196" s="57" t="s">
        <v>3952</v>
      </c>
      <c r="H2196" s="57" t="s">
        <v>344</v>
      </c>
    </row>
    <row r="2197" spans="2:8" ht="13.5" customHeight="1">
      <c r="B2197" s="57" t="s">
        <v>3906</v>
      </c>
      <c r="D2197" s="57" t="s">
        <v>3907</v>
      </c>
      <c r="F2197" s="57">
        <v>37</v>
      </c>
      <c r="G2197" s="57" t="s">
        <v>3952</v>
      </c>
      <c r="H2197" s="57" t="s">
        <v>344</v>
      </c>
    </row>
    <row r="2198" spans="2:8" ht="13.5" customHeight="1">
      <c r="B2198" s="57" t="s">
        <v>3910</v>
      </c>
      <c r="D2198" s="57" t="s">
        <v>3911</v>
      </c>
      <c r="F2198" s="57">
        <v>37</v>
      </c>
      <c r="G2198" s="57" t="s">
        <v>3952</v>
      </c>
      <c r="H2198" s="57" t="s">
        <v>344</v>
      </c>
    </row>
    <row r="2199" spans="2:8" ht="13.5" customHeight="1">
      <c r="B2199" s="57" t="s">
        <v>3912</v>
      </c>
      <c r="D2199" s="57" t="s">
        <v>3913</v>
      </c>
      <c r="F2199" s="57">
        <v>39</v>
      </c>
      <c r="G2199" s="57" t="s">
        <v>3952</v>
      </c>
      <c r="H2199" s="57" t="s">
        <v>344</v>
      </c>
    </row>
    <row r="2200" spans="2:8" ht="13.5" customHeight="1">
      <c r="B2200" s="57" t="s">
        <v>3888</v>
      </c>
      <c r="D2200" s="57" t="s">
        <v>3889</v>
      </c>
      <c r="F2200" s="57">
        <v>41</v>
      </c>
      <c r="G2200" s="57" t="s">
        <v>3952</v>
      </c>
      <c r="H2200" s="57" t="s">
        <v>344</v>
      </c>
    </row>
    <row r="2201" spans="2:8" ht="13.5" customHeight="1">
      <c r="B2201" s="57" t="s">
        <v>3908</v>
      </c>
      <c r="D2201" s="57" t="s">
        <v>3909</v>
      </c>
      <c r="F2201" s="57">
        <v>46</v>
      </c>
      <c r="G2201" s="57" t="s">
        <v>3952</v>
      </c>
      <c r="H2201" s="57" t="s">
        <v>344</v>
      </c>
    </row>
    <row r="2202" spans="2:8" ht="13.5" customHeight="1">
      <c r="B2202" s="57" t="s">
        <v>3890</v>
      </c>
      <c r="D2202" s="57" t="s">
        <v>3891</v>
      </c>
      <c r="F2202" s="57">
        <v>56</v>
      </c>
      <c r="G2202" s="57" t="s">
        <v>3952</v>
      </c>
      <c r="H2202" s="57" t="s">
        <v>344</v>
      </c>
    </row>
    <row r="2203" spans="2:8" ht="13.5" customHeight="1">
      <c r="B2203" s="57" t="s">
        <v>3918</v>
      </c>
      <c r="D2203" s="57" t="s">
        <v>3919</v>
      </c>
      <c r="F2203" s="57">
        <v>86</v>
      </c>
      <c r="G2203" s="57" t="s">
        <v>3952</v>
      </c>
      <c r="H2203" s="57" t="s">
        <v>344</v>
      </c>
    </row>
    <row r="2204" spans="2:8" ht="13.5" customHeight="1">
      <c r="B2204" s="57" t="s">
        <v>4135</v>
      </c>
      <c r="D2204" s="57" t="s">
        <v>4136</v>
      </c>
      <c r="F2204" s="57">
        <v>5</v>
      </c>
      <c r="G2204" s="57" t="s">
        <v>4152</v>
      </c>
      <c r="H2204" s="57" t="s">
        <v>343</v>
      </c>
    </row>
    <row r="2205" spans="2:8" ht="13.5" customHeight="1">
      <c r="B2205" s="57" t="s">
        <v>4128</v>
      </c>
      <c r="D2205" s="57">
        <v>636101111001</v>
      </c>
      <c r="F2205" s="57">
        <v>7</v>
      </c>
      <c r="G2205" s="57" t="s">
        <v>4152</v>
      </c>
      <c r="H2205" s="57" t="s">
        <v>343</v>
      </c>
    </row>
    <row r="2206" spans="2:8" ht="13.5" customHeight="1">
      <c r="B2206" s="57" t="s">
        <v>4124</v>
      </c>
      <c r="D2206" s="57">
        <v>687124183722</v>
      </c>
      <c r="F2206" s="57">
        <v>7</v>
      </c>
      <c r="G2206" s="57" t="s">
        <v>4152</v>
      </c>
      <c r="H2206" s="57" t="s">
        <v>343</v>
      </c>
    </row>
    <row r="2207" spans="2:8" ht="13.5" customHeight="1">
      <c r="B2207" s="57" t="s">
        <v>3996</v>
      </c>
      <c r="D2207" s="57" t="s">
        <v>3997</v>
      </c>
      <c r="F2207" s="57">
        <v>7</v>
      </c>
      <c r="G2207" s="57" t="s">
        <v>4152</v>
      </c>
      <c r="H2207" s="57" t="s">
        <v>343</v>
      </c>
    </row>
    <row r="2208" spans="2:8" ht="13.5" customHeight="1">
      <c r="B2208" s="57" t="s">
        <v>3560</v>
      </c>
      <c r="D2208" s="57" t="s">
        <v>3985</v>
      </c>
      <c r="F2208" s="57">
        <v>8</v>
      </c>
      <c r="G2208" s="57" t="s">
        <v>4152</v>
      </c>
      <c r="H2208" s="57" t="s">
        <v>343</v>
      </c>
    </row>
    <row r="2209" spans="2:8" ht="13.5" customHeight="1">
      <c r="B2209" s="57" t="s">
        <v>845</v>
      </c>
      <c r="D2209" s="57" t="s">
        <v>4100</v>
      </c>
      <c r="F2209" s="57">
        <v>10</v>
      </c>
      <c r="G2209" s="57" t="s">
        <v>4152</v>
      </c>
      <c r="H2209" s="57" t="s">
        <v>343</v>
      </c>
    </row>
    <row r="2210" spans="2:8" ht="13.5" customHeight="1">
      <c r="B2210" s="57" t="s">
        <v>4029</v>
      </c>
      <c r="D2210" s="57" t="s">
        <v>4030</v>
      </c>
      <c r="F2210" s="57">
        <v>14</v>
      </c>
      <c r="G2210" s="57" t="s">
        <v>4152</v>
      </c>
      <c r="H2210" s="57" t="s">
        <v>343</v>
      </c>
    </row>
    <row r="2211" spans="2:8" ht="13.5" customHeight="1">
      <c r="B2211" s="57" t="s">
        <v>3187</v>
      </c>
      <c r="D2211" s="57" t="s">
        <v>3988</v>
      </c>
      <c r="F2211" s="57">
        <v>14</v>
      </c>
      <c r="G2211" s="57" t="s">
        <v>4152</v>
      </c>
      <c r="H2211" s="57" t="s">
        <v>343</v>
      </c>
    </row>
    <row r="2212" spans="2:8" ht="13.5" customHeight="1">
      <c r="B2212" s="57" t="s">
        <v>4123</v>
      </c>
      <c r="D2212" s="57">
        <v>693071020811</v>
      </c>
      <c r="F2212" s="57">
        <v>17</v>
      </c>
      <c r="G2212" s="57" t="s">
        <v>4152</v>
      </c>
      <c r="H2212" s="57" t="s">
        <v>343</v>
      </c>
    </row>
    <row r="2213" spans="2:8" ht="13.5" customHeight="1">
      <c r="B2213" s="57" t="s">
        <v>3966</v>
      </c>
      <c r="D2213" s="57" t="s">
        <v>3967</v>
      </c>
      <c r="F2213" s="57">
        <v>29</v>
      </c>
      <c r="G2213" s="57" t="s">
        <v>4152</v>
      </c>
      <c r="H2213" s="57" t="s">
        <v>343</v>
      </c>
    </row>
    <row r="2214" spans="2:8" ht="13.5" customHeight="1">
      <c r="B2214" s="57" t="s">
        <v>4080</v>
      </c>
      <c r="D2214" s="57" t="s">
        <v>4081</v>
      </c>
      <c r="F2214" s="57">
        <v>30</v>
      </c>
      <c r="G2214" s="57" t="s">
        <v>4152</v>
      </c>
      <c r="H2214" s="57" t="s">
        <v>343</v>
      </c>
    </row>
    <row r="2215" spans="2:8" ht="13.5" customHeight="1">
      <c r="B2215" s="57" t="s">
        <v>3986</v>
      </c>
      <c r="D2215" s="57" t="s">
        <v>3987</v>
      </c>
      <c r="F2215" s="57">
        <v>58</v>
      </c>
      <c r="G2215" s="57" t="s">
        <v>4152</v>
      </c>
      <c r="H2215" s="57" t="s">
        <v>343</v>
      </c>
    </row>
    <row r="2216" spans="2:8" ht="13.5" customHeight="1">
      <c r="B2216" s="57" t="s">
        <v>4054</v>
      </c>
      <c r="D2216" s="57" t="s">
        <v>4055</v>
      </c>
      <c r="F2216" s="57">
        <v>80</v>
      </c>
      <c r="G2216" s="57" t="s">
        <v>4152</v>
      </c>
      <c r="H2216" s="57" t="s">
        <v>343</v>
      </c>
    </row>
    <row r="2217" spans="2:8" ht="13.5" customHeight="1">
      <c r="B2217" s="57" t="s">
        <v>4034</v>
      </c>
      <c r="D2217" s="57" t="s">
        <v>4035</v>
      </c>
      <c r="F2217" s="57">
        <v>108</v>
      </c>
      <c r="G2217" s="57" t="s">
        <v>4152</v>
      </c>
      <c r="H2217" s="57" t="s">
        <v>343</v>
      </c>
    </row>
    <row r="2218" spans="2:8" ht="13.5" customHeight="1">
      <c r="B2218" s="57" t="s">
        <v>4077</v>
      </c>
      <c r="D2218" s="57" t="s">
        <v>4078</v>
      </c>
      <c r="F2218" s="57">
        <v>4</v>
      </c>
      <c r="G2218" s="57" t="s">
        <v>4152</v>
      </c>
      <c r="H2218" s="57" t="s">
        <v>344</v>
      </c>
    </row>
    <row r="2219" spans="2:8" ht="13.5" customHeight="1">
      <c r="B2219" s="57" t="s">
        <v>4023</v>
      </c>
      <c r="D2219" s="57" t="s">
        <v>4024</v>
      </c>
      <c r="F2219" s="57">
        <v>7</v>
      </c>
      <c r="G2219" s="57" t="s">
        <v>4152</v>
      </c>
      <c r="H2219" s="57" t="s">
        <v>344</v>
      </c>
    </row>
    <row r="2220" spans="2:8" ht="13.5" customHeight="1">
      <c r="B2220" s="57" t="s">
        <v>4127</v>
      </c>
      <c r="D2220" s="57">
        <v>62131021021</v>
      </c>
      <c r="F2220" s="57">
        <v>14</v>
      </c>
      <c r="G2220" s="57" t="s">
        <v>4152</v>
      </c>
      <c r="H2220" s="57" t="s">
        <v>344</v>
      </c>
    </row>
    <row r="2221" spans="2:8" ht="13.5" customHeight="1">
      <c r="B2221" s="57" t="s">
        <v>366</v>
      </c>
      <c r="D2221" s="57" t="s">
        <v>762</v>
      </c>
      <c r="F2221" s="57">
        <v>15</v>
      </c>
      <c r="G2221" s="57" t="s">
        <v>4152</v>
      </c>
      <c r="H2221" s="57" t="s">
        <v>344</v>
      </c>
    </row>
    <row r="2222" spans="2:8" ht="13.5" customHeight="1">
      <c r="B2222" s="57" t="s">
        <v>4027</v>
      </c>
      <c r="D2222" s="57" t="s">
        <v>4028</v>
      </c>
      <c r="F2222" s="57">
        <v>24</v>
      </c>
      <c r="G2222" s="57" t="s">
        <v>4152</v>
      </c>
      <c r="H2222" s="57" t="s">
        <v>344</v>
      </c>
    </row>
    <row r="2223" spans="2:8" ht="13.5" customHeight="1">
      <c r="B2223" s="57" t="s">
        <v>4072</v>
      </c>
      <c r="D2223" s="57" t="s">
        <v>4073</v>
      </c>
      <c r="F2223" s="57">
        <v>28</v>
      </c>
      <c r="G2223" s="57" t="s">
        <v>4152</v>
      </c>
      <c r="H2223" s="57" t="s">
        <v>344</v>
      </c>
    </row>
    <row r="2224" spans="2:8" ht="13.5" customHeight="1">
      <c r="B2224" s="57" t="s">
        <v>3884</v>
      </c>
      <c r="D2224" s="57" t="s">
        <v>3995</v>
      </c>
      <c r="F2224" s="57">
        <v>44</v>
      </c>
      <c r="G2224" s="57" t="s">
        <v>4152</v>
      </c>
      <c r="H2224" s="57" t="s">
        <v>344</v>
      </c>
    </row>
    <row r="2225" spans="2:8" ht="13.5" customHeight="1">
      <c r="B2225" s="57" t="s">
        <v>3553</v>
      </c>
      <c r="D2225" s="57" t="s">
        <v>3980</v>
      </c>
      <c r="F2225" s="57">
        <v>44</v>
      </c>
      <c r="G2225" s="57" t="s">
        <v>4152</v>
      </c>
      <c r="H2225" s="57" t="s">
        <v>344</v>
      </c>
    </row>
    <row r="2226" spans="2:8" ht="13.5" customHeight="1">
      <c r="B2226" s="57" t="s">
        <v>4031</v>
      </c>
      <c r="D2226" s="57" t="s">
        <v>538</v>
      </c>
      <c r="F2226" s="57">
        <v>98</v>
      </c>
      <c r="G2226" s="57" t="s">
        <v>4152</v>
      </c>
      <c r="H2226" s="57" t="s">
        <v>344</v>
      </c>
    </row>
    <row r="2227" spans="2:8" ht="13.5" customHeight="1">
      <c r="B2227" s="57" t="s">
        <v>3981</v>
      </c>
      <c r="D2227" s="57" t="s">
        <v>3982</v>
      </c>
      <c r="F2227" s="57">
        <v>229</v>
      </c>
      <c r="G2227" s="57" t="s">
        <v>4152</v>
      </c>
      <c r="H2227" s="57" t="s">
        <v>344</v>
      </c>
    </row>
    <row r="2228" spans="2:8" ht="13.5" customHeight="1">
      <c r="B2228" s="57" t="s">
        <v>3962</v>
      </c>
      <c r="D2228" s="57" t="s">
        <v>3963</v>
      </c>
      <c r="F2228" s="57">
        <v>229</v>
      </c>
      <c r="G2228" s="57" t="s">
        <v>4152</v>
      </c>
      <c r="H2228" s="57" t="s">
        <v>344</v>
      </c>
    </row>
    <row r="2229" spans="2:8" ht="13.5" customHeight="1">
      <c r="B2229" s="57" t="s">
        <v>4133</v>
      </c>
      <c r="D2229" s="57" t="s">
        <v>4134</v>
      </c>
      <c r="F2229" s="57">
        <v>4</v>
      </c>
      <c r="G2229" s="57" t="s">
        <v>4152</v>
      </c>
      <c r="H2229" s="57" t="s">
        <v>345</v>
      </c>
    </row>
    <row r="2230" spans="2:8" ht="13.5" customHeight="1">
      <c r="B2230" s="57" t="s">
        <v>4086</v>
      </c>
      <c r="D2230" s="57" t="s">
        <v>4087</v>
      </c>
      <c r="F2230" s="57">
        <v>4</v>
      </c>
      <c r="G2230" s="57" t="s">
        <v>4152</v>
      </c>
      <c r="H2230" s="57" t="s">
        <v>345</v>
      </c>
    </row>
    <row r="2231" spans="2:8" ht="13.5" customHeight="1">
      <c r="B2231" s="57" t="s">
        <v>3993</v>
      </c>
      <c r="D2231" s="57" t="s">
        <v>3994</v>
      </c>
      <c r="F2231" s="57">
        <v>5</v>
      </c>
      <c r="G2231" s="57" t="s">
        <v>4152</v>
      </c>
      <c r="H2231" s="57" t="s">
        <v>345</v>
      </c>
    </row>
    <row r="2232" spans="2:8" ht="13.5" customHeight="1">
      <c r="B2232" s="57" t="s">
        <v>4131</v>
      </c>
      <c r="D2232" s="57" t="s">
        <v>4132</v>
      </c>
      <c r="F2232" s="57">
        <v>5</v>
      </c>
      <c r="G2232" s="57" t="s">
        <v>4152</v>
      </c>
      <c r="H2232" s="57" t="s">
        <v>345</v>
      </c>
    </row>
    <row r="2233" spans="2:8" ht="13.5" customHeight="1">
      <c r="B2233" s="57" t="s">
        <v>4019</v>
      </c>
      <c r="D2233" s="57" t="s">
        <v>4020</v>
      </c>
      <c r="F2233" s="57">
        <v>6</v>
      </c>
      <c r="G2233" s="57" t="s">
        <v>4152</v>
      </c>
      <c r="H2233" s="57" t="s">
        <v>345</v>
      </c>
    </row>
    <row r="2234" spans="2:8" ht="13.5" customHeight="1">
      <c r="B2234" s="57" t="s">
        <v>4139</v>
      </c>
      <c r="D2234" s="57" t="s">
        <v>4140</v>
      </c>
      <c r="F2234" s="57">
        <v>6</v>
      </c>
      <c r="G2234" s="57" t="s">
        <v>4152</v>
      </c>
      <c r="H2234" s="57" t="s">
        <v>345</v>
      </c>
    </row>
    <row r="2235" spans="2:8" ht="13.5" customHeight="1">
      <c r="B2235" s="57" t="s">
        <v>4013</v>
      </c>
      <c r="D2235" s="57" t="s">
        <v>4014</v>
      </c>
      <c r="F2235" s="57">
        <v>7</v>
      </c>
      <c r="G2235" s="57" t="s">
        <v>4152</v>
      </c>
      <c r="H2235" s="57" t="s">
        <v>345</v>
      </c>
    </row>
    <row r="2236" spans="2:8" ht="13.5" customHeight="1">
      <c r="B2236" s="57" t="s">
        <v>4110</v>
      </c>
      <c r="D2236" s="57" t="s">
        <v>4111</v>
      </c>
      <c r="F2236" s="57">
        <v>7</v>
      </c>
      <c r="G2236" s="57" t="s">
        <v>4152</v>
      </c>
      <c r="H2236" s="57" t="s">
        <v>345</v>
      </c>
    </row>
    <row r="2237" spans="2:8" ht="13.5" customHeight="1">
      <c r="B2237" s="57" t="s">
        <v>4042</v>
      </c>
      <c r="D2237" s="57" t="s">
        <v>4043</v>
      </c>
      <c r="F2237" s="57">
        <v>14</v>
      </c>
      <c r="G2237" s="57" t="s">
        <v>4152</v>
      </c>
      <c r="H2237" s="57" t="s">
        <v>345</v>
      </c>
    </row>
    <row r="2238" spans="2:8" ht="13.5" customHeight="1">
      <c r="B2238" s="57" t="s">
        <v>4102</v>
      </c>
      <c r="D2238" s="57" t="s">
        <v>4103</v>
      </c>
      <c r="F2238" s="57">
        <v>14</v>
      </c>
      <c r="G2238" s="57" t="s">
        <v>4152</v>
      </c>
      <c r="H2238" s="57" t="s">
        <v>345</v>
      </c>
    </row>
    <row r="2239" spans="2:8" ht="13.5" customHeight="1">
      <c r="B2239" s="57" t="s">
        <v>4025</v>
      </c>
      <c r="D2239" s="57" t="s">
        <v>4026</v>
      </c>
      <c r="F2239" s="57">
        <v>14</v>
      </c>
      <c r="G2239" s="57" t="s">
        <v>4152</v>
      </c>
      <c r="H2239" s="57" t="s">
        <v>345</v>
      </c>
    </row>
    <row r="2240" spans="2:8" ht="13.5" customHeight="1">
      <c r="B2240" s="57" t="s">
        <v>4064</v>
      </c>
      <c r="D2240" s="57" t="s">
        <v>4065</v>
      </c>
      <c r="E2240" s="57" t="s">
        <v>3947</v>
      </c>
      <c r="F2240" s="57">
        <v>20</v>
      </c>
      <c r="G2240" s="57" t="s">
        <v>4152</v>
      </c>
      <c r="H2240" s="57" t="s">
        <v>345</v>
      </c>
    </row>
    <row r="2241" spans="2:8" ht="13.5" customHeight="1">
      <c r="B2241" s="57" t="s">
        <v>4070</v>
      </c>
      <c r="D2241" s="57" t="s">
        <v>4071</v>
      </c>
      <c r="F2241" s="57">
        <v>28</v>
      </c>
      <c r="G2241" s="57" t="s">
        <v>4152</v>
      </c>
      <c r="H2241" s="57" t="s">
        <v>345</v>
      </c>
    </row>
    <row r="2242" spans="2:8" ht="13.5" customHeight="1">
      <c r="B2242" s="57" t="s">
        <v>3970</v>
      </c>
      <c r="D2242" s="57" t="s">
        <v>3971</v>
      </c>
      <c r="F2242" s="57">
        <v>35</v>
      </c>
      <c r="G2242" s="57" t="s">
        <v>4152</v>
      </c>
      <c r="H2242" s="57" t="s">
        <v>345</v>
      </c>
    </row>
    <row r="2243" spans="2:8" ht="13.5" customHeight="1">
      <c r="B2243" s="57" t="s">
        <v>4038</v>
      </c>
      <c r="D2243" s="60" t="s">
        <v>5421</v>
      </c>
      <c r="F2243" s="57">
        <v>40</v>
      </c>
      <c r="G2243" s="57" t="s">
        <v>4152</v>
      </c>
      <c r="H2243" s="57" t="s">
        <v>345</v>
      </c>
    </row>
    <row r="2244" spans="2:8" ht="13.5" customHeight="1">
      <c r="B2244" s="57" t="s">
        <v>498</v>
      </c>
      <c r="D2244" s="57" t="s">
        <v>4074</v>
      </c>
      <c r="F2244" s="57">
        <v>168</v>
      </c>
      <c r="G2244" s="57" t="s">
        <v>4152</v>
      </c>
      <c r="H2244" s="57" t="s">
        <v>345</v>
      </c>
    </row>
    <row r="2245" spans="2:8" ht="13.5" customHeight="1">
      <c r="B2245" s="57" t="s">
        <v>3964</v>
      </c>
      <c r="D2245" s="57" t="s">
        <v>3965</v>
      </c>
      <c r="F2245" s="57">
        <v>327</v>
      </c>
      <c r="G2245" s="57" t="s">
        <v>4152</v>
      </c>
      <c r="H2245" s="57" t="s">
        <v>345</v>
      </c>
    </row>
    <row r="2246" spans="2:8" ht="13.5" customHeight="1">
      <c r="B2246" s="57" t="s">
        <v>4032</v>
      </c>
      <c r="D2246" s="57" t="s">
        <v>4033</v>
      </c>
      <c r="F2246" s="57">
        <v>486</v>
      </c>
      <c r="G2246" s="57" t="s">
        <v>4152</v>
      </c>
      <c r="H2246" s="57" t="s">
        <v>345</v>
      </c>
    </row>
    <row r="2247" spans="2:8" ht="13.5" customHeight="1">
      <c r="B2247" s="57" t="s">
        <v>3968</v>
      </c>
      <c r="D2247" s="57" t="s">
        <v>4141</v>
      </c>
      <c r="F2247" s="57">
        <v>2</v>
      </c>
      <c r="G2247" s="57" t="s">
        <v>4152</v>
      </c>
      <c r="H2247" s="57" t="s">
        <v>919</v>
      </c>
    </row>
    <row r="2248" spans="2:8" ht="13.5" customHeight="1">
      <c r="B2248" s="57" t="s">
        <v>3998</v>
      </c>
      <c r="D2248" s="57" t="s">
        <v>3999</v>
      </c>
      <c r="F2248" s="57">
        <v>7</v>
      </c>
      <c r="G2248" s="57" t="s">
        <v>4152</v>
      </c>
      <c r="H2248" s="57" t="s">
        <v>919</v>
      </c>
    </row>
    <row r="2249" spans="2:8" ht="13.5" customHeight="1">
      <c r="B2249" s="57" t="s">
        <v>4021</v>
      </c>
      <c r="D2249" s="57" t="s">
        <v>4022</v>
      </c>
      <c r="F2249" s="57">
        <v>7</v>
      </c>
      <c r="G2249" s="57" t="s">
        <v>4152</v>
      </c>
      <c r="H2249" s="57" t="s">
        <v>919</v>
      </c>
    </row>
    <row r="2250" spans="2:8" ht="13.5" customHeight="1">
      <c r="B2250" s="57" t="s">
        <v>4096</v>
      </c>
      <c r="D2250" s="57" t="s">
        <v>4097</v>
      </c>
      <c r="F2250" s="57">
        <v>7</v>
      </c>
      <c r="G2250" s="57" t="s">
        <v>4152</v>
      </c>
      <c r="H2250" s="57" t="s">
        <v>919</v>
      </c>
    </row>
    <row r="2251" spans="2:8" ht="13.5" customHeight="1">
      <c r="B2251" s="57" t="s">
        <v>4094</v>
      </c>
      <c r="D2251" s="57" t="s">
        <v>4095</v>
      </c>
      <c r="F2251" s="57">
        <v>7</v>
      </c>
      <c r="G2251" s="57" t="s">
        <v>4152</v>
      </c>
      <c r="H2251" s="57" t="s">
        <v>919</v>
      </c>
    </row>
    <row r="2252" spans="2:8" ht="13.5" customHeight="1">
      <c r="B2252" s="57" t="s">
        <v>3073</v>
      </c>
      <c r="D2252" s="57" t="s">
        <v>4108</v>
      </c>
      <c r="F2252" s="57">
        <v>7</v>
      </c>
      <c r="G2252" s="57" t="s">
        <v>4152</v>
      </c>
      <c r="H2252" s="57" t="s">
        <v>919</v>
      </c>
    </row>
    <row r="2253" spans="2:8" ht="13.5" customHeight="1">
      <c r="B2253" s="57" t="s">
        <v>4112</v>
      </c>
      <c r="D2253" s="57" t="s">
        <v>4113</v>
      </c>
      <c r="E2253" s="68"/>
      <c r="F2253" s="57">
        <v>7</v>
      </c>
      <c r="G2253" s="57" t="s">
        <v>4152</v>
      </c>
      <c r="H2253" s="57" t="s">
        <v>919</v>
      </c>
    </row>
    <row r="2254" spans="2:8" ht="13.5" customHeight="1">
      <c r="B2254" s="57" t="s">
        <v>3976</v>
      </c>
      <c r="D2254" s="57" t="s">
        <v>3977</v>
      </c>
      <c r="F2254" s="57">
        <v>7</v>
      </c>
      <c r="G2254" s="57" t="s">
        <v>4152</v>
      </c>
      <c r="H2254" s="57" t="s">
        <v>919</v>
      </c>
    </row>
    <row r="2255" spans="2:8" ht="13.5" customHeight="1">
      <c r="B2255" s="57" t="s">
        <v>3991</v>
      </c>
      <c r="D2255" s="57" t="s">
        <v>3992</v>
      </c>
      <c r="F2255" s="57">
        <v>7</v>
      </c>
      <c r="G2255" s="57" t="s">
        <v>4152</v>
      </c>
      <c r="H2255" s="57" t="s">
        <v>919</v>
      </c>
    </row>
    <row r="2256" spans="2:8" ht="13.5" customHeight="1">
      <c r="B2256" s="57" t="s">
        <v>3968</v>
      </c>
      <c r="D2256" s="57" t="s">
        <v>4001</v>
      </c>
      <c r="F2256" s="57">
        <v>7</v>
      </c>
      <c r="G2256" s="57" t="s">
        <v>4152</v>
      </c>
      <c r="H2256" s="57" t="s">
        <v>919</v>
      </c>
    </row>
    <row r="2257" spans="2:8" ht="13.5" customHeight="1">
      <c r="B2257" s="57" t="s">
        <v>4090</v>
      </c>
      <c r="D2257" s="57" t="s">
        <v>4091</v>
      </c>
      <c r="E2257" s="68"/>
      <c r="F2257" s="57">
        <v>7</v>
      </c>
      <c r="G2257" s="57" t="s">
        <v>4152</v>
      </c>
      <c r="H2257" s="57" t="s">
        <v>919</v>
      </c>
    </row>
    <row r="2258" spans="2:8" ht="13.5" customHeight="1">
      <c r="B2258" s="57" t="s">
        <v>4039</v>
      </c>
      <c r="D2258" s="57" t="s">
        <v>4040</v>
      </c>
      <c r="F2258" s="57">
        <v>7</v>
      </c>
      <c r="G2258" s="57" t="s">
        <v>4152</v>
      </c>
      <c r="H2258" s="57" t="s">
        <v>919</v>
      </c>
    </row>
    <row r="2259" spans="2:8" ht="13.5" customHeight="1">
      <c r="B2259" s="57" t="s">
        <v>4120</v>
      </c>
      <c r="D2259" s="57" t="s">
        <v>4121</v>
      </c>
      <c r="F2259" s="57">
        <v>7</v>
      </c>
      <c r="G2259" s="57" t="s">
        <v>4152</v>
      </c>
      <c r="H2259" s="57" t="s">
        <v>919</v>
      </c>
    </row>
    <row r="2260" spans="2:8" ht="13.5" customHeight="1">
      <c r="B2260" s="57" t="s">
        <v>4003</v>
      </c>
      <c r="D2260" s="57" t="s">
        <v>4004</v>
      </c>
      <c r="F2260" s="57">
        <v>10</v>
      </c>
      <c r="G2260" s="57" t="s">
        <v>4152</v>
      </c>
      <c r="H2260" s="57" t="s">
        <v>919</v>
      </c>
    </row>
    <row r="2261" spans="2:8" ht="13.5" customHeight="1">
      <c r="B2261" s="57" t="s">
        <v>4005</v>
      </c>
      <c r="D2261" s="57" t="s">
        <v>4006</v>
      </c>
      <c r="F2261" s="57">
        <v>12</v>
      </c>
      <c r="G2261" s="57" t="s">
        <v>4152</v>
      </c>
      <c r="H2261" s="57" t="s">
        <v>919</v>
      </c>
    </row>
    <row r="2262" spans="2:8" ht="13.5" customHeight="1">
      <c r="B2262" s="57" t="s">
        <v>3989</v>
      </c>
      <c r="D2262" s="57" t="s">
        <v>3990</v>
      </c>
      <c r="F2262" s="57">
        <v>13</v>
      </c>
      <c r="G2262" s="57" t="s">
        <v>4152</v>
      </c>
      <c r="H2262" s="57" t="s">
        <v>919</v>
      </c>
    </row>
    <row r="2263" spans="2:8" ht="13.5" customHeight="1">
      <c r="B2263" s="57" t="s">
        <v>4015</v>
      </c>
      <c r="D2263" s="57" t="s">
        <v>4016</v>
      </c>
      <c r="F2263" s="57">
        <v>13</v>
      </c>
      <c r="G2263" s="57" t="s">
        <v>4152</v>
      </c>
      <c r="H2263" s="57" t="s">
        <v>919</v>
      </c>
    </row>
    <row r="2264" spans="2:8" ht="13.5" customHeight="1">
      <c r="B2264" s="57" t="s">
        <v>4088</v>
      </c>
      <c r="D2264" s="57" t="s">
        <v>4089</v>
      </c>
      <c r="F2264" s="57">
        <v>14</v>
      </c>
      <c r="G2264" s="57" t="s">
        <v>4152</v>
      </c>
      <c r="H2264" s="57" t="s">
        <v>919</v>
      </c>
    </row>
    <row r="2265" spans="2:8" ht="13.5" customHeight="1">
      <c r="B2265" s="57" t="s">
        <v>3968</v>
      </c>
      <c r="D2265" s="57" t="s">
        <v>4000</v>
      </c>
      <c r="F2265" s="57">
        <v>14</v>
      </c>
      <c r="G2265" s="57" t="s">
        <v>4152</v>
      </c>
      <c r="H2265" s="57" t="s">
        <v>919</v>
      </c>
    </row>
    <row r="2266" spans="2:8" ht="13.5" customHeight="1">
      <c r="B2266" s="57" t="s">
        <v>4060</v>
      </c>
      <c r="D2266" s="57" t="s">
        <v>4061</v>
      </c>
      <c r="E2266" s="57" t="s">
        <v>4075</v>
      </c>
      <c r="F2266" s="57">
        <v>29</v>
      </c>
      <c r="G2266" s="57" t="s">
        <v>4152</v>
      </c>
      <c r="H2266" s="57" t="s">
        <v>919</v>
      </c>
    </row>
    <row r="2267" spans="2:8" ht="13.5" customHeight="1">
      <c r="B2267" s="57" t="s">
        <v>4009</v>
      </c>
      <c r="D2267" s="57" t="s">
        <v>4010</v>
      </c>
      <c r="E2267" s="57" t="s">
        <v>743</v>
      </c>
      <c r="F2267" s="57">
        <v>46</v>
      </c>
      <c r="G2267" s="57" t="s">
        <v>4152</v>
      </c>
      <c r="H2267" s="57" t="s">
        <v>919</v>
      </c>
    </row>
    <row r="2268" spans="2:8" ht="13.5" customHeight="1">
      <c r="B2268" s="57" t="s">
        <v>4062</v>
      </c>
      <c r="D2268" s="57" t="s">
        <v>4063</v>
      </c>
      <c r="E2268" s="57" t="s">
        <v>4076</v>
      </c>
      <c r="F2268" s="57">
        <v>48</v>
      </c>
      <c r="G2268" s="57" t="s">
        <v>4152</v>
      </c>
      <c r="H2268" s="57" t="s">
        <v>919</v>
      </c>
    </row>
    <row r="2269" spans="2:8" ht="13.5" customHeight="1">
      <c r="B2269" s="57" t="s">
        <v>4082</v>
      </c>
      <c r="D2269" s="57" t="s">
        <v>4083</v>
      </c>
      <c r="F2269" s="57">
        <v>76</v>
      </c>
      <c r="G2269" s="57" t="s">
        <v>4152</v>
      </c>
      <c r="H2269" s="57" t="s">
        <v>919</v>
      </c>
    </row>
    <row r="2270" spans="2:8" ht="13.5" customHeight="1">
      <c r="B2270" s="57" t="s">
        <v>3505</v>
      </c>
      <c r="D2270" s="57" t="s">
        <v>3506</v>
      </c>
      <c r="F2270" s="57">
        <v>97</v>
      </c>
      <c r="G2270" s="57" t="s">
        <v>4152</v>
      </c>
      <c r="H2270" s="57" t="s">
        <v>919</v>
      </c>
    </row>
    <row r="2271" spans="2:8" ht="13.5" customHeight="1">
      <c r="B2271" s="57" t="s">
        <v>4047</v>
      </c>
      <c r="D2271" s="57" t="s">
        <v>4048</v>
      </c>
      <c r="F2271" s="57">
        <v>169</v>
      </c>
      <c r="G2271" s="57" t="s">
        <v>4152</v>
      </c>
      <c r="H2271" s="57" t="s">
        <v>919</v>
      </c>
    </row>
    <row r="2272" spans="2:8" ht="13.5" customHeight="1">
      <c r="B2272" s="57" t="s">
        <v>4150</v>
      </c>
      <c r="D2272" s="57" t="s">
        <v>4151</v>
      </c>
      <c r="F2272" s="57">
        <v>7</v>
      </c>
      <c r="G2272" s="57" t="s">
        <v>4152</v>
      </c>
      <c r="H2272" s="57" t="s">
        <v>918</v>
      </c>
    </row>
    <row r="2273" spans="2:8" ht="13.5" customHeight="1">
      <c r="B2273" s="57" t="s">
        <v>4148</v>
      </c>
      <c r="D2273" s="57" t="s">
        <v>4149</v>
      </c>
      <c r="F2273" s="57">
        <v>7</v>
      </c>
      <c r="G2273" s="57" t="s">
        <v>4152</v>
      </c>
      <c r="H2273" s="57" t="s">
        <v>918</v>
      </c>
    </row>
    <row r="2274" spans="2:8" ht="13.5" customHeight="1">
      <c r="B2274" s="57" t="s">
        <v>4146</v>
      </c>
      <c r="D2274" s="57" t="s">
        <v>4147</v>
      </c>
      <c r="F2274" s="57">
        <v>9</v>
      </c>
      <c r="G2274" s="57" t="s">
        <v>4152</v>
      </c>
      <c r="H2274" s="57" t="s">
        <v>918</v>
      </c>
    </row>
    <row r="2275" spans="2:8" ht="13.5" customHeight="1">
      <c r="B2275" s="57" t="s">
        <v>4142</v>
      </c>
      <c r="D2275" s="57" t="s">
        <v>4143</v>
      </c>
      <c r="F2275" s="57">
        <v>15</v>
      </c>
      <c r="G2275" s="57" t="s">
        <v>4152</v>
      </c>
      <c r="H2275" s="57" t="s">
        <v>918</v>
      </c>
    </row>
    <row r="2276" spans="2:8" ht="13.5" customHeight="1">
      <c r="B2276" s="57" t="s">
        <v>4144</v>
      </c>
      <c r="D2276" s="57" t="s">
        <v>4145</v>
      </c>
      <c r="F2276" s="57">
        <v>15</v>
      </c>
      <c r="G2276" s="57" t="s">
        <v>4152</v>
      </c>
      <c r="H2276" s="57" t="s">
        <v>918</v>
      </c>
    </row>
    <row r="2277" spans="2:8" ht="13.5" customHeight="1">
      <c r="B2277" s="57" t="s">
        <v>3223</v>
      </c>
      <c r="D2277" s="57" t="s">
        <v>4079</v>
      </c>
      <c r="F2277" s="57">
        <v>3</v>
      </c>
      <c r="G2277" s="57" t="s">
        <v>4152</v>
      </c>
      <c r="H2277" s="57" t="s">
        <v>1114</v>
      </c>
    </row>
    <row r="2278" spans="2:8" ht="13.5" customHeight="1">
      <c r="B2278" s="57" t="s">
        <v>4068</v>
      </c>
      <c r="D2278" s="57" t="s">
        <v>4069</v>
      </c>
      <c r="F2278" s="57">
        <v>5</v>
      </c>
      <c r="G2278" s="57" t="s">
        <v>4152</v>
      </c>
      <c r="H2278" s="57" t="s">
        <v>1114</v>
      </c>
    </row>
    <row r="2279" spans="2:8" ht="13.5" customHeight="1">
      <c r="B2279" s="57" t="s">
        <v>4056</v>
      </c>
      <c r="D2279" s="57" t="s">
        <v>4057</v>
      </c>
      <c r="F2279" s="57">
        <v>5</v>
      </c>
      <c r="G2279" s="57" t="s">
        <v>4152</v>
      </c>
      <c r="H2279" s="57" t="s">
        <v>1114</v>
      </c>
    </row>
    <row r="2280" spans="2:8" ht="13.5" customHeight="1">
      <c r="B2280" s="57" t="s">
        <v>4007</v>
      </c>
      <c r="D2280" s="57" t="s">
        <v>4008</v>
      </c>
      <c r="F2280" s="57">
        <v>5</v>
      </c>
      <c r="G2280" s="57" t="s">
        <v>4152</v>
      </c>
      <c r="H2280" s="57" t="s">
        <v>1114</v>
      </c>
    </row>
    <row r="2281" spans="2:8" ht="13.5" customHeight="1">
      <c r="B2281" s="57" t="s">
        <v>4118</v>
      </c>
      <c r="D2281" s="57" t="s">
        <v>4119</v>
      </c>
      <c r="F2281" s="57">
        <v>5</v>
      </c>
      <c r="G2281" s="57" t="s">
        <v>4152</v>
      </c>
      <c r="H2281" s="57" t="s">
        <v>1114</v>
      </c>
    </row>
    <row r="2282" spans="2:8" ht="13.5" customHeight="1">
      <c r="B2282" s="57" t="s">
        <v>4106</v>
      </c>
      <c r="D2282" s="57" t="s">
        <v>4107</v>
      </c>
      <c r="F2282" s="57">
        <v>6</v>
      </c>
      <c r="G2282" s="57" t="s">
        <v>4152</v>
      </c>
      <c r="H2282" s="57" t="s">
        <v>1114</v>
      </c>
    </row>
    <row r="2283" spans="2:8" ht="13.5" customHeight="1">
      <c r="B2283" s="57" t="s">
        <v>3968</v>
      </c>
      <c r="D2283" s="57" t="s">
        <v>3969</v>
      </c>
      <c r="F2283" s="57">
        <v>6</v>
      </c>
      <c r="G2283" s="57" t="s">
        <v>4152</v>
      </c>
      <c r="H2283" s="57" t="s">
        <v>1114</v>
      </c>
    </row>
    <row r="2284" spans="2:8" ht="13.5" customHeight="1">
      <c r="B2284" s="57" t="s">
        <v>4002</v>
      </c>
      <c r="D2284" s="57">
        <v>7447840147</v>
      </c>
      <c r="F2284" s="57">
        <v>7</v>
      </c>
      <c r="G2284" s="57" t="s">
        <v>4152</v>
      </c>
      <c r="H2284" s="57" t="s">
        <v>1114</v>
      </c>
    </row>
    <row r="2285" spans="2:8" ht="13.5" customHeight="1">
      <c r="B2285" s="57" t="s">
        <v>4036</v>
      </c>
      <c r="D2285" s="57" t="s">
        <v>4037</v>
      </c>
      <c r="F2285" s="57">
        <v>7</v>
      </c>
      <c r="G2285" s="57" t="s">
        <v>4152</v>
      </c>
      <c r="H2285" s="57" t="s">
        <v>1114</v>
      </c>
    </row>
    <row r="2286" spans="2:8" ht="13.5" customHeight="1">
      <c r="B2286" s="57" t="s">
        <v>3978</v>
      </c>
      <c r="D2286" s="57" t="s">
        <v>3979</v>
      </c>
      <c r="F2286" s="57">
        <v>7</v>
      </c>
      <c r="G2286" s="57" t="s">
        <v>4152</v>
      </c>
      <c r="H2286" s="57" t="s">
        <v>1114</v>
      </c>
    </row>
    <row r="2287" spans="2:8" ht="13.5" customHeight="1">
      <c r="B2287" s="57" t="s">
        <v>4017</v>
      </c>
      <c r="D2287" s="57" t="s">
        <v>4018</v>
      </c>
      <c r="F2287" s="57">
        <v>7</v>
      </c>
      <c r="G2287" s="57" t="s">
        <v>4152</v>
      </c>
      <c r="H2287" s="57" t="s">
        <v>1114</v>
      </c>
    </row>
    <row r="2288" spans="2:8" ht="13.5" customHeight="1">
      <c r="B2288" s="57" t="s">
        <v>4137</v>
      </c>
      <c r="D2288" s="57" t="s">
        <v>4138</v>
      </c>
      <c r="F2288" s="57">
        <v>7</v>
      </c>
      <c r="G2288" s="57" t="s">
        <v>4152</v>
      </c>
      <c r="H2288" s="57" t="s">
        <v>1114</v>
      </c>
    </row>
    <row r="2289" spans="2:8" ht="13.5" customHeight="1">
      <c r="B2289" s="57" t="s">
        <v>4125</v>
      </c>
      <c r="D2289" s="57" t="s">
        <v>4126</v>
      </c>
      <c r="F2289" s="57">
        <v>7</v>
      </c>
      <c r="G2289" s="57" t="s">
        <v>4152</v>
      </c>
      <c r="H2289" s="57" t="s">
        <v>1114</v>
      </c>
    </row>
    <row r="2290" spans="2:8" ht="13.5" customHeight="1">
      <c r="B2290" s="57" t="s">
        <v>4092</v>
      </c>
      <c r="D2290" s="57" t="s">
        <v>4093</v>
      </c>
      <c r="F2290" s="57">
        <v>7</v>
      </c>
      <c r="G2290" s="57" t="s">
        <v>4152</v>
      </c>
      <c r="H2290" s="57" t="s">
        <v>1114</v>
      </c>
    </row>
    <row r="2291" spans="2:8" ht="13.5" customHeight="1">
      <c r="B2291" s="57" t="s">
        <v>4122</v>
      </c>
      <c r="D2291" s="57">
        <v>885012006051</v>
      </c>
      <c r="F2291" s="57">
        <v>13</v>
      </c>
      <c r="G2291" s="57" t="s">
        <v>4152</v>
      </c>
      <c r="H2291" s="57" t="s">
        <v>1114</v>
      </c>
    </row>
    <row r="2292" spans="2:8" ht="13.5" customHeight="1">
      <c r="B2292" s="57" t="s">
        <v>4116</v>
      </c>
      <c r="D2292" s="57" t="s">
        <v>4117</v>
      </c>
      <c r="F2292" s="57">
        <v>14</v>
      </c>
      <c r="G2292" s="57" t="s">
        <v>4152</v>
      </c>
      <c r="H2292" s="57" t="s">
        <v>1114</v>
      </c>
    </row>
    <row r="2293" spans="2:8" ht="13.5" customHeight="1">
      <c r="B2293" s="57" t="s">
        <v>4104</v>
      </c>
      <c r="D2293" s="57" t="s">
        <v>4105</v>
      </c>
      <c r="F2293" s="57">
        <v>14</v>
      </c>
      <c r="G2293" s="57" t="s">
        <v>4152</v>
      </c>
      <c r="H2293" s="57" t="s">
        <v>1114</v>
      </c>
    </row>
    <row r="2294" spans="2:8" ht="13.5" customHeight="1">
      <c r="B2294" s="57" t="s">
        <v>4066</v>
      </c>
      <c r="D2294" s="57" t="s">
        <v>4067</v>
      </c>
      <c r="F2294" s="57">
        <v>14</v>
      </c>
      <c r="G2294" s="57" t="s">
        <v>4152</v>
      </c>
      <c r="H2294" s="57" t="s">
        <v>1114</v>
      </c>
    </row>
    <row r="2295" spans="2:8" ht="13.5" customHeight="1">
      <c r="B2295" s="57" t="s">
        <v>3983</v>
      </c>
      <c r="D2295" s="57" t="s">
        <v>3984</v>
      </c>
      <c r="F2295" s="57">
        <v>15</v>
      </c>
      <c r="G2295" s="57" t="s">
        <v>4152</v>
      </c>
      <c r="H2295" s="57" t="s">
        <v>1114</v>
      </c>
    </row>
    <row r="2296" spans="2:8" ht="13.5" customHeight="1">
      <c r="B2296" s="57" t="s">
        <v>4114</v>
      </c>
      <c r="D2296" s="57" t="s">
        <v>4115</v>
      </c>
      <c r="F2296" s="57">
        <v>19</v>
      </c>
      <c r="G2296" s="57" t="s">
        <v>4152</v>
      </c>
      <c r="H2296" s="57" t="s">
        <v>1114</v>
      </c>
    </row>
    <row r="2297" spans="2:8" ht="13.5" customHeight="1">
      <c r="B2297" s="57" t="s">
        <v>4129</v>
      </c>
      <c r="D2297" s="57" t="s">
        <v>4130</v>
      </c>
      <c r="F2297" s="57">
        <v>20</v>
      </c>
      <c r="G2297" s="57" t="s">
        <v>4152</v>
      </c>
      <c r="H2297" s="57" t="s">
        <v>1114</v>
      </c>
    </row>
    <row r="2298" spans="2:8" ht="13.5" customHeight="1">
      <c r="B2298" s="57" t="s">
        <v>891</v>
      </c>
      <c r="D2298" s="57" t="s">
        <v>4101</v>
      </c>
      <c r="E2298" s="57" t="s">
        <v>4109</v>
      </c>
      <c r="F2298" s="57">
        <v>21</v>
      </c>
      <c r="G2298" s="57" t="s">
        <v>4152</v>
      </c>
      <c r="H2298" s="57" t="s">
        <v>1114</v>
      </c>
    </row>
    <row r="2299" spans="2:8" ht="13.5" customHeight="1">
      <c r="B2299" s="57" t="s">
        <v>4098</v>
      </c>
      <c r="D2299" s="57" t="s">
        <v>4099</v>
      </c>
      <c r="F2299" s="57">
        <v>21</v>
      </c>
      <c r="G2299" s="57" t="s">
        <v>4152</v>
      </c>
      <c r="H2299" s="57" t="s">
        <v>1114</v>
      </c>
    </row>
    <row r="2300" spans="2:8" ht="13.5" customHeight="1">
      <c r="B2300" s="57" t="s">
        <v>4084</v>
      </c>
      <c r="D2300" s="57" t="s">
        <v>4085</v>
      </c>
      <c r="F2300" s="57">
        <v>21</v>
      </c>
      <c r="G2300" s="57" t="s">
        <v>4152</v>
      </c>
      <c r="H2300" s="57" t="s">
        <v>1114</v>
      </c>
    </row>
    <row r="2301" spans="2:8" ht="13.5" customHeight="1">
      <c r="B2301" s="57" t="s">
        <v>4050</v>
      </c>
      <c r="D2301" s="57" t="s">
        <v>4051</v>
      </c>
      <c r="F2301" s="57">
        <v>25</v>
      </c>
      <c r="G2301" s="57" t="s">
        <v>4152</v>
      </c>
      <c r="H2301" s="57" t="s">
        <v>1114</v>
      </c>
    </row>
    <row r="2302" spans="2:8" ht="13.5" customHeight="1">
      <c r="B2302" s="57" t="s">
        <v>3974</v>
      </c>
      <c r="D2302" s="57" t="s">
        <v>3975</v>
      </c>
      <c r="F2302" s="57">
        <v>28</v>
      </c>
      <c r="G2302" s="57" t="s">
        <v>4152</v>
      </c>
      <c r="H2302" s="57" t="s">
        <v>1114</v>
      </c>
    </row>
    <row r="2303" spans="2:8" ht="13.5" customHeight="1">
      <c r="B2303" s="57" t="s">
        <v>3972</v>
      </c>
      <c r="D2303" s="57" t="s">
        <v>3973</v>
      </c>
      <c r="F2303" s="57">
        <v>28</v>
      </c>
      <c r="G2303" s="57" t="s">
        <v>4152</v>
      </c>
      <c r="H2303" s="57" t="s">
        <v>1114</v>
      </c>
    </row>
    <row r="2304" spans="2:8" ht="13.5" customHeight="1">
      <c r="B2304" s="57" t="s">
        <v>4011</v>
      </c>
      <c r="D2304" s="57" t="s">
        <v>4012</v>
      </c>
      <c r="F2304" s="57">
        <v>42</v>
      </c>
      <c r="G2304" s="57" t="s">
        <v>4152</v>
      </c>
      <c r="H2304" s="57" t="s">
        <v>1114</v>
      </c>
    </row>
    <row r="2305" spans="2:8" ht="13.5" customHeight="1">
      <c r="B2305" s="57" t="s">
        <v>528</v>
      </c>
      <c r="D2305" s="57" t="s">
        <v>4044</v>
      </c>
      <c r="F2305" s="57">
        <v>60</v>
      </c>
      <c r="G2305" s="57" t="s">
        <v>4152</v>
      </c>
      <c r="H2305" s="57" t="s">
        <v>1114</v>
      </c>
    </row>
    <row r="2306" spans="2:8" ht="13.5" customHeight="1">
      <c r="B2306" s="57" t="s">
        <v>1335</v>
      </c>
      <c r="D2306" s="57" t="s">
        <v>4045</v>
      </c>
      <c r="E2306" s="57" t="s">
        <v>1083</v>
      </c>
      <c r="F2306" s="57">
        <v>111</v>
      </c>
      <c r="G2306" s="57" t="s">
        <v>4152</v>
      </c>
      <c r="H2306" s="57" t="s">
        <v>1114</v>
      </c>
    </row>
    <row r="2307" spans="2:8" ht="13.5" customHeight="1">
      <c r="B2307" s="57" t="s">
        <v>4052</v>
      </c>
      <c r="D2307" s="57" t="s">
        <v>4053</v>
      </c>
      <c r="E2307" s="57" t="s">
        <v>4059</v>
      </c>
      <c r="F2307" s="57">
        <v>130</v>
      </c>
      <c r="G2307" s="57" t="s">
        <v>4152</v>
      </c>
      <c r="H2307" s="57" t="s">
        <v>1114</v>
      </c>
    </row>
    <row r="2308" spans="2:8" ht="13.5" customHeight="1">
      <c r="B2308" s="57" t="s">
        <v>4045</v>
      </c>
      <c r="D2308" s="57" t="s">
        <v>4046</v>
      </c>
      <c r="F2308" s="57">
        <v>167</v>
      </c>
      <c r="G2308" s="57" t="s">
        <v>4152</v>
      </c>
      <c r="H2308" s="57" t="s">
        <v>1114</v>
      </c>
    </row>
    <row r="2309" spans="2:8" ht="13.5" customHeight="1">
      <c r="B2309" s="57" t="s">
        <v>683</v>
      </c>
      <c r="D2309" s="57" t="s">
        <v>4049</v>
      </c>
      <c r="E2309" s="57" t="s">
        <v>4058</v>
      </c>
      <c r="F2309" s="57">
        <v>190</v>
      </c>
      <c r="G2309" s="57" t="s">
        <v>4152</v>
      </c>
      <c r="H2309" s="57" t="s">
        <v>1114</v>
      </c>
    </row>
    <row r="2310" spans="2:8" ht="13.5" customHeight="1">
      <c r="B2310" s="57" t="s">
        <v>4153</v>
      </c>
      <c r="D2310" s="60" t="s">
        <v>8321</v>
      </c>
      <c r="F2310" s="57">
        <v>1</v>
      </c>
      <c r="G2310" s="57" t="s">
        <v>4589</v>
      </c>
      <c r="H2310" s="57" t="s">
        <v>343</v>
      </c>
    </row>
    <row r="2311" spans="2:8" ht="13.5" customHeight="1">
      <c r="B2311" s="57" t="s">
        <v>4155</v>
      </c>
      <c r="D2311" s="57" t="s">
        <v>4156</v>
      </c>
      <c r="F2311" s="57">
        <v>2</v>
      </c>
      <c r="G2311" s="57" t="s">
        <v>4589</v>
      </c>
      <c r="H2311" s="57" t="s">
        <v>343</v>
      </c>
    </row>
    <row r="2312" spans="2:8" ht="13.5" customHeight="1">
      <c r="D2312" s="57" t="s">
        <v>4154</v>
      </c>
      <c r="F2312" s="57">
        <v>2</v>
      </c>
      <c r="G2312" s="57" t="s">
        <v>4589</v>
      </c>
      <c r="H2312" s="57" t="s">
        <v>343</v>
      </c>
    </row>
    <row r="2313" spans="2:8" ht="13.5" customHeight="1">
      <c r="B2313" s="57" t="s">
        <v>4157</v>
      </c>
      <c r="D2313" s="57" t="s">
        <v>4158</v>
      </c>
      <c r="F2313" s="57">
        <v>3</v>
      </c>
      <c r="G2313" s="57" t="s">
        <v>4589</v>
      </c>
      <c r="H2313" s="57" t="s">
        <v>343</v>
      </c>
    </row>
    <row r="2314" spans="2:8" ht="13.5" customHeight="1">
      <c r="B2314" s="57" t="s">
        <v>4159</v>
      </c>
      <c r="D2314" s="57" t="s">
        <v>3203</v>
      </c>
      <c r="F2314" s="57">
        <v>4</v>
      </c>
      <c r="G2314" s="57" t="s">
        <v>4589</v>
      </c>
      <c r="H2314" s="57" t="s">
        <v>343</v>
      </c>
    </row>
    <row r="2315" spans="2:8" ht="13.5" customHeight="1">
      <c r="B2315" s="57" t="s">
        <v>4160</v>
      </c>
      <c r="D2315" s="57" t="s">
        <v>4161</v>
      </c>
      <c r="F2315" s="57">
        <v>5</v>
      </c>
      <c r="G2315" s="57" t="s">
        <v>4589</v>
      </c>
      <c r="H2315" s="57" t="s">
        <v>343</v>
      </c>
    </row>
    <row r="2316" spans="2:8" ht="13.5" customHeight="1">
      <c r="B2316" s="57" t="s">
        <v>4162</v>
      </c>
      <c r="D2316" s="57" t="s">
        <v>4163</v>
      </c>
      <c r="F2316" s="57">
        <v>10</v>
      </c>
      <c r="G2316" s="57" t="s">
        <v>4589</v>
      </c>
      <c r="H2316" s="57" t="s">
        <v>343</v>
      </c>
    </row>
    <row r="2317" spans="2:8" ht="13.5" customHeight="1">
      <c r="B2317" s="57" t="s">
        <v>4164</v>
      </c>
      <c r="D2317" s="57" t="s">
        <v>4165</v>
      </c>
      <c r="F2317" s="57">
        <v>13</v>
      </c>
      <c r="G2317" s="57" t="s">
        <v>4589</v>
      </c>
      <c r="H2317" s="57" t="s">
        <v>343</v>
      </c>
    </row>
    <row r="2318" spans="2:8" ht="13.5" customHeight="1">
      <c r="B2318" s="57" t="s">
        <v>4167</v>
      </c>
      <c r="D2318" s="57" t="s">
        <v>4168</v>
      </c>
      <c r="F2318" s="57">
        <v>18</v>
      </c>
      <c r="G2318" s="57" t="s">
        <v>4589</v>
      </c>
      <c r="H2318" s="57" t="s">
        <v>343</v>
      </c>
    </row>
    <row r="2319" spans="2:8" ht="13.5" customHeight="1">
      <c r="B2319" s="57" t="s">
        <v>4169</v>
      </c>
      <c r="D2319" s="57" t="s">
        <v>4170</v>
      </c>
      <c r="E2319" s="57" t="s">
        <v>4171</v>
      </c>
      <c r="F2319" s="57">
        <v>19</v>
      </c>
      <c r="G2319" s="57" t="s">
        <v>4589</v>
      </c>
      <c r="H2319" s="57" t="s">
        <v>343</v>
      </c>
    </row>
    <row r="2320" spans="2:8" ht="13.5" customHeight="1">
      <c r="B2320" s="57" t="s">
        <v>4178</v>
      </c>
      <c r="D2320" s="57" t="s">
        <v>4179</v>
      </c>
      <c r="F2320" s="57">
        <v>20</v>
      </c>
      <c r="G2320" s="57" t="s">
        <v>4589</v>
      </c>
      <c r="H2320" s="57" t="s">
        <v>343</v>
      </c>
    </row>
    <row r="2321" spans="2:8" ht="13.5" customHeight="1">
      <c r="B2321" s="57" t="s">
        <v>4180</v>
      </c>
      <c r="D2321" s="57" t="s">
        <v>4181</v>
      </c>
      <c r="F2321" s="57">
        <v>20</v>
      </c>
      <c r="G2321" s="57" t="s">
        <v>4589</v>
      </c>
      <c r="H2321" s="57" t="s">
        <v>343</v>
      </c>
    </row>
    <row r="2322" spans="2:8" ht="13.5" customHeight="1">
      <c r="B2322" s="57" t="s">
        <v>4182</v>
      </c>
      <c r="D2322" s="57" t="s">
        <v>4183</v>
      </c>
      <c r="F2322" s="57">
        <v>20</v>
      </c>
      <c r="G2322" s="57" t="s">
        <v>4589</v>
      </c>
      <c r="H2322" s="57" t="s">
        <v>343</v>
      </c>
    </row>
    <row r="2323" spans="2:8" ht="13.5" customHeight="1">
      <c r="B2323" s="57" t="s">
        <v>4172</v>
      </c>
      <c r="D2323" s="57" t="s">
        <v>4173</v>
      </c>
      <c r="E2323" s="57" t="s">
        <v>4174</v>
      </c>
      <c r="F2323" s="57">
        <v>20</v>
      </c>
      <c r="G2323" s="57" t="s">
        <v>4589</v>
      </c>
      <c r="H2323" s="57" t="s">
        <v>343</v>
      </c>
    </row>
    <row r="2324" spans="2:8" ht="13.5" customHeight="1">
      <c r="B2324" s="57" t="s">
        <v>4175</v>
      </c>
      <c r="D2324" s="57" t="s">
        <v>4176</v>
      </c>
      <c r="E2324" s="57" t="s">
        <v>4177</v>
      </c>
      <c r="F2324" s="57">
        <v>20</v>
      </c>
      <c r="G2324" s="57" t="s">
        <v>4589</v>
      </c>
      <c r="H2324" s="57" t="s">
        <v>343</v>
      </c>
    </row>
    <row r="2325" spans="2:8" ht="13.5" customHeight="1">
      <c r="B2325" s="57" t="s">
        <v>4184</v>
      </c>
      <c r="D2325" s="57" t="s">
        <v>4185</v>
      </c>
      <c r="F2325" s="57">
        <v>29</v>
      </c>
      <c r="G2325" s="57" t="s">
        <v>4589</v>
      </c>
      <c r="H2325" s="57" t="s">
        <v>343</v>
      </c>
    </row>
    <row r="2326" spans="2:8" ht="13.5" customHeight="1">
      <c r="B2326" s="57" t="s">
        <v>4186</v>
      </c>
      <c r="D2326" s="57" t="s">
        <v>4187</v>
      </c>
      <c r="F2326" s="57">
        <v>35</v>
      </c>
      <c r="G2326" s="57" t="s">
        <v>4589</v>
      </c>
      <c r="H2326" s="57" t="s">
        <v>343</v>
      </c>
    </row>
    <row r="2327" spans="2:8" ht="13.5" customHeight="1">
      <c r="B2327" s="57" t="s">
        <v>4205</v>
      </c>
      <c r="D2327" s="57" t="s">
        <v>4206</v>
      </c>
      <c r="E2327" s="57" t="s">
        <v>4206</v>
      </c>
      <c r="F2327" s="57">
        <v>36</v>
      </c>
      <c r="G2327" s="57" t="s">
        <v>4589</v>
      </c>
      <c r="H2327" s="57" t="s">
        <v>343</v>
      </c>
    </row>
    <row r="2328" spans="2:8" ht="13.5" customHeight="1">
      <c r="B2328" s="57" t="s">
        <v>4587</v>
      </c>
      <c r="D2328" s="57" t="s">
        <v>4588</v>
      </c>
      <c r="F2328" s="57">
        <v>1</v>
      </c>
      <c r="G2328" s="57" t="s">
        <v>4589</v>
      </c>
      <c r="H2328" s="57" t="s">
        <v>344</v>
      </c>
    </row>
    <row r="2329" spans="2:8" ht="13.5" customHeight="1">
      <c r="D2329" s="57" t="s">
        <v>4581</v>
      </c>
      <c r="F2329" s="57">
        <v>1</v>
      </c>
      <c r="G2329" s="57" t="s">
        <v>4589</v>
      </c>
      <c r="H2329" s="57" t="s">
        <v>344</v>
      </c>
    </row>
    <row r="2330" spans="2:8" ht="13.5" customHeight="1">
      <c r="B2330" s="57" t="s">
        <v>4575</v>
      </c>
      <c r="D2330" s="57" t="s">
        <v>4576</v>
      </c>
      <c r="F2330" s="57">
        <v>2</v>
      </c>
      <c r="G2330" s="57" t="s">
        <v>4589</v>
      </c>
      <c r="H2330" s="57" t="s">
        <v>344</v>
      </c>
    </row>
    <row r="2331" spans="2:8" ht="13.5" customHeight="1">
      <c r="B2331" s="57" t="s">
        <v>4191</v>
      </c>
      <c r="D2331" s="60" t="s">
        <v>8311</v>
      </c>
      <c r="F2331" s="57">
        <v>2</v>
      </c>
      <c r="G2331" s="57" t="s">
        <v>4589</v>
      </c>
      <c r="H2331" s="57" t="s">
        <v>344</v>
      </c>
    </row>
    <row r="2332" spans="2:8" ht="13.5" customHeight="1">
      <c r="B2332" s="57" t="s">
        <v>4189</v>
      </c>
      <c r="D2332" s="57" t="s">
        <v>4190</v>
      </c>
      <c r="F2332" s="57">
        <v>2</v>
      </c>
      <c r="G2332" s="57" t="s">
        <v>4589</v>
      </c>
      <c r="H2332" s="57" t="s">
        <v>344</v>
      </c>
    </row>
    <row r="2333" spans="2:8" ht="13.5" customHeight="1">
      <c r="B2333" s="57" t="s">
        <v>4192</v>
      </c>
      <c r="D2333" s="57" t="s">
        <v>4192</v>
      </c>
      <c r="F2333" s="57">
        <v>2</v>
      </c>
      <c r="G2333" s="57" t="s">
        <v>4589</v>
      </c>
      <c r="H2333" s="57" t="s">
        <v>344</v>
      </c>
    </row>
    <row r="2334" spans="2:8" ht="13.5" customHeight="1">
      <c r="B2334" s="57" t="s">
        <v>4582</v>
      </c>
      <c r="D2334" s="57" t="s">
        <v>4583</v>
      </c>
      <c r="F2334" s="57">
        <v>2</v>
      </c>
      <c r="G2334" s="57" t="s">
        <v>4589</v>
      </c>
      <c r="H2334" s="57" t="s">
        <v>344</v>
      </c>
    </row>
    <row r="2335" spans="2:8" ht="13.5" customHeight="1">
      <c r="B2335" s="57" t="s">
        <v>4188</v>
      </c>
      <c r="D2335" s="60" t="s">
        <v>8320</v>
      </c>
      <c r="F2335" s="57">
        <v>2</v>
      </c>
      <c r="G2335" s="57" t="s">
        <v>4589</v>
      </c>
      <c r="H2335" s="57" t="s">
        <v>344</v>
      </c>
    </row>
    <row r="2336" spans="2:8" ht="13.5" customHeight="1">
      <c r="B2336" s="57" t="s">
        <v>4562</v>
      </c>
      <c r="D2336" s="57" t="s">
        <v>4563</v>
      </c>
      <c r="F2336" s="57">
        <v>3</v>
      </c>
      <c r="G2336" s="57" t="s">
        <v>4589</v>
      </c>
      <c r="H2336" s="57" t="s">
        <v>344</v>
      </c>
    </row>
    <row r="2337" spans="2:9" ht="13.5" customHeight="1">
      <c r="B2337" s="57" t="s">
        <v>4584</v>
      </c>
      <c r="D2337" s="57" t="s">
        <v>4585</v>
      </c>
      <c r="F2337" s="57">
        <v>4</v>
      </c>
      <c r="G2337" s="57" t="s">
        <v>4589</v>
      </c>
      <c r="H2337" s="57" t="s">
        <v>344</v>
      </c>
    </row>
    <row r="2338" spans="2:9" ht="13.5" customHeight="1">
      <c r="B2338" s="57" t="s">
        <v>4560</v>
      </c>
      <c r="D2338" s="57" t="s">
        <v>4561</v>
      </c>
      <c r="F2338" s="57">
        <v>4</v>
      </c>
      <c r="G2338" s="57" t="s">
        <v>4589</v>
      </c>
      <c r="H2338" s="57" t="s">
        <v>344</v>
      </c>
    </row>
    <row r="2339" spans="2:9" ht="13.5" customHeight="1">
      <c r="D2339" s="57" t="s">
        <v>4586</v>
      </c>
      <c r="F2339" s="57">
        <v>4</v>
      </c>
      <c r="G2339" s="57" t="s">
        <v>4589</v>
      </c>
      <c r="H2339" s="57" t="s">
        <v>344</v>
      </c>
    </row>
    <row r="2340" spans="2:9" ht="13.5" customHeight="1">
      <c r="B2340" s="57" t="s">
        <v>4193</v>
      </c>
      <c r="D2340" s="57" t="s">
        <v>4194</v>
      </c>
      <c r="F2340" s="57">
        <v>5</v>
      </c>
      <c r="G2340" s="57" t="s">
        <v>4589</v>
      </c>
      <c r="H2340" s="57" t="s">
        <v>344</v>
      </c>
      <c r="I2340" s="60" t="s">
        <v>8309</v>
      </c>
    </row>
    <row r="2341" spans="2:9" ht="13.5" customHeight="1">
      <c r="B2341" s="57" t="s">
        <v>4548</v>
      </c>
      <c r="D2341" s="57" t="s">
        <v>4549</v>
      </c>
      <c r="F2341" s="57">
        <v>5</v>
      </c>
      <c r="G2341" s="57" t="s">
        <v>4589</v>
      </c>
      <c r="H2341" s="57" t="s">
        <v>344</v>
      </c>
    </row>
    <row r="2342" spans="2:9" ht="13.5" customHeight="1">
      <c r="B2342" s="57" t="s">
        <v>4564</v>
      </c>
      <c r="D2342" s="60" t="s">
        <v>8319</v>
      </c>
      <c r="F2342" s="57">
        <v>6</v>
      </c>
      <c r="G2342" s="57" t="s">
        <v>4589</v>
      </c>
      <c r="H2342" s="57" t="s">
        <v>344</v>
      </c>
    </row>
    <row r="2343" spans="2:9" ht="13.5" customHeight="1">
      <c r="B2343" s="57" t="s">
        <v>4550</v>
      </c>
      <c r="D2343" s="57" t="s">
        <v>4551</v>
      </c>
      <c r="F2343" s="57">
        <v>7</v>
      </c>
      <c r="G2343" s="57" t="s">
        <v>4589</v>
      </c>
      <c r="H2343" s="57" t="s">
        <v>344</v>
      </c>
    </row>
    <row r="2344" spans="2:9" ht="13.5" customHeight="1">
      <c r="B2344" s="57" t="s">
        <v>4195</v>
      </c>
      <c r="D2344" s="57" t="s">
        <v>4196</v>
      </c>
      <c r="F2344" s="57">
        <v>8</v>
      </c>
      <c r="G2344" s="57" t="s">
        <v>4589</v>
      </c>
      <c r="H2344" s="57" t="s">
        <v>344</v>
      </c>
    </row>
    <row r="2345" spans="2:9" ht="13.5" customHeight="1">
      <c r="B2345" s="57" t="s">
        <v>4197</v>
      </c>
      <c r="D2345" s="57" t="s">
        <v>4198</v>
      </c>
      <c r="F2345" s="57">
        <v>9</v>
      </c>
      <c r="G2345" s="57" t="s">
        <v>4589</v>
      </c>
      <c r="H2345" s="57" t="s">
        <v>344</v>
      </c>
    </row>
    <row r="2346" spans="2:9" ht="13.5" customHeight="1">
      <c r="B2346" s="57" t="s">
        <v>4567</v>
      </c>
      <c r="D2346" s="57" t="s">
        <v>4568</v>
      </c>
      <c r="F2346" s="57">
        <v>9</v>
      </c>
      <c r="G2346" s="57" t="s">
        <v>4589</v>
      </c>
      <c r="H2346" s="57" t="s">
        <v>344</v>
      </c>
    </row>
    <row r="2347" spans="2:9" ht="13.5" customHeight="1">
      <c r="B2347" s="57" t="s">
        <v>4199</v>
      </c>
      <c r="D2347" s="57" t="s">
        <v>4200</v>
      </c>
      <c r="F2347" s="57">
        <v>10</v>
      </c>
      <c r="G2347" s="57" t="s">
        <v>4589</v>
      </c>
      <c r="H2347" s="57" t="s">
        <v>344</v>
      </c>
    </row>
    <row r="2348" spans="2:9" ht="13.5" customHeight="1">
      <c r="B2348" s="57" t="s">
        <v>4162</v>
      </c>
      <c r="D2348" s="57" t="s">
        <v>4553</v>
      </c>
      <c r="F2348" s="57">
        <v>10</v>
      </c>
      <c r="G2348" s="57" t="s">
        <v>4589</v>
      </c>
      <c r="H2348" s="57" t="s">
        <v>344</v>
      </c>
    </row>
    <row r="2349" spans="2:9" ht="13.5" customHeight="1">
      <c r="B2349" s="57" t="s">
        <v>4580</v>
      </c>
      <c r="D2349" s="57" t="s">
        <v>4513</v>
      </c>
      <c r="F2349" s="57">
        <v>10</v>
      </c>
      <c r="G2349" s="57" t="s">
        <v>4589</v>
      </c>
      <c r="H2349" s="57" t="s">
        <v>344</v>
      </c>
    </row>
    <row r="2350" spans="2:9" ht="13.5" customHeight="1">
      <c r="B2350" s="57" t="s">
        <v>4201</v>
      </c>
      <c r="D2350" s="57" t="s">
        <v>4202</v>
      </c>
      <c r="F2350" s="57">
        <v>13</v>
      </c>
      <c r="G2350" s="57" t="s">
        <v>4589</v>
      </c>
      <c r="H2350" s="57" t="s">
        <v>344</v>
      </c>
    </row>
    <row r="2351" spans="2:9" ht="13.5" customHeight="1">
      <c r="B2351" s="57" t="s">
        <v>4545</v>
      </c>
      <c r="D2351" s="57" t="s">
        <v>238</v>
      </c>
      <c r="F2351" s="57">
        <v>13</v>
      </c>
      <c r="G2351" s="57" t="s">
        <v>4589</v>
      </c>
      <c r="H2351" s="57" t="s">
        <v>344</v>
      </c>
    </row>
    <row r="2352" spans="2:9" ht="13.5" customHeight="1">
      <c r="B2352" s="57" t="s">
        <v>4565</v>
      </c>
      <c r="D2352" s="57" t="s">
        <v>4566</v>
      </c>
      <c r="F2352" s="57">
        <v>19</v>
      </c>
      <c r="G2352" s="57" t="s">
        <v>4589</v>
      </c>
      <c r="H2352" s="57" t="s">
        <v>344</v>
      </c>
    </row>
    <row r="2353" spans="2:8" ht="13.5" customHeight="1">
      <c r="B2353" s="57" t="s">
        <v>4539</v>
      </c>
      <c r="D2353" s="57" t="s">
        <v>4540</v>
      </c>
      <c r="F2353" s="57">
        <v>20</v>
      </c>
      <c r="G2353" s="57" t="s">
        <v>4589</v>
      </c>
      <c r="H2353" s="57" t="s">
        <v>344</v>
      </c>
    </row>
    <row r="2354" spans="2:8" ht="13.5" customHeight="1">
      <c r="B2354" s="57" t="s">
        <v>4207</v>
      </c>
      <c r="D2354" s="57" t="s">
        <v>4208</v>
      </c>
      <c r="E2354" s="57" t="s">
        <v>4208</v>
      </c>
      <c r="F2354" s="57">
        <v>40</v>
      </c>
      <c r="G2354" s="57" t="s">
        <v>4589</v>
      </c>
      <c r="H2354" s="57" t="s">
        <v>344</v>
      </c>
    </row>
    <row r="2355" spans="2:8" ht="13.5" customHeight="1">
      <c r="B2355" s="57" t="s">
        <v>4209</v>
      </c>
      <c r="D2355" s="57" t="s">
        <v>4210</v>
      </c>
      <c r="F2355" s="57">
        <v>48</v>
      </c>
      <c r="G2355" s="57" t="s">
        <v>4589</v>
      </c>
      <c r="H2355" s="57" t="s">
        <v>344</v>
      </c>
    </row>
    <row r="2356" spans="2:8" ht="13.5" customHeight="1">
      <c r="B2356" s="57" t="s">
        <v>4541</v>
      </c>
      <c r="D2356" s="57" t="s">
        <v>4542</v>
      </c>
      <c r="F2356" s="57">
        <v>49</v>
      </c>
      <c r="G2356" s="57" t="s">
        <v>4589</v>
      </c>
      <c r="H2356" s="57" t="s">
        <v>344</v>
      </c>
    </row>
    <row r="2357" spans="2:8" ht="13.5" customHeight="1">
      <c r="B2357" s="57" t="s">
        <v>4552</v>
      </c>
      <c r="D2357" s="57" t="s">
        <v>4290</v>
      </c>
      <c r="F2357" s="57">
        <v>49</v>
      </c>
      <c r="G2357" s="57" t="s">
        <v>4589</v>
      </c>
      <c r="H2357" s="57" t="s">
        <v>344</v>
      </c>
    </row>
    <row r="2358" spans="2:8" ht="13.5" customHeight="1">
      <c r="B2358" s="57" t="s">
        <v>4546</v>
      </c>
      <c r="D2358" s="57" t="s">
        <v>4547</v>
      </c>
      <c r="F2358" s="57">
        <v>60</v>
      </c>
      <c r="G2358" s="57" t="s">
        <v>4589</v>
      </c>
      <c r="H2358" s="57" t="s">
        <v>344</v>
      </c>
    </row>
    <row r="2359" spans="2:8" ht="13.5" customHeight="1">
      <c r="B2359" s="57" t="s">
        <v>4211</v>
      </c>
      <c r="D2359" s="57" t="s">
        <v>4212</v>
      </c>
      <c r="F2359" s="57">
        <v>1</v>
      </c>
      <c r="G2359" s="57" t="s">
        <v>4589</v>
      </c>
      <c r="H2359" s="57" t="s">
        <v>345</v>
      </c>
    </row>
    <row r="2360" spans="2:8" ht="13.5" customHeight="1">
      <c r="B2360" s="68" t="s">
        <v>4578</v>
      </c>
      <c r="D2360" s="57" t="s">
        <v>4579</v>
      </c>
      <c r="F2360" s="57">
        <v>2</v>
      </c>
      <c r="G2360" s="57" t="s">
        <v>4589</v>
      </c>
      <c r="H2360" s="57" t="s">
        <v>345</v>
      </c>
    </row>
    <row r="2361" spans="2:8" ht="13.5" customHeight="1">
      <c r="B2361" s="57" t="s">
        <v>4573</v>
      </c>
      <c r="D2361" s="57" t="s">
        <v>4574</v>
      </c>
      <c r="F2361" s="57">
        <v>5</v>
      </c>
      <c r="G2361" s="57" t="s">
        <v>4589</v>
      </c>
      <c r="H2361" s="57" t="s">
        <v>345</v>
      </c>
    </row>
    <row r="2362" spans="2:8" ht="13.5" customHeight="1">
      <c r="B2362" s="57" t="s">
        <v>4554</v>
      </c>
      <c r="D2362" s="57" t="s">
        <v>4555</v>
      </c>
      <c r="F2362" s="57">
        <v>5</v>
      </c>
      <c r="G2362" s="57" t="s">
        <v>4589</v>
      </c>
      <c r="H2362" s="57" t="s">
        <v>345</v>
      </c>
    </row>
    <row r="2363" spans="2:8" ht="13.5" customHeight="1">
      <c r="B2363" s="57" t="s">
        <v>4558</v>
      </c>
      <c r="D2363" s="57" t="s">
        <v>4559</v>
      </c>
      <c r="F2363" s="57">
        <v>5</v>
      </c>
      <c r="G2363" s="57" t="s">
        <v>4589</v>
      </c>
      <c r="H2363" s="57" t="s">
        <v>345</v>
      </c>
    </row>
    <row r="2364" spans="2:8" ht="13.5" customHeight="1">
      <c r="B2364" s="57" t="s">
        <v>4577</v>
      </c>
      <c r="D2364" s="60" t="s">
        <v>8312</v>
      </c>
      <c r="F2364" s="57">
        <v>5</v>
      </c>
      <c r="G2364" s="57" t="s">
        <v>4589</v>
      </c>
      <c r="H2364" s="57" t="s">
        <v>345</v>
      </c>
    </row>
    <row r="2365" spans="2:8" ht="13.5" customHeight="1">
      <c r="B2365" s="57" t="s">
        <v>4213</v>
      </c>
      <c r="D2365" s="57" t="s">
        <v>4214</v>
      </c>
      <c r="F2365" s="57">
        <v>5</v>
      </c>
      <c r="G2365" s="57" t="s">
        <v>4589</v>
      </c>
      <c r="H2365" s="57" t="s">
        <v>345</v>
      </c>
    </row>
    <row r="2366" spans="2:8" ht="13.5" customHeight="1">
      <c r="B2366" s="57" t="s">
        <v>4301</v>
      </c>
      <c r="D2366" s="57" t="s">
        <v>4571</v>
      </c>
      <c r="F2366" s="57">
        <v>8</v>
      </c>
      <c r="G2366" s="57" t="s">
        <v>4589</v>
      </c>
      <c r="H2366" s="57" t="s">
        <v>345</v>
      </c>
    </row>
    <row r="2367" spans="2:8" ht="13.5" customHeight="1">
      <c r="B2367" s="57" t="s">
        <v>4525</v>
      </c>
      <c r="D2367" s="57" t="s">
        <v>4572</v>
      </c>
      <c r="F2367" s="57">
        <v>9</v>
      </c>
      <c r="G2367" s="57" t="s">
        <v>4589</v>
      </c>
      <c r="H2367" s="57" t="s">
        <v>345</v>
      </c>
    </row>
    <row r="2368" spans="2:8" ht="13.5" customHeight="1">
      <c r="B2368" s="57" t="s">
        <v>4556</v>
      </c>
      <c r="D2368" s="57" t="s">
        <v>4557</v>
      </c>
      <c r="F2368" s="57">
        <v>17</v>
      </c>
      <c r="G2368" s="57" t="s">
        <v>4589</v>
      </c>
      <c r="H2368" s="57" t="s">
        <v>345</v>
      </c>
    </row>
    <row r="2369" spans="2:8" ht="13.5" customHeight="1">
      <c r="B2369" s="57" t="s">
        <v>4543</v>
      </c>
      <c r="D2369" s="57" t="s">
        <v>4544</v>
      </c>
      <c r="F2369" s="57">
        <v>18</v>
      </c>
      <c r="G2369" s="57" t="s">
        <v>4589</v>
      </c>
      <c r="H2369" s="57" t="s">
        <v>345</v>
      </c>
    </row>
    <row r="2370" spans="2:8" ht="13.5" customHeight="1">
      <c r="B2370" s="57" t="s">
        <v>4569</v>
      </c>
      <c r="D2370" s="57" t="s">
        <v>4570</v>
      </c>
      <c r="F2370" s="57">
        <v>27</v>
      </c>
      <c r="G2370" s="57" t="s">
        <v>4589</v>
      </c>
      <c r="H2370" s="57" t="s">
        <v>345</v>
      </c>
    </row>
    <row r="2371" spans="2:8" ht="13.5" customHeight="1">
      <c r="B2371" s="57" t="s">
        <v>4223</v>
      </c>
      <c r="D2371" s="57" t="s">
        <v>486</v>
      </c>
      <c r="F2371" s="57">
        <v>37</v>
      </c>
      <c r="G2371" s="57" t="s">
        <v>4589</v>
      </c>
      <c r="H2371" s="57" t="s">
        <v>345</v>
      </c>
    </row>
    <row r="2372" spans="2:8" ht="13.5" customHeight="1">
      <c r="B2372" s="57" t="s">
        <v>4531</v>
      </c>
      <c r="D2372" s="57" t="s">
        <v>4532</v>
      </c>
      <c r="F2372" s="57">
        <v>40</v>
      </c>
      <c r="G2372" s="57" t="s">
        <v>4589</v>
      </c>
      <c r="H2372" s="57" t="s">
        <v>345</v>
      </c>
    </row>
    <row r="2373" spans="2:8" ht="13.5" customHeight="1">
      <c r="B2373" s="60" t="s">
        <v>8322</v>
      </c>
      <c r="D2373" s="57" t="s">
        <v>8310</v>
      </c>
      <c r="F2373" s="57">
        <v>48</v>
      </c>
      <c r="G2373" s="57" t="s">
        <v>4589</v>
      </c>
      <c r="H2373" s="57" t="s">
        <v>345</v>
      </c>
    </row>
    <row r="2374" spans="2:8" ht="13.5" customHeight="1">
      <c r="B2374" s="57" t="s">
        <v>4215</v>
      </c>
      <c r="D2374" s="57" t="s">
        <v>4216</v>
      </c>
      <c r="F2374" s="57">
        <v>49</v>
      </c>
      <c r="G2374" s="57" t="s">
        <v>4589</v>
      </c>
      <c r="H2374" s="57" t="s">
        <v>345</v>
      </c>
    </row>
    <row r="2375" spans="2:8" ht="13.5" customHeight="1">
      <c r="B2375" s="57" t="s">
        <v>4220</v>
      </c>
      <c r="D2375" s="57" t="s">
        <v>488</v>
      </c>
      <c r="F2375" s="57">
        <v>60</v>
      </c>
      <c r="G2375" s="57" t="s">
        <v>4589</v>
      </c>
      <c r="H2375" s="57" t="s">
        <v>345</v>
      </c>
    </row>
    <row r="2376" spans="2:8" ht="13.5" customHeight="1">
      <c r="B2376" s="57" t="s">
        <v>4217</v>
      </c>
      <c r="D2376" s="57" t="s">
        <v>4218</v>
      </c>
      <c r="E2376" s="57" t="s">
        <v>4219</v>
      </c>
      <c r="F2376" s="57">
        <v>60</v>
      </c>
      <c r="G2376" s="57" t="s">
        <v>4589</v>
      </c>
      <c r="H2376" s="57" t="s">
        <v>345</v>
      </c>
    </row>
    <row r="2377" spans="2:8" ht="13.5" customHeight="1">
      <c r="B2377" s="57" t="s">
        <v>4221</v>
      </c>
      <c r="D2377" s="57" t="s">
        <v>4222</v>
      </c>
      <c r="F2377" s="57">
        <v>61</v>
      </c>
      <c r="G2377" s="57" t="s">
        <v>4589</v>
      </c>
      <c r="H2377" s="57" t="s">
        <v>345</v>
      </c>
    </row>
    <row r="2378" spans="2:8" ht="13.5" customHeight="1">
      <c r="B2378" s="57" t="s">
        <v>4224</v>
      </c>
      <c r="D2378" s="57" t="s">
        <v>4225</v>
      </c>
      <c r="F2378" s="57">
        <v>88</v>
      </c>
      <c r="G2378" s="57" t="s">
        <v>4589</v>
      </c>
      <c r="H2378" s="57" t="s">
        <v>345</v>
      </c>
    </row>
    <row r="2379" spans="2:8" ht="13.5" customHeight="1">
      <c r="B2379" s="57" t="s">
        <v>4226</v>
      </c>
      <c r="D2379" s="57" t="s">
        <v>4227</v>
      </c>
      <c r="F2379" s="57">
        <v>13</v>
      </c>
      <c r="G2379" s="57" t="s">
        <v>4589</v>
      </c>
      <c r="H2379" s="57" t="s">
        <v>919</v>
      </c>
    </row>
    <row r="2380" spans="2:8" ht="13.5" customHeight="1">
      <c r="B2380" s="57" t="s">
        <v>4228</v>
      </c>
      <c r="D2380" s="57" t="s">
        <v>4229</v>
      </c>
      <c r="F2380" s="57">
        <v>18</v>
      </c>
      <c r="G2380" s="57" t="s">
        <v>4589</v>
      </c>
      <c r="H2380" s="57" t="s">
        <v>919</v>
      </c>
    </row>
    <row r="2381" spans="2:8" ht="13.5" customHeight="1">
      <c r="B2381" s="57" t="s">
        <v>4230</v>
      </c>
      <c r="D2381" s="57" t="s">
        <v>4231</v>
      </c>
      <c r="F2381" s="57">
        <v>44</v>
      </c>
      <c r="G2381" s="57" t="s">
        <v>4589</v>
      </c>
      <c r="H2381" s="57" t="s">
        <v>919</v>
      </c>
    </row>
    <row r="2382" spans="2:8" ht="13.5" customHeight="1">
      <c r="B2382" s="57" t="s">
        <v>4232</v>
      </c>
      <c r="D2382" s="57" t="s">
        <v>4233</v>
      </c>
      <c r="F2382" s="57">
        <v>46</v>
      </c>
      <c r="G2382" s="57" t="s">
        <v>4589</v>
      </c>
      <c r="H2382" s="57" t="s">
        <v>919</v>
      </c>
    </row>
    <row r="2383" spans="2:8" ht="13.5" customHeight="1">
      <c r="B2383" s="57" t="s">
        <v>4234</v>
      </c>
      <c r="D2383" s="57" t="s">
        <v>4235</v>
      </c>
      <c r="F2383" s="57">
        <v>49</v>
      </c>
      <c r="G2383" s="57" t="s">
        <v>4589</v>
      </c>
      <c r="H2383" s="57" t="s">
        <v>919</v>
      </c>
    </row>
    <row r="2384" spans="2:8" ht="13.5" customHeight="1">
      <c r="B2384" s="57" t="s">
        <v>4236</v>
      </c>
      <c r="D2384" s="57" t="s">
        <v>4237</v>
      </c>
      <c r="F2384" s="57">
        <v>50</v>
      </c>
      <c r="G2384" s="57" t="s">
        <v>4589</v>
      </c>
      <c r="H2384" s="57" t="s">
        <v>919</v>
      </c>
    </row>
    <row r="2385" spans="2:8" ht="13.5" customHeight="1">
      <c r="B2385" s="57" t="s">
        <v>4238</v>
      </c>
      <c r="D2385" s="57" t="s">
        <v>4239</v>
      </c>
      <c r="F2385" s="57">
        <v>52</v>
      </c>
      <c r="G2385" s="57" t="s">
        <v>4589</v>
      </c>
      <c r="H2385" s="57" t="s">
        <v>919</v>
      </c>
    </row>
    <row r="2386" spans="2:8" ht="13.5" customHeight="1">
      <c r="B2386" s="57" t="s">
        <v>4240</v>
      </c>
      <c r="D2386" s="57" t="s">
        <v>4241</v>
      </c>
      <c r="F2386" s="57">
        <v>71</v>
      </c>
      <c r="G2386" s="57" t="s">
        <v>4589</v>
      </c>
      <c r="H2386" s="57" t="s">
        <v>919</v>
      </c>
    </row>
    <row r="2387" spans="2:8" ht="13.5" customHeight="1">
      <c r="B2387" s="57" t="s">
        <v>4242</v>
      </c>
      <c r="D2387" s="57" t="s">
        <v>4243</v>
      </c>
      <c r="F2387" s="57">
        <v>77</v>
      </c>
      <c r="G2387" s="57" t="s">
        <v>4589</v>
      </c>
      <c r="H2387" s="57" t="s">
        <v>919</v>
      </c>
    </row>
    <row r="2388" spans="2:8" ht="13.5" customHeight="1">
      <c r="B2388" s="57" t="s">
        <v>8323</v>
      </c>
      <c r="D2388" s="60" t="s">
        <v>8316</v>
      </c>
      <c r="F2388" s="57">
        <v>210</v>
      </c>
      <c r="G2388" s="57" t="s">
        <v>4589</v>
      </c>
      <c r="H2388" s="57" t="s">
        <v>919</v>
      </c>
    </row>
    <row r="2389" spans="2:8" ht="13.5" customHeight="1">
      <c r="B2389" s="57" t="s">
        <v>4244</v>
      </c>
      <c r="D2389" s="57" t="s">
        <v>4245</v>
      </c>
      <c r="F2389" s="57">
        <v>220</v>
      </c>
      <c r="G2389" s="57" t="s">
        <v>4589</v>
      </c>
      <c r="H2389" s="57" t="s">
        <v>919</v>
      </c>
    </row>
    <row r="2390" spans="2:8" ht="13.5" customHeight="1">
      <c r="B2390" s="57" t="s">
        <v>4246</v>
      </c>
      <c r="D2390" s="57" t="s">
        <v>4247</v>
      </c>
      <c r="F2390" s="57">
        <v>1</v>
      </c>
      <c r="G2390" s="57" t="s">
        <v>4589</v>
      </c>
      <c r="H2390" s="57" t="s">
        <v>918</v>
      </c>
    </row>
    <row r="2391" spans="2:8" ht="13.5" customHeight="1">
      <c r="B2391" s="57" t="s">
        <v>4248</v>
      </c>
      <c r="D2391" s="57" t="s">
        <v>4249</v>
      </c>
      <c r="F2391" s="57">
        <v>3</v>
      </c>
      <c r="G2391" s="57" t="s">
        <v>4589</v>
      </c>
      <c r="H2391" s="57" t="s">
        <v>918</v>
      </c>
    </row>
    <row r="2392" spans="2:8" ht="13.5" customHeight="1">
      <c r="B2392" s="57" t="s">
        <v>4255</v>
      </c>
      <c r="D2392" s="57" t="s">
        <v>4256</v>
      </c>
      <c r="F2392" s="57">
        <v>3</v>
      </c>
      <c r="G2392" s="57" t="s">
        <v>4589</v>
      </c>
      <c r="H2392" s="57" t="s">
        <v>918</v>
      </c>
    </row>
    <row r="2393" spans="2:8" ht="13.5" customHeight="1">
      <c r="B2393" s="57" t="s">
        <v>4253</v>
      </c>
      <c r="D2393" s="57" t="s">
        <v>4254</v>
      </c>
      <c r="F2393" s="57">
        <v>3</v>
      </c>
      <c r="G2393" s="57" t="s">
        <v>4589</v>
      </c>
      <c r="H2393" s="57" t="s">
        <v>918</v>
      </c>
    </row>
    <row r="2394" spans="2:8" ht="13.5" customHeight="1">
      <c r="B2394" s="57" t="s">
        <v>4257</v>
      </c>
      <c r="D2394" s="57" t="s">
        <v>4258</v>
      </c>
      <c r="F2394" s="57">
        <v>3</v>
      </c>
      <c r="G2394" s="57" t="s">
        <v>4589</v>
      </c>
      <c r="H2394" s="57" t="s">
        <v>918</v>
      </c>
    </row>
    <row r="2395" spans="2:8" ht="13.5" customHeight="1">
      <c r="B2395" s="57" t="s">
        <v>4251</v>
      </c>
      <c r="D2395" s="57" t="s">
        <v>4252</v>
      </c>
      <c r="F2395" s="57">
        <v>3</v>
      </c>
      <c r="G2395" s="57" t="s">
        <v>4589</v>
      </c>
      <c r="H2395" s="57" t="s">
        <v>918</v>
      </c>
    </row>
    <row r="2396" spans="2:8" ht="13.5" customHeight="1">
      <c r="B2396" s="57" t="s">
        <v>4250</v>
      </c>
      <c r="D2396" s="57" t="s">
        <v>4250</v>
      </c>
      <c r="F2396" s="57">
        <v>3</v>
      </c>
      <c r="G2396" s="57" t="s">
        <v>4589</v>
      </c>
      <c r="H2396" s="57" t="s">
        <v>918</v>
      </c>
    </row>
    <row r="2397" spans="2:8" ht="13.5" customHeight="1">
      <c r="B2397" s="57" t="s">
        <v>4259</v>
      </c>
      <c r="D2397" s="57" t="s">
        <v>4260</v>
      </c>
      <c r="F2397" s="57">
        <v>7</v>
      </c>
      <c r="G2397" s="57" t="s">
        <v>4589</v>
      </c>
      <c r="H2397" s="57" t="s">
        <v>918</v>
      </c>
    </row>
    <row r="2398" spans="2:8" ht="13.5" customHeight="1">
      <c r="D2398" s="57" t="s">
        <v>4261</v>
      </c>
      <c r="F2398" s="57">
        <v>9</v>
      </c>
      <c r="G2398" s="57" t="s">
        <v>4589</v>
      </c>
      <c r="H2398" s="57" t="s">
        <v>918</v>
      </c>
    </row>
    <row r="2399" spans="2:8" ht="13.5" customHeight="1">
      <c r="B2399" s="57" t="s">
        <v>4262</v>
      </c>
      <c r="D2399" s="57" t="s">
        <v>4263</v>
      </c>
      <c r="F2399" s="57">
        <v>10</v>
      </c>
      <c r="G2399" s="57" t="s">
        <v>4589</v>
      </c>
      <c r="H2399" s="57" t="s">
        <v>918</v>
      </c>
    </row>
    <row r="2400" spans="2:8" ht="13.5" customHeight="1">
      <c r="B2400" s="57" t="s">
        <v>281</v>
      </c>
      <c r="D2400" s="57" t="s">
        <v>1423</v>
      </c>
      <c r="F2400" s="57">
        <v>11</v>
      </c>
      <c r="G2400" s="57" t="s">
        <v>4589</v>
      </c>
      <c r="H2400" s="57" t="s">
        <v>918</v>
      </c>
    </row>
    <row r="2401" spans="2:8" ht="13.5" customHeight="1">
      <c r="B2401" s="57" t="s">
        <v>4264</v>
      </c>
      <c r="D2401" s="57" t="s">
        <v>4265</v>
      </c>
      <c r="F2401" s="57">
        <v>12</v>
      </c>
      <c r="G2401" s="57" t="s">
        <v>4589</v>
      </c>
      <c r="H2401" s="57" t="s">
        <v>918</v>
      </c>
    </row>
    <row r="2402" spans="2:8" ht="13.5" customHeight="1">
      <c r="B2402" s="57" t="s">
        <v>319</v>
      </c>
      <c r="D2402" s="57" t="s">
        <v>4268</v>
      </c>
      <c r="F2402" s="57">
        <v>18</v>
      </c>
      <c r="G2402" s="57" t="s">
        <v>4589</v>
      </c>
      <c r="H2402" s="57" t="s">
        <v>918</v>
      </c>
    </row>
    <row r="2403" spans="2:8" ht="13.5" customHeight="1">
      <c r="B2403" s="57" t="s">
        <v>4266</v>
      </c>
      <c r="D2403" s="57" t="s">
        <v>4267</v>
      </c>
      <c r="F2403" s="57">
        <v>18</v>
      </c>
      <c r="G2403" s="57" t="s">
        <v>4589</v>
      </c>
      <c r="H2403" s="57" t="s">
        <v>918</v>
      </c>
    </row>
    <row r="2404" spans="2:8" ht="13.5" customHeight="1">
      <c r="B2404" s="57" t="s">
        <v>4269</v>
      </c>
      <c r="D2404" s="57" t="s">
        <v>4270</v>
      </c>
      <c r="F2404" s="57">
        <v>19</v>
      </c>
      <c r="G2404" s="57" t="s">
        <v>4589</v>
      </c>
      <c r="H2404" s="57" t="s">
        <v>918</v>
      </c>
    </row>
    <row r="2405" spans="2:8" ht="13.5" customHeight="1">
      <c r="B2405" s="57" t="s">
        <v>4271</v>
      </c>
      <c r="D2405" s="57" t="s">
        <v>4272</v>
      </c>
      <c r="F2405" s="57">
        <v>23</v>
      </c>
      <c r="G2405" s="57" t="s">
        <v>4589</v>
      </c>
      <c r="H2405" s="57" t="s">
        <v>918</v>
      </c>
    </row>
    <row r="2406" spans="2:8" ht="13.5" customHeight="1">
      <c r="B2406" s="57" t="s">
        <v>4273</v>
      </c>
      <c r="D2406" s="57" t="s">
        <v>4274</v>
      </c>
      <c r="F2406" s="57">
        <v>26</v>
      </c>
      <c r="G2406" s="57" t="s">
        <v>4589</v>
      </c>
      <c r="H2406" s="57" t="s">
        <v>918</v>
      </c>
    </row>
    <row r="2407" spans="2:8" ht="13.5" customHeight="1">
      <c r="B2407" s="57" t="s">
        <v>3666</v>
      </c>
      <c r="D2407" s="57" t="s">
        <v>3667</v>
      </c>
      <c r="F2407" s="57">
        <v>27</v>
      </c>
      <c r="G2407" s="57" t="s">
        <v>4589</v>
      </c>
      <c r="H2407" s="57" t="s">
        <v>918</v>
      </c>
    </row>
    <row r="2408" spans="2:8" ht="13.5" customHeight="1">
      <c r="B2408" s="57" t="s">
        <v>4275</v>
      </c>
      <c r="D2408" s="57" t="s">
        <v>4276</v>
      </c>
      <c r="F2408" s="57">
        <v>34</v>
      </c>
      <c r="G2408" s="57" t="s">
        <v>4589</v>
      </c>
      <c r="H2408" s="57" t="s">
        <v>918</v>
      </c>
    </row>
    <row r="2409" spans="2:8" ht="13.5" customHeight="1">
      <c r="B2409" s="57" t="s">
        <v>4277</v>
      </c>
      <c r="D2409" s="57" t="s">
        <v>4278</v>
      </c>
      <c r="F2409" s="57">
        <v>39</v>
      </c>
      <c r="G2409" s="57" t="s">
        <v>4589</v>
      </c>
      <c r="H2409" s="57" t="s">
        <v>918</v>
      </c>
    </row>
    <row r="2410" spans="2:8" ht="13.5" customHeight="1">
      <c r="B2410" s="57" t="s">
        <v>4279</v>
      </c>
      <c r="D2410" s="57" t="s">
        <v>4280</v>
      </c>
      <c r="F2410" s="57">
        <v>56</v>
      </c>
      <c r="G2410" s="57" t="s">
        <v>4589</v>
      </c>
      <c r="H2410" s="57" t="s">
        <v>918</v>
      </c>
    </row>
    <row r="2411" spans="2:8" ht="13.5" customHeight="1">
      <c r="B2411" s="57" t="s">
        <v>4281</v>
      </c>
      <c r="D2411" s="57" t="s">
        <v>4282</v>
      </c>
      <c r="F2411" s="57">
        <v>60</v>
      </c>
      <c r="G2411" s="57" t="s">
        <v>4589</v>
      </c>
      <c r="H2411" s="57" t="s">
        <v>918</v>
      </c>
    </row>
    <row r="2412" spans="2:8" ht="13.5" customHeight="1">
      <c r="B2412" s="57" t="s">
        <v>4283</v>
      </c>
      <c r="D2412" s="57" t="s">
        <v>4284</v>
      </c>
      <c r="F2412" s="57">
        <v>76</v>
      </c>
      <c r="G2412" s="57" t="s">
        <v>4589</v>
      </c>
      <c r="H2412" s="57" t="s">
        <v>918</v>
      </c>
    </row>
    <row r="2413" spans="2:8" ht="13.5" customHeight="1">
      <c r="B2413" s="57" t="s">
        <v>4285</v>
      </c>
      <c r="D2413" s="57" t="s">
        <v>4286</v>
      </c>
      <c r="F2413" s="57">
        <v>96</v>
      </c>
      <c r="G2413" s="57" t="s">
        <v>4589</v>
      </c>
      <c r="H2413" s="57" t="s">
        <v>918</v>
      </c>
    </row>
    <row r="2414" spans="2:8" ht="13.5" customHeight="1">
      <c r="B2414" s="57" t="s">
        <v>4287</v>
      </c>
      <c r="D2414" s="57" t="s">
        <v>4288</v>
      </c>
      <c r="F2414" s="57">
        <v>105</v>
      </c>
      <c r="G2414" s="57" t="s">
        <v>4589</v>
      </c>
      <c r="H2414" s="57" t="s">
        <v>918</v>
      </c>
    </row>
    <row r="2415" spans="2:8" ht="13.5" customHeight="1">
      <c r="B2415" s="57" t="s">
        <v>4314</v>
      </c>
      <c r="D2415" s="57" t="s">
        <v>4315</v>
      </c>
      <c r="F2415" s="57">
        <v>1</v>
      </c>
      <c r="G2415" s="57" t="s">
        <v>4589</v>
      </c>
      <c r="H2415" s="57" t="s">
        <v>1114</v>
      </c>
    </row>
    <row r="2416" spans="2:8" ht="13.5" customHeight="1">
      <c r="B2416" s="57" t="s">
        <v>4316</v>
      </c>
      <c r="D2416" s="60" t="s">
        <v>8313</v>
      </c>
      <c r="F2416" s="57">
        <v>2</v>
      </c>
      <c r="G2416" s="57" t="s">
        <v>4589</v>
      </c>
      <c r="H2416" s="57" t="s">
        <v>1114</v>
      </c>
    </row>
    <row r="2417" spans="2:8" ht="13.5" customHeight="1">
      <c r="B2417" s="57" t="s">
        <v>4317</v>
      </c>
      <c r="D2417" s="60" t="s">
        <v>8315</v>
      </c>
      <c r="F2417" s="57">
        <v>2</v>
      </c>
      <c r="G2417" s="57" t="s">
        <v>4589</v>
      </c>
      <c r="H2417" s="57" t="s">
        <v>1114</v>
      </c>
    </row>
    <row r="2418" spans="2:8" ht="13.5" customHeight="1">
      <c r="B2418" s="57" t="s">
        <v>4318</v>
      </c>
      <c r="D2418" s="57" t="s">
        <v>4318</v>
      </c>
      <c r="F2418" s="57">
        <v>2</v>
      </c>
      <c r="G2418" s="57" t="s">
        <v>4589</v>
      </c>
      <c r="H2418" s="57" t="s">
        <v>1114</v>
      </c>
    </row>
    <row r="2419" spans="2:8" ht="13.5" customHeight="1">
      <c r="B2419" s="57" t="s">
        <v>2961</v>
      </c>
      <c r="D2419" s="57" t="s">
        <v>2962</v>
      </c>
      <c r="F2419" s="57">
        <v>7</v>
      </c>
      <c r="G2419" s="57" t="s">
        <v>4589</v>
      </c>
      <c r="H2419" s="57" t="s">
        <v>1114</v>
      </c>
    </row>
    <row r="2420" spans="2:8" ht="13.5" customHeight="1">
      <c r="B2420" s="57" t="s">
        <v>4203</v>
      </c>
      <c r="D2420" s="57" t="s">
        <v>4204</v>
      </c>
      <c r="F2420" s="57">
        <v>8</v>
      </c>
      <c r="G2420" s="57" t="s">
        <v>4589</v>
      </c>
      <c r="H2420" s="57" t="s">
        <v>1114</v>
      </c>
    </row>
    <row r="2421" spans="2:8" ht="13.5" customHeight="1">
      <c r="B2421" s="57" t="s">
        <v>4289</v>
      </c>
      <c r="D2421" s="57" t="s">
        <v>4290</v>
      </c>
      <c r="F2421" s="57">
        <v>10</v>
      </c>
      <c r="G2421" s="57" t="s">
        <v>4589</v>
      </c>
      <c r="H2421" s="57" t="s">
        <v>1114</v>
      </c>
    </row>
    <row r="2422" spans="2:8" ht="13.5" customHeight="1">
      <c r="B2422" s="57" t="s">
        <v>4319</v>
      </c>
      <c r="D2422" s="57" t="s">
        <v>4320</v>
      </c>
      <c r="E2422" s="57" t="s">
        <v>4321</v>
      </c>
      <c r="F2422" s="57">
        <v>13</v>
      </c>
      <c r="G2422" s="57" t="s">
        <v>4589</v>
      </c>
      <c r="H2422" s="57" t="s">
        <v>1114</v>
      </c>
    </row>
    <row r="2423" spans="2:8" ht="13.5" customHeight="1">
      <c r="D2423" s="57" t="s">
        <v>4307</v>
      </c>
      <c r="F2423" s="57">
        <v>15</v>
      </c>
      <c r="G2423" s="57" t="s">
        <v>4589</v>
      </c>
      <c r="H2423" s="57" t="s">
        <v>1114</v>
      </c>
    </row>
    <row r="2424" spans="2:8" ht="13.5" customHeight="1">
      <c r="B2424" s="57" t="s">
        <v>4291</v>
      </c>
      <c r="D2424" s="57" t="s">
        <v>4292</v>
      </c>
      <c r="F2424" s="57">
        <v>18</v>
      </c>
      <c r="G2424" s="57" t="s">
        <v>4589</v>
      </c>
      <c r="H2424" s="57" t="s">
        <v>1114</v>
      </c>
    </row>
    <row r="2425" spans="2:8" ht="13.5" customHeight="1">
      <c r="B2425" s="57" t="s">
        <v>4304</v>
      </c>
      <c r="D2425" s="57" t="s">
        <v>4305</v>
      </c>
      <c r="F2425" s="57">
        <v>19</v>
      </c>
      <c r="G2425" s="57" t="s">
        <v>4589</v>
      </c>
      <c r="H2425" s="57" t="s">
        <v>1114</v>
      </c>
    </row>
    <row r="2426" spans="2:8" ht="13.5" customHeight="1">
      <c r="B2426" s="57" t="s">
        <v>4293</v>
      </c>
      <c r="D2426" s="57" t="s">
        <v>4294</v>
      </c>
      <c r="E2426" s="57" t="s">
        <v>4295</v>
      </c>
      <c r="F2426" s="57">
        <v>19</v>
      </c>
      <c r="G2426" s="57" t="s">
        <v>4589</v>
      </c>
      <c r="H2426" s="57" t="s">
        <v>1114</v>
      </c>
    </row>
    <row r="2427" spans="2:8" ht="13.5" customHeight="1">
      <c r="B2427" s="57" t="s">
        <v>4296</v>
      </c>
      <c r="D2427" s="57" t="s">
        <v>4297</v>
      </c>
      <c r="F2427" s="57">
        <v>20</v>
      </c>
      <c r="G2427" s="57" t="s">
        <v>4589</v>
      </c>
      <c r="H2427" s="57" t="s">
        <v>1114</v>
      </c>
    </row>
    <row r="2428" spans="2:8" ht="13.5" customHeight="1">
      <c r="B2428" s="57" t="s">
        <v>4298</v>
      </c>
      <c r="D2428" s="57" t="s">
        <v>4299</v>
      </c>
      <c r="F2428" s="57">
        <v>20</v>
      </c>
      <c r="G2428" s="57" t="s">
        <v>4589</v>
      </c>
      <c r="H2428" s="57" t="s">
        <v>1114</v>
      </c>
    </row>
    <row r="2429" spans="2:8" ht="13.5" customHeight="1">
      <c r="B2429" s="57" t="s">
        <v>4301</v>
      </c>
      <c r="D2429" s="57" t="s">
        <v>307</v>
      </c>
      <c r="F2429" s="57">
        <v>22</v>
      </c>
      <c r="G2429" s="57" t="s">
        <v>4589</v>
      </c>
      <c r="H2429" s="57" t="s">
        <v>1114</v>
      </c>
    </row>
    <row r="2430" spans="2:8" ht="13.5" customHeight="1">
      <c r="B2430" s="57" t="s">
        <v>4302</v>
      </c>
      <c r="D2430" s="57" t="s">
        <v>4303</v>
      </c>
      <c r="F2430" s="57">
        <v>27</v>
      </c>
      <c r="G2430" s="57" t="s">
        <v>4589</v>
      </c>
      <c r="H2430" s="57" t="s">
        <v>1114</v>
      </c>
    </row>
    <row r="2431" spans="2:8" ht="13.5" customHeight="1">
      <c r="D2431" s="57" t="s">
        <v>4306</v>
      </c>
      <c r="F2431" s="57">
        <v>30</v>
      </c>
      <c r="G2431" s="57" t="s">
        <v>4589</v>
      </c>
      <c r="H2431" s="57" t="s">
        <v>1114</v>
      </c>
    </row>
    <row r="2432" spans="2:8" ht="13.5" customHeight="1">
      <c r="B2432" s="57" t="s">
        <v>4322</v>
      </c>
      <c r="D2432" s="57" t="s">
        <v>4323</v>
      </c>
      <c r="F2432" s="57">
        <v>30</v>
      </c>
      <c r="G2432" s="57" t="s">
        <v>4589</v>
      </c>
      <c r="H2432" s="57" t="s">
        <v>1114</v>
      </c>
    </row>
    <row r="2433" spans="2:8" ht="13.5" customHeight="1">
      <c r="B2433" s="57" t="s">
        <v>4324</v>
      </c>
      <c r="D2433" s="57" t="s">
        <v>4325</v>
      </c>
      <c r="E2433" s="57" t="s">
        <v>1980</v>
      </c>
      <c r="F2433" s="57">
        <v>31</v>
      </c>
      <c r="G2433" s="57" t="s">
        <v>4589</v>
      </c>
      <c r="H2433" s="57" t="s">
        <v>1114</v>
      </c>
    </row>
    <row r="2434" spans="2:8" ht="13.5" customHeight="1">
      <c r="B2434" s="57" t="s">
        <v>4326</v>
      </c>
      <c r="D2434" s="57" t="s">
        <v>4327</v>
      </c>
      <c r="F2434" s="57">
        <v>35</v>
      </c>
      <c r="G2434" s="57" t="s">
        <v>4589</v>
      </c>
      <c r="H2434" s="57" t="s">
        <v>1114</v>
      </c>
    </row>
    <row r="2435" spans="2:8" ht="13.5" customHeight="1">
      <c r="B2435" s="57" t="s">
        <v>4328</v>
      </c>
      <c r="D2435" s="60" t="s">
        <v>8314</v>
      </c>
      <c r="F2435" s="57">
        <v>39</v>
      </c>
      <c r="G2435" s="57" t="s">
        <v>4589</v>
      </c>
      <c r="H2435" s="57" t="s">
        <v>1114</v>
      </c>
    </row>
    <row r="2436" spans="2:8" ht="13.5" customHeight="1">
      <c r="B2436" s="57" t="s">
        <v>4310</v>
      </c>
      <c r="D2436" s="57" t="s">
        <v>4311</v>
      </c>
      <c r="F2436" s="57">
        <v>54</v>
      </c>
      <c r="G2436" s="57" t="s">
        <v>4589</v>
      </c>
      <c r="H2436" s="57" t="s">
        <v>1114</v>
      </c>
    </row>
    <row r="2437" spans="2:8" ht="13.5" customHeight="1">
      <c r="B2437" s="57" t="s">
        <v>4308</v>
      </c>
      <c r="D2437" s="57" t="s">
        <v>4309</v>
      </c>
      <c r="F2437" s="57">
        <v>54</v>
      </c>
      <c r="G2437" s="57" t="s">
        <v>4589</v>
      </c>
      <c r="H2437" s="57" t="s">
        <v>1114</v>
      </c>
    </row>
    <row r="2438" spans="2:8" ht="13.5" customHeight="1">
      <c r="B2438" s="57" t="s">
        <v>4329</v>
      </c>
      <c r="D2438" s="57" t="s">
        <v>4330</v>
      </c>
      <c r="F2438" s="57">
        <v>70</v>
      </c>
      <c r="G2438" s="57" t="s">
        <v>4589</v>
      </c>
      <c r="H2438" s="57" t="s">
        <v>1114</v>
      </c>
    </row>
    <row r="2439" spans="2:8" ht="13.5" customHeight="1">
      <c r="B2439" s="57" t="s">
        <v>4312</v>
      </c>
      <c r="D2439" s="68" t="s">
        <v>4313</v>
      </c>
      <c r="F2439" s="57">
        <v>81</v>
      </c>
      <c r="G2439" s="57" t="s">
        <v>4589</v>
      </c>
      <c r="H2439" s="57" t="s">
        <v>1114</v>
      </c>
    </row>
    <row r="2440" spans="2:8" ht="13.5" customHeight="1">
      <c r="B2440" s="57" t="s">
        <v>4537</v>
      </c>
      <c r="D2440" s="57" t="s">
        <v>4538</v>
      </c>
      <c r="F2440" s="57">
        <v>6317</v>
      </c>
      <c r="G2440" s="57" t="s">
        <v>4589</v>
      </c>
      <c r="H2440" s="57" t="s">
        <v>1114</v>
      </c>
    </row>
    <row r="2441" spans="2:8" ht="13.5" customHeight="1">
      <c r="B2441" s="57" t="s">
        <v>4331</v>
      </c>
      <c r="D2441" s="57" t="s">
        <v>4332</v>
      </c>
      <c r="F2441" s="57">
        <v>2</v>
      </c>
      <c r="G2441" s="57" t="s">
        <v>4589</v>
      </c>
      <c r="H2441" s="57" t="s">
        <v>1354</v>
      </c>
    </row>
    <row r="2442" spans="2:8" ht="13.5" customHeight="1">
      <c r="B2442" s="57" t="s">
        <v>4340</v>
      </c>
      <c r="D2442" s="57" t="s">
        <v>4341</v>
      </c>
      <c r="F2442" s="57">
        <v>3</v>
      </c>
      <c r="G2442" s="57" t="s">
        <v>4589</v>
      </c>
      <c r="H2442" s="57" t="s">
        <v>1354</v>
      </c>
    </row>
    <row r="2443" spans="2:8" ht="13.5" customHeight="1">
      <c r="D2443" s="57" t="s">
        <v>4333</v>
      </c>
      <c r="F2443" s="57">
        <v>3</v>
      </c>
      <c r="G2443" s="57" t="s">
        <v>4589</v>
      </c>
      <c r="H2443" s="57" t="s">
        <v>1354</v>
      </c>
    </row>
    <row r="2444" spans="2:8" ht="13.5" customHeight="1">
      <c r="B2444" s="57" t="s">
        <v>4342</v>
      </c>
      <c r="D2444" s="57" t="s">
        <v>4343</v>
      </c>
      <c r="F2444" s="57">
        <v>3</v>
      </c>
      <c r="G2444" s="57" t="s">
        <v>4589</v>
      </c>
      <c r="H2444" s="57" t="s">
        <v>1354</v>
      </c>
    </row>
    <row r="2445" spans="2:8" ht="13.5" customHeight="1">
      <c r="B2445" s="57" t="s">
        <v>4336</v>
      </c>
      <c r="D2445" s="57" t="s">
        <v>4337</v>
      </c>
      <c r="F2445" s="57">
        <v>3</v>
      </c>
      <c r="G2445" s="57" t="s">
        <v>4589</v>
      </c>
      <c r="H2445" s="57" t="s">
        <v>1354</v>
      </c>
    </row>
    <row r="2446" spans="2:8" ht="13.5" customHeight="1">
      <c r="B2446" s="57" t="s">
        <v>4344</v>
      </c>
      <c r="D2446" s="57" t="s">
        <v>4345</v>
      </c>
      <c r="F2446" s="57">
        <v>3</v>
      </c>
      <c r="G2446" s="57" t="s">
        <v>4589</v>
      </c>
      <c r="H2446" s="57" t="s">
        <v>1354</v>
      </c>
    </row>
    <row r="2447" spans="2:8" ht="13.5" customHeight="1">
      <c r="B2447" s="57" t="s">
        <v>4334</v>
      </c>
      <c r="D2447" s="57" t="s">
        <v>4335</v>
      </c>
      <c r="F2447" s="57">
        <v>3</v>
      </c>
      <c r="G2447" s="57" t="s">
        <v>4589</v>
      </c>
      <c r="H2447" s="57" t="s">
        <v>1354</v>
      </c>
    </row>
    <row r="2448" spans="2:8" ht="13.5" customHeight="1">
      <c r="B2448" s="57" t="s">
        <v>4338</v>
      </c>
      <c r="D2448" s="57" t="s">
        <v>4339</v>
      </c>
      <c r="F2448" s="57">
        <v>3</v>
      </c>
      <c r="G2448" s="57" t="s">
        <v>4589</v>
      </c>
      <c r="H2448" s="57" t="s">
        <v>1354</v>
      </c>
    </row>
    <row r="2449" spans="2:8" ht="13.5" customHeight="1">
      <c r="B2449" s="57" t="s">
        <v>4346</v>
      </c>
      <c r="D2449" s="57" t="s">
        <v>4347</v>
      </c>
      <c r="F2449" s="57">
        <v>5</v>
      </c>
      <c r="G2449" s="57" t="s">
        <v>4589</v>
      </c>
      <c r="H2449" s="57" t="s">
        <v>1354</v>
      </c>
    </row>
    <row r="2450" spans="2:8" ht="13.5" customHeight="1">
      <c r="B2450" s="57" t="s">
        <v>4348</v>
      </c>
      <c r="D2450" s="57" t="s">
        <v>4349</v>
      </c>
      <c r="F2450" s="57">
        <v>6</v>
      </c>
      <c r="G2450" s="57" t="s">
        <v>4589</v>
      </c>
      <c r="H2450" s="57" t="s">
        <v>1354</v>
      </c>
    </row>
    <row r="2451" spans="2:8" ht="13.5" customHeight="1">
      <c r="B2451" s="57" t="s">
        <v>4350</v>
      </c>
      <c r="D2451" s="57" t="s">
        <v>4351</v>
      </c>
      <c r="F2451" s="57">
        <v>7</v>
      </c>
      <c r="G2451" s="57" t="s">
        <v>4589</v>
      </c>
      <c r="H2451" s="57" t="s">
        <v>1354</v>
      </c>
    </row>
    <row r="2452" spans="2:8" ht="13.5" customHeight="1">
      <c r="B2452" s="57" t="s">
        <v>4354</v>
      </c>
      <c r="D2452" s="57" t="s">
        <v>4355</v>
      </c>
      <c r="F2452" s="57">
        <v>9</v>
      </c>
      <c r="G2452" s="57" t="s">
        <v>4589</v>
      </c>
      <c r="H2452" s="57" t="s">
        <v>1354</v>
      </c>
    </row>
    <row r="2453" spans="2:8" ht="13.5" customHeight="1">
      <c r="B2453" s="57" t="s">
        <v>4358</v>
      </c>
      <c r="D2453" s="57" t="s">
        <v>4359</v>
      </c>
      <c r="F2453" s="57">
        <v>9</v>
      </c>
      <c r="G2453" s="57" t="s">
        <v>4589</v>
      </c>
      <c r="H2453" s="57" t="s">
        <v>1354</v>
      </c>
    </row>
    <row r="2454" spans="2:8" ht="13.5" customHeight="1">
      <c r="B2454" s="57" t="s">
        <v>4352</v>
      </c>
      <c r="D2454" s="57" t="s">
        <v>4353</v>
      </c>
      <c r="F2454" s="57">
        <v>9</v>
      </c>
      <c r="G2454" s="57" t="s">
        <v>4589</v>
      </c>
      <c r="H2454" s="57" t="s">
        <v>1354</v>
      </c>
    </row>
    <row r="2455" spans="2:8" ht="13.5" customHeight="1">
      <c r="B2455" s="57" t="s">
        <v>4356</v>
      </c>
      <c r="D2455" s="57" t="s">
        <v>4357</v>
      </c>
      <c r="F2455" s="57">
        <v>9</v>
      </c>
      <c r="G2455" s="57" t="s">
        <v>4589</v>
      </c>
      <c r="H2455" s="57" t="s">
        <v>1354</v>
      </c>
    </row>
    <row r="2456" spans="2:8" ht="13.5" customHeight="1">
      <c r="B2456" s="57" t="s">
        <v>4131</v>
      </c>
      <c r="D2456" s="57" t="s">
        <v>4363</v>
      </c>
      <c r="F2456" s="57">
        <v>9</v>
      </c>
      <c r="G2456" s="57" t="s">
        <v>4589</v>
      </c>
      <c r="H2456" s="57" t="s">
        <v>1354</v>
      </c>
    </row>
    <row r="2457" spans="2:8" ht="13.5" customHeight="1">
      <c r="B2457" s="57" t="s">
        <v>4360</v>
      </c>
      <c r="D2457" s="57" t="s">
        <v>867</v>
      </c>
      <c r="F2457" s="57">
        <v>9</v>
      </c>
      <c r="G2457" s="57" t="s">
        <v>4589</v>
      </c>
      <c r="H2457" s="57" t="s">
        <v>1354</v>
      </c>
    </row>
    <row r="2458" spans="2:8" ht="13.5" customHeight="1">
      <c r="B2458" s="57" t="s">
        <v>4361</v>
      </c>
      <c r="D2458" s="57" t="s">
        <v>4362</v>
      </c>
      <c r="F2458" s="57">
        <v>9</v>
      </c>
      <c r="G2458" s="57" t="s">
        <v>4589</v>
      </c>
      <c r="H2458" s="57" t="s">
        <v>1354</v>
      </c>
    </row>
    <row r="2459" spans="2:8" ht="13.5" customHeight="1">
      <c r="B2459" s="57" t="s">
        <v>4368</v>
      </c>
      <c r="D2459" s="57" t="s">
        <v>4369</v>
      </c>
      <c r="F2459" s="57">
        <v>10</v>
      </c>
      <c r="G2459" s="57" t="s">
        <v>4589</v>
      </c>
      <c r="H2459" s="57" t="s">
        <v>1354</v>
      </c>
    </row>
    <row r="2460" spans="2:8" ht="13.5" customHeight="1">
      <c r="D2460" s="57" t="s">
        <v>4370</v>
      </c>
      <c r="F2460" s="57">
        <v>10</v>
      </c>
      <c r="G2460" s="57" t="s">
        <v>4589</v>
      </c>
      <c r="H2460" s="57" t="s">
        <v>1354</v>
      </c>
    </row>
    <row r="2461" spans="2:8" ht="13.5" customHeight="1">
      <c r="B2461" s="57" t="s">
        <v>4364</v>
      </c>
      <c r="D2461" s="57" t="s">
        <v>4365</v>
      </c>
      <c r="F2461" s="57">
        <v>10</v>
      </c>
      <c r="G2461" s="57" t="s">
        <v>4589</v>
      </c>
      <c r="H2461" s="57" t="s">
        <v>1354</v>
      </c>
    </row>
    <row r="2462" spans="2:8" ht="13.5" customHeight="1">
      <c r="B2462" s="57" t="s">
        <v>4366</v>
      </c>
      <c r="D2462" s="57" t="s">
        <v>4367</v>
      </c>
      <c r="F2462" s="57">
        <v>10</v>
      </c>
      <c r="G2462" s="57" t="s">
        <v>4589</v>
      </c>
      <c r="H2462" s="57" t="s">
        <v>1354</v>
      </c>
    </row>
    <row r="2463" spans="2:8" ht="13.5" customHeight="1">
      <c r="B2463" s="57" t="s">
        <v>4361</v>
      </c>
      <c r="D2463" s="57" t="s">
        <v>4371</v>
      </c>
      <c r="F2463" s="57">
        <v>10</v>
      </c>
      <c r="G2463" s="57" t="s">
        <v>4589</v>
      </c>
      <c r="H2463" s="57" t="s">
        <v>1354</v>
      </c>
    </row>
    <row r="2464" spans="2:8" ht="13.5" customHeight="1">
      <c r="B2464" s="57" t="s">
        <v>4372</v>
      </c>
      <c r="D2464" s="57" t="s">
        <v>4373</v>
      </c>
      <c r="F2464" s="57">
        <v>11</v>
      </c>
      <c r="G2464" s="57" t="s">
        <v>4589</v>
      </c>
      <c r="H2464" s="57" t="s">
        <v>1354</v>
      </c>
    </row>
    <row r="2465" spans="2:8" ht="13.5" customHeight="1">
      <c r="B2465" s="57" t="s">
        <v>4374</v>
      </c>
      <c r="D2465" s="57" t="s">
        <v>4375</v>
      </c>
      <c r="F2465" s="57">
        <v>12</v>
      </c>
      <c r="G2465" s="57" t="s">
        <v>4589</v>
      </c>
      <c r="H2465" s="57" t="s">
        <v>1354</v>
      </c>
    </row>
    <row r="2466" spans="2:8" ht="13.5" customHeight="1">
      <c r="B2466" s="57" t="s">
        <v>4376</v>
      </c>
      <c r="D2466" s="57" t="s">
        <v>4377</v>
      </c>
      <c r="F2466" s="57">
        <v>13</v>
      </c>
      <c r="G2466" s="57" t="s">
        <v>4589</v>
      </c>
      <c r="H2466" s="57" t="s">
        <v>1354</v>
      </c>
    </row>
    <row r="2467" spans="2:8" ht="13.5" customHeight="1">
      <c r="B2467" s="57" t="s">
        <v>4378</v>
      </c>
      <c r="D2467" s="57" t="s">
        <v>4379</v>
      </c>
      <c r="F2467" s="57">
        <v>15</v>
      </c>
      <c r="G2467" s="57" t="s">
        <v>4589</v>
      </c>
      <c r="H2467" s="57" t="s">
        <v>1354</v>
      </c>
    </row>
    <row r="2468" spans="2:8" ht="13.5" customHeight="1">
      <c r="B2468" s="57" t="s">
        <v>4380</v>
      </c>
      <c r="D2468" s="57" t="s">
        <v>4381</v>
      </c>
      <c r="F2468" s="57">
        <v>16</v>
      </c>
      <c r="G2468" s="57" t="s">
        <v>4589</v>
      </c>
      <c r="H2468" s="57" t="s">
        <v>1354</v>
      </c>
    </row>
    <row r="2469" spans="2:8" ht="13.5" customHeight="1">
      <c r="B2469" s="57" t="s">
        <v>4382</v>
      </c>
      <c r="D2469" s="57" t="s">
        <v>1389</v>
      </c>
      <c r="F2469" s="57">
        <v>22</v>
      </c>
      <c r="G2469" s="57" t="s">
        <v>4589</v>
      </c>
      <c r="H2469" s="57" t="s">
        <v>1354</v>
      </c>
    </row>
    <row r="2470" spans="2:8" ht="13.5" customHeight="1">
      <c r="B2470" s="57" t="s">
        <v>4383</v>
      </c>
      <c r="D2470" s="57" t="s">
        <v>4383</v>
      </c>
      <c r="F2470" s="57">
        <v>38</v>
      </c>
      <c r="G2470" s="57" t="s">
        <v>4589</v>
      </c>
      <c r="H2470" s="57" t="s">
        <v>1354</v>
      </c>
    </row>
    <row r="2471" spans="2:8" ht="13.5" customHeight="1">
      <c r="D2471" s="57" t="s">
        <v>4384</v>
      </c>
      <c r="F2471" s="57">
        <v>41</v>
      </c>
      <c r="G2471" s="57" t="s">
        <v>4589</v>
      </c>
      <c r="H2471" s="57" t="s">
        <v>1354</v>
      </c>
    </row>
    <row r="2472" spans="2:8" ht="13.5" customHeight="1">
      <c r="B2472" s="57" t="s">
        <v>4385</v>
      </c>
      <c r="D2472" s="57" t="s">
        <v>4386</v>
      </c>
      <c r="F2472" s="57">
        <v>108</v>
      </c>
      <c r="G2472" s="57" t="s">
        <v>4589</v>
      </c>
      <c r="H2472" s="57" t="s">
        <v>1354</v>
      </c>
    </row>
    <row r="2473" spans="2:8" ht="13.5" customHeight="1">
      <c r="B2473" s="57" t="s">
        <v>4387</v>
      </c>
      <c r="D2473" s="57" t="s">
        <v>4388</v>
      </c>
      <c r="F2473" s="57">
        <v>129</v>
      </c>
      <c r="G2473" s="57" t="s">
        <v>4589</v>
      </c>
      <c r="H2473" s="57" t="s">
        <v>1354</v>
      </c>
    </row>
    <row r="2474" spans="2:8" ht="13.5" customHeight="1">
      <c r="B2474" s="57" t="s">
        <v>4389</v>
      </c>
      <c r="D2474" s="57" t="s">
        <v>4390</v>
      </c>
      <c r="F2474" s="57">
        <v>148</v>
      </c>
      <c r="G2474" s="57" t="s">
        <v>4589</v>
      </c>
      <c r="H2474" s="57" t="s">
        <v>1354</v>
      </c>
    </row>
    <row r="2475" spans="2:8" ht="13.5" customHeight="1">
      <c r="B2475" s="57" t="s">
        <v>4391</v>
      </c>
      <c r="D2475" s="57" t="s">
        <v>4392</v>
      </c>
      <c r="F2475" s="57">
        <v>196</v>
      </c>
      <c r="G2475" s="57" t="s">
        <v>4589</v>
      </c>
      <c r="H2475" s="57" t="s">
        <v>1354</v>
      </c>
    </row>
    <row r="2476" spans="2:8" ht="13.5" customHeight="1">
      <c r="D2476" s="57" t="s">
        <v>2196</v>
      </c>
      <c r="F2476" s="57">
        <v>1</v>
      </c>
      <c r="G2476" s="57" t="s">
        <v>4589</v>
      </c>
      <c r="H2476" s="57" t="s">
        <v>1356</v>
      </c>
    </row>
    <row r="2477" spans="2:8" ht="13.5" customHeight="1">
      <c r="B2477" s="57" t="s">
        <v>4393</v>
      </c>
      <c r="D2477" s="57" t="s">
        <v>4394</v>
      </c>
      <c r="F2477" s="57">
        <v>3</v>
      </c>
      <c r="G2477" s="57" t="s">
        <v>4589</v>
      </c>
      <c r="H2477" s="57" t="s">
        <v>1356</v>
      </c>
    </row>
    <row r="2478" spans="2:8" ht="13.5" customHeight="1">
      <c r="B2478" s="57" t="s">
        <v>4397</v>
      </c>
      <c r="D2478" s="57" t="s">
        <v>4398</v>
      </c>
      <c r="F2478" s="57">
        <v>3</v>
      </c>
      <c r="G2478" s="57" t="s">
        <v>4589</v>
      </c>
      <c r="H2478" s="57" t="s">
        <v>1356</v>
      </c>
    </row>
    <row r="2479" spans="2:8" ht="13.5" customHeight="1">
      <c r="B2479" s="57" t="s">
        <v>4395</v>
      </c>
      <c r="D2479" s="57" t="s">
        <v>4396</v>
      </c>
      <c r="F2479" s="57">
        <v>3</v>
      </c>
      <c r="G2479" s="57" t="s">
        <v>4589</v>
      </c>
      <c r="H2479" s="57" t="s">
        <v>1356</v>
      </c>
    </row>
    <row r="2480" spans="2:8" ht="13.5" customHeight="1">
      <c r="B2480" s="57" t="s">
        <v>4399</v>
      </c>
      <c r="D2480" s="57" t="s">
        <v>4400</v>
      </c>
      <c r="F2480" s="57">
        <v>3</v>
      </c>
      <c r="G2480" s="57" t="s">
        <v>4589</v>
      </c>
      <c r="H2480" s="57" t="s">
        <v>1356</v>
      </c>
    </row>
    <row r="2481" spans="2:8" ht="13.5" customHeight="1">
      <c r="B2481" s="57" t="s">
        <v>3489</v>
      </c>
      <c r="D2481" s="57" t="s">
        <v>3678</v>
      </c>
      <c r="F2481" s="57">
        <v>3</v>
      </c>
      <c r="G2481" s="57" t="s">
        <v>4589</v>
      </c>
      <c r="H2481" s="57" t="s">
        <v>1356</v>
      </c>
    </row>
    <row r="2482" spans="2:8" ht="13.5" customHeight="1">
      <c r="B2482" s="57" t="s">
        <v>4402</v>
      </c>
      <c r="D2482" s="57" t="s">
        <v>4403</v>
      </c>
      <c r="F2482" s="57">
        <v>4</v>
      </c>
      <c r="G2482" s="57" t="s">
        <v>4589</v>
      </c>
      <c r="H2482" s="57" t="s">
        <v>1356</v>
      </c>
    </row>
    <row r="2483" spans="2:8" ht="13.5" customHeight="1">
      <c r="D2483" s="57" t="s">
        <v>3682</v>
      </c>
      <c r="F2483" s="57">
        <v>4</v>
      </c>
      <c r="G2483" s="57" t="s">
        <v>4589</v>
      </c>
      <c r="H2483" s="57" t="s">
        <v>1356</v>
      </c>
    </row>
    <row r="2484" spans="2:8" ht="13.5" customHeight="1">
      <c r="B2484" s="57" t="s">
        <v>4404</v>
      </c>
      <c r="D2484" s="57" t="s">
        <v>4405</v>
      </c>
      <c r="F2484" s="57">
        <v>4</v>
      </c>
      <c r="G2484" s="57" t="s">
        <v>4589</v>
      </c>
      <c r="H2484" s="57" t="s">
        <v>1356</v>
      </c>
    </row>
    <row r="2485" spans="2:8" ht="13.5" customHeight="1">
      <c r="D2485" s="57" t="s">
        <v>4401</v>
      </c>
      <c r="F2485" s="57">
        <v>4</v>
      </c>
      <c r="G2485" s="57" t="s">
        <v>4589</v>
      </c>
      <c r="H2485" s="57" t="s">
        <v>1356</v>
      </c>
    </row>
    <row r="2486" spans="2:8" ht="13.5" customHeight="1">
      <c r="D2486" s="57" t="s">
        <v>4410</v>
      </c>
      <c r="F2486" s="57">
        <v>5</v>
      </c>
      <c r="G2486" s="57" t="s">
        <v>4589</v>
      </c>
      <c r="H2486" s="57" t="s">
        <v>1356</v>
      </c>
    </row>
    <row r="2487" spans="2:8" ht="13.5" customHeight="1">
      <c r="B2487" s="57" t="s">
        <v>4411</v>
      </c>
      <c r="D2487" s="57" t="s">
        <v>4412</v>
      </c>
      <c r="F2487" s="57">
        <v>5</v>
      </c>
      <c r="G2487" s="57" t="s">
        <v>4589</v>
      </c>
      <c r="H2487" s="57" t="s">
        <v>1356</v>
      </c>
    </row>
    <row r="2488" spans="2:8" ht="13.5" customHeight="1">
      <c r="B2488" s="57" t="s">
        <v>4406</v>
      </c>
      <c r="D2488" s="57" t="s">
        <v>4407</v>
      </c>
      <c r="F2488" s="57">
        <v>5</v>
      </c>
      <c r="G2488" s="57" t="s">
        <v>4589</v>
      </c>
      <c r="H2488" s="57" t="s">
        <v>1356</v>
      </c>
    </row>
    <row r="2489" spans="2:8" ht="13.5" customHeight="1">
      <c r="B2489" s="57" t="s">
        <v>4408</v>
      </c>
      <c r="D2489" s="57" t="s">
        <v>4409</v>
      </c>
      <c r="F2489" s="57">
        <v>5</v>
      </c>
      <c r="G2489" s="57" t="s">
        <v>4589</v>
      </c>
      <c r="H2489" s="57" t="s">
        <v>1356</v>
      </c>
    </row>
    <row r="2490" spans="2:8" ht="13.5" customHeight="1">
      <c r="B2490" s="57" t="s">
        <v>4413</v>
      </c>
      <c r="D2490" s="57" t="s">
        <v>4414</v>
      </c>
      <c r="F2490" s="57">
        <v>9</v>
      </c>
      <c r="G2490" s="57" t="s">
        <v>4589</v>
      </c>
      <c r="H2490" s="57" t="s">
        <v>1356</v>
      </c>
    </row>
    <row r="2491" spans="2:8" ht="13.5" customHeight="1">
      <c r="B2491" s="57" t="s">
        <v>4421</v>
      </c>
      <c r="D2491" s="57" t="s">
        <v>4422</v>
      </c>
      <c r="F2491" s="57">
        <v>10</v>
      </c>
      <c r="G2491" s="57" t="s">
        <v>4589</v>
      </c>
      <c r="H2491" s="57" t="s">
        <v>1356</v>
      </c>
    </row>
    <row r="2492" spans="2:8" ht="13.5" customHeight="1">
      <c r="B2492" s="57" t="s">
        <v>4417</v>
      </c>
      <c r="D2492" s="57" t="s">
        <v>4418</v>
      </c>
      <c r="F2492" s="57">
        <v>10</v>
      </c>
      <c r="G2492" s="57" t="s">
        <v>4589</v>
      </c>
      <c r="H2492" s="57" t="s">
        <v>1356</v>
      </c>
    </row>
    <row r="2493" spans="2:8" ht="13.5" customHeight="1">
      <c r="B2493" s="57" t="s">
        <v>4423</v>
      </c>
      <c r="D2493" s="57" t="s">
        <v>4424</v>
      </c>
      <c r="F2493" s="57">
        <v>10</v>
      </c>
      <c r="G2493" s="57" t="s">
        <v>4589</v>
      </c>
      <c r="H2493" s="57" t="s">
        <v>1356</v>
      </c>
    </row>
    <row r="2494" spans="2:8" ht="13.5" customHeight="1">
      <c r="B2494" s="57" t="s">
        <v>4415</v>
      </c>
      <c r="D2494" s="57" t="s">
        <v>4416</v>
      </c>
      <c r="F2494" s="57">
        <v>10</v>
      </c>
      <c r="G2494" s="57" t="s">
        <v>4589</v>
      </c>
      <c r="H2494" s="57" t="s">
        <v>1356</v>
      </c>
    </row>
    <row r="2495" spans="2:8" ht="13.5" customHeight="1">
      <c r="B2495" s="57" t="s">
        <v>4420</v>
      </c>
      <c r="D2495" s="57" t="s">
        <v>777</v>
      </c>
      <c r="F2495" s="57">
        <v>10</v>
      </c>
      <c r="G2495" s="57" t="s">
        <v>4589</v>
      </c>
      <c r="H2495" s="57" t="s">
        <v>1356</v>
      </c>
    </row>
    <row r="2496" spans="2:8" ht="13.5" customHeight="1">
      <c r="B2496" s="57" t="s">
        <v>4419</v>
      </c>
      <c r="D2496" s="57" t="s">
        <v>309</v>
      </c>
      <c r="F2496" s="57">
        <v>10</v>
      </c>
      <c r="G2496" s="57" t="s">
        <v>4589</v>
      </c>
      <c r="H2496" s="57" t="s">
        <v>1356</v>
      </c>
    </row>
    <row r="2497" spans="2:8" ht="13.5" customHeight="1">
      <c r="B2497" s="57" t="s">
        <v>4425</v>
      </c>
      <c r="D2497" s="57" t="s">
        <v>871</v>
      </c>
      <c r="F2497" s="57">
        <v>14</v>
      </c>
      <c r="G2497" s="57" t="s">
        <v>4589</v>
      </c>
      <c r="H2497" s="57" t="s">
        <v>1356</v>
      </c>
    </row>
    <row r="2498" spans="2:8" ht="13.5" customHeight="1">
      <c r="B2498" s="57" t="s">
        <v>4426</v>
      </c>
      <c r="D2498" s="57" t="s">
        <v>4427</v>
      </c>
      <c r="F2498" s="57">
        <v>15</v>
      </c>
      <c r="G2498" s="57" t="s">
        <v>4589</v>
      </c>
      <c r="H2498" s="57" t="s">
        <v>1356</v>
      </c>
    </row>
    <row r="2499" spans="2:8" ht="13.5" customHeight="1">
      <c r="B2499" s="57" t="s">
        <v>4428</v>
      </c>
      <c r="D2499" s="57" t="s">
        <v>4429</v>
      </c>
      <c r="F2499" s="57">
        <v>18</v>
      </c>
      <c r="G2499" s="57" t="s">
        <v>4589</v>
      </c>
      <c r="H2499" s="57" t="s">
        <v>1356</v>
      </c>
    </row>
    <row r="2500" spans="2:8" ht="13.5" customHeight="1">
      <c r="B2500" s="57" t="s">
        <v>4430</v>
      </c>
      <c r="D2500" s="57" t="s">
        <v>3658</v>
      </c>
      <c r="F2500" s="57">
        <v>28</v>
      </c>
      <c r="G2500" s="57" t="s">
        <v>4589</v>
      </c>
      <c r="H2500" s="57" t="s">
        <v>1356</v>
      </c>
    </row>
    <row r="2501" spans="2:8" ht="13.5" customHeight="1">
      <c r="B2501" s="57" t="s">
        <v>4431</v>
      </c>
      <c r="D2501" s="57" t="s">
        <v>4432</v>
      </c>
      <c r="F2501" s="57">
        <v>30</v>
      </c>
      <c r="G2501" s="57" t="s">
        <v>4589</v>
      </c>
      <c r="H2501" s="57" t="s">
        <v>1356</v>
      </c>
    </row>
    <row r="2502" spans="2:8" ht="13.5" customHeight="1">
      <c r="B2502" s="57" t="s">
        <v>4433</v>
      </c>
      <c r="D2502" s="57" t="s">
        <v>4434</v>
      </c>
      <c r="F2502" s="57">
        <v>35</v>
      </c>
      <c r="G2502" s="57" t="s">
        <v>4589</v>
      </c>
      <c r="H2502" s="57" t="s">
        <v>1356</v>
      </c>
    </row>
    <row r="2503" spans="2:8" ht="13.5" customHeight="1">
      <c r="B2503" s="57" t="s">
        <v>4435</v>
      </c>
      <c r="D2503" s="57" t="s">
        <v>4436</v>
      </c>
      <c r="F2503" s="57">
        <v>37</v>
      </c>
      <c r="G2503" s="57" t="s">
        <v>4589</v>
      </c>
      <c r="H2503" s="57" t="s">
        <v>1356</v>
      </c>
    </row>
    <row r="2504" spans="2:8" ht="13.5" customHeight="1">
      <c r="D2504" s="57" t="s">
        <v>4437</v>
      </c>
      <c r="F2504" s="57">
        <v>40</v>
      </c>
      <c r="G2504" s="57" t="s">
        <v>4589</v>
      </c>
      <c r="H2504" s="57" t="s">
        <v>1356</v>
      </c>
    </row>
    <row r="2505" spans="2:8" ht="13.5" customHeight="1">
      <c r="D2505" s="57" t="s">
        <v>4438</v>
      </c>
      <c r="F2505" s="57">
        <v>70</v>
      </c>
      <c r="G2505" s="57" t="s">
        <v>4589</v>
      </c>
      <c r="H2505" s="57" t="s">
        <v>1356</v>
      </c>
    </row>
    <row r="2506" spans="2:8" ht="13.5" customHeight="1">
      <c r="D2506" s="57" t="s">
        <v>4439</v>
      </c>
      <c r="F2506" s="57">
        <v>78</v>
      </c>
      <c r="G2506" s="57" t="s">
        <v>4589</v>
      </c>
      <c r="H2506" s="57" t="s">
        <v>1356</v>
      </c>
    </row>
    <row r="2507" spans="2:8" ht="13.5" customHeight="1">
      <c r="B2507" s="57" t="s">
        <v>4440</v>
      </c>
      <c r="D2507" s="57" t="s">
        <v>4441</v>
      </c>
      <c r="F2507" s="57">
        <v>198</v>
      </c>
      <c r="G2507" s="57" t="s">
        <v>4589</v>
      </c>
      <c r="H2507" s="57" t="s">
        <v>1356</v>
      </c>
    </row>
    <row r="2508" spans="2:8" ht="13.5" customHeight="1">
      <c r="D2508" s="57" t="s">
        <v>4442</v>
      </c>
      <c r="F2508" s="57">
        <v>2</v>
      </c>
      <c r="G2508" s="57" t="s">
        <v>4589</v>
      </c>
      <c r="H2508" s="57" t="s">
        <v>2287</v>
      </c>
    </row>
    <row r="2509" spans="2:8" ht="13.5" customHeight="1">
      <c r="B2509" s="57" t="s">
        <v>4443</v>
      </c>
      <c r="D2509" s="57" t="s">
        <v>4444</v>
      </c>
      <c r="F2509" s="57">
        <v>3</v>
      </c>
      <c r="G2509" s="57" t="s">
        <v>4589</v>
      </c>
      <c r="H2509" s="57" t="s">
        <v>2287</v>
      </c>
    </row>
    <row r="2510" spans="2:8" ht="13.5" customHeight="1">
      <c r="B2510" s="57" t="s">
        <v>4449</v>
      </c>
      <c r="D2510" s="57" t="s">
        <v>4450</v>
      </c>
      <c r="F2510" s="57">
        <v>3</v>
      </c>
      <c r="G2510" s="57" t="s">
        <v>4589</v>
      </c>
      <c r="H2510" s="57" t="s">
        <v>2287</v>
      </c>
    </row>
    <row r="2511" spans="2:8" ht="13.5" customHeight="1">
      <c r="B2511" s="57" t="s">
        <v>4451</v>
      </c>
      <c r="D2511" s="57" t="s">
        <v>4452</v>
      </c>
      <c r="F2511" s="57">
        <v>3</v>
      </c>
      <c r="G2511" s="57" t="s">
        <v>4589</v>
      </c>
      <c r="H2511" s="57" t="s">
        <v>2287</v>
      </c>
    </row>
    <row r="2512" spans="2:8" ht="13.5" customHeight="1">
      <c r="B2512" s="57" t="s">
        <v>4445</v>
      </c>
      <c r="D2512" s="57" t="s">
        <v>4446</v>
      </c>
      <c r="F2512" s="57">
        <v>3</v>
      </c>
      <c r="G2512" s="57" t="s">
        <v>4589</v>
      </c>
      <c r="H2512" s="57" t="s">
        <v>2287</v>
      </c>
    </row>
    <row r="2513" spans="2:8" ht="13.5" customHeight="1">
      <c r="B2513" s="57" t="s">
        <v>4447</v>
      </c>
      <c r="D2513" s="57" t="s">
        <v>4448</v>
      </c>
      <c r="F2513" s="57">
        <v>3</v>
      </c>
      <c r="G2513" s="57" t="s">
        <v>4589</v>
      </c>
      <c r="H2513" s="57" t="s">
        <v>2287</v>
      </c>
    </row>
    <row r="2514" spans="2:8" ht="13.5" customHeight="1">
      <c r="B2514" s="57" t="s">
        <v>4453</v>
      </c>
      <c r="D2514" s="57" t="s">
        <v>3680</v>
      </c>
      <c r="F2514" s="57">
        <v>3</v>
      </c>
      <c r="G2514" s="57" t="s">
        <v>4589</v>
      </c>
      <c r="H2514" s="57" t="s">
        <v>2287</v>
      </c>
    </row>
    <row r="2515" spans="2:8" ht="13.5" customHeight="1">
      <c r="B2515" s="57" t="s">
        <v>4454</v>
      </c>
      <c r="D2515" s="57" t="s">
        <v>4455</v>
      </c>
      <c r="F2515" s="57">
        <v>4</v>
      </c>
      <c r="G2515" s="57" t="s">
        <v>4589</v>
      </c>
      <c r="H2515" s="57" t="s">
        <v>2287</v>
      </c>
    </row>
    <row r="2516" spans="2:8" ht="13.5" customHeight="1">
      <c r="B2516" s="57" t="s">
        <v>4457</v>
      </c>
      <c r="D2516" s="57" t="s">
        <v>4458</v>
      </c>
      <c r="F2516" s="57">
        <v>4</v>
      </c>
      <c r="G2516" s="57" t="s">
        <v>4589</v>
      </c>
      <c r="H2516" s="57" t="s">
        <v>2287</v>
      </c>
    </row>
    <row r="2517" spans="2:8" ht="13.5" customHeight="1">
      <c r="D2517" s="57" t="s">
        <v>4456</v>
      </c>
      <c r="F2517" s="57">
        <v>4</v>
      </c>
      <c r="G2517" s="57" t="s">
        <v>4589</v>
      </c>
      <c r="H2517" s="57" t="s">
        <v>2287</v>
      </c>
    </row>
    <row r="2518" spans="2:8" ht="13.5" customHeight="1">
      <c r="B2518" s="57" t="s">
        <v>2771</v>
      </c>
      <c r="D2518" s="57" t="s">
        <v>4459</v>
      </c>
      <c r="F2518" s="57">
        <v>4</v>
      </c>
      <c r="G2518" s="57" t="s">
        <v>4589</v>
      </c>
      <c r="H2518" s="57" t="s">
        <v>2287</v>
      </c>
    </row>
    <row r="2519" spans="2:8" ht="13.5" customHeight="1">
      <c r="B2519" s="57" t="s">
        <v>4462</v>
      </c>
      <c r="D2519" s="57" t="s">
        <v>4463</v>
      </c>
      <c r="F2519" s="57">
        <v>5</v>
      </c>
      <c r="G2519" s="57" t="s">
        <v>4589</v>
      </c>
      <c r="H2519" s="57" t="s">
        <v>2287</v>
      </c>
    </row>
    <row r="2520" spans="2:8" ht="13.5" customHeight="1">
      <c r="B2520" s="57" t="s">
        <v>4460</v>
      </c>
      <c r="D2520" s="57" t="s">
        <v>4461</v>
      </c>
      <c r="F2520" s="57">
        <v>5</v>
      </c>
      <c r="G2520" s="57" t="s">
        <v>4589</v>
      </c>
      <c r="H2520" s="57" t="s">
        <v>2287</v>
      </c>
    </row>
    <row r="2521" spans="2:8" ht="13.5" customHeight="1">
      <c r="D2521" s="57" t="s">
        <v>4467</v>
      </c>
      <c r="F2521" s="57">
        <v>5</v>
      </c>
      <c r="G2521" s="57" t="s">
        <v>4589</v>
      </c>
      <c r="H2521" s="57" t="s">
        <v>2287</v>
      </c>
    </row>
    <row r="2522" spans="2:8" ht="13.5" customHeight="1">
      <c r="B2522" s="57" t="s">
        <v>4465</v>
      </c>
      <c r="D2522" s="57" t="s">
        <v>4466</v>
      </c>
      <c r="F2522" s="57">
        <v>5</v>
      </c>
      <c r="G2522" s="57" t="s">
        <v>4589</v>
      </c>
      <c r="H2522" s="57" t="s">
        <v>2287</v>
      </c>
    </row>
    <row r="2523" spans="2:8" ht="13.5" customHeight="1">
      <c r="D2523" s="57" t="s">
        <v>4464</v>
      </c>
      <c r="F2523" s="57">
        <v>5</v>
      </c>
      <c r="G2523" s="57" t="s">
        <v>4589</v>
      </c>
      <c r="H2523" s="57" t="s">
        <v>2287</v>
      </c>
    </row>
    <row r="2524" spans="2:8" ht="13.5" customHeight="1">
      <c r="B2524" s="57" t="s">
        <v>3735</v>
      </c>
      <c r="D2524" s="57" t="s">
        <v>4470</v>
      </c>
      <c r="F2524" s="57">
        <v>6</v>
      </c>
      <c r="G2524" s="57" t="s">
        <v>4589</v>
      </c>
      <c r="H2524" s="57" t="s">
        <v>2287</v>
      </c>
    </row>
    <row r="2525" spans="2:8" ht="13.5" customHeight="1">
      <c r="B2525" s="57" t="s">
        <v>4468</v>
      </c>
      <c r="D2525" s="57" t="s">
        <v>4469</v>
      </c>
      <c r="F2525" s="57">
        <v>6</v>
      </c>
      <c r="G2525" s="57" t="s">
        <v>4589</v>
      </c>
      <c r="H2525" s="57" t="s">
        <v>2287</v>
      </c>
    </row>
    <row r="2526" spans="2:8" ht="13.5" customHeight="1">
      <c r="B2526" s="57" t="s">
        <v>4471</v>
      </c>
      <c r="D2526" s="57" t="s">
        <v>4472</v>
      </c>
      <c r="F2526" s="57">
        <v>7</v>
      </c>
      <c r="G2526" s="57" t="s">
        <v>4589</v>
      </c>
      <c r="H2526" s="57" t="s">
        <v>2287</v>
      </c>
    </row>
    <row r="2527" spans="2:8" ht="13.5" customHeight="1">
      <c r="D2527" s="57" t="s">
        <v>4473</v>
      </c>
      <c r="F2527" s="57">
        <v>9</v>
      </c>
      <c r="G2527" s="57" t="s">
        <v>4589</v>
      </c>
      <c r="H2527" s="57" t="s">
        <v>2287</v>
      </c>
    </row>
    <row r="2528" spans="2:8" ht="13.5" customHeight="1">
      <c r="D2528" s="57" t="s">
        <v>4474</v>
      </c>
      <c r="F2528" s="57">
        <v>13</v>
      </c>
      <c r="G2528" s="57" t="s">
        <v>4589</v>
      </c>
      <c r="H2528" s="57" t="s">
        <v>2287</v>
      </c>
    </row>
    <row r="2529" spans="2:8" ht="13.5" customHeight="1">
      <c r="B2529" s="57" t="s">
        <v>4475</v>
      </c>
      <c r="D2529" s="57" t="s">
        <v>4476</v>
      </c>
      <c r="F2529" s="57">
        <v>15</v>
      </c>
      <c r="G2529" s="57" t="s">
        <v>4589</v>
      </c>
      <c r="H2529" s="57" t="s">
        <v>2287</v>
      </c>
    </row>
    <row r="2530" spans="2:8" ht="13.5" customHeight="1">
      <c r="B2530" s="57" t="s">
        <v>4477</v>
      </c>
      <c r="D2530" s="57" t="s">
        <v>4478</v>
      </c>
      <c r="F2530" s="57">
        <v>15</v>
      </c>
      <c r="G2530" s="57" t="s">
        <v>4589</v>
      </c>
      <c r="H2530" s="57" t="s">
        <v>2287</v>
      </c>
    </row>
    <row r="2531" spans="2:8" ht="13.5" customHeight="1">
      <c r="B2531" s="57" t="s">
        <v>4479</v>
      </c>
      <c r="D2531" s="57" t="s">
        <v>4479</v>
      </c>
      <c r="F2531" s="57">
        <v>18</v>
      </c>
      <c r="G2531" s="57" t="s">
        <v>4589</v>
      </c>
      <c r="H2531" s="57" t="s">
        <v>2287</v>
      </c>
    </row>
    <row r="2532" spans="2:8" ht="13.5" customHeight="1">
      <c r="B2532" s="57" t="s">
        <v>3716</v>
      </c>
      <c r="D2532" s="57" t="s">
        <v>3885</v>
      </c>
      <c r="F2532" s="57">
        <v>19</v>
      </c>
      <c r="G2532" s="57" t="s">
        <v>4589</v>
      </c>
      <c r="H2532" s="57" t="s">
        <v>2287</v>
      </c>
    </row>
    <row r="2533" spans="2:8" ht="13.5" customHeight="1">
      <c r="B2533" s="57" t="s">
        <v>4480</v>
      </c>
      <c r="D2533" s="57" t="s">
        <v>4481</v>
      </c>
      <c r="F2533" s="57">
        <v>21</v>
      </c>
      <c r="G2533" s="57" t="s">
        <v>4589</v>
      </c>
      <c r="H2533" s="57" t="s">
        <v>2287</v>
      </c>
    </row>
    <row r="2534" spans="2:8" ht="13.5" customHeight="1">
      <c r="B2534" s="57" t="s">
        <v>4482</v>
      </c>
      <c r="D2534" s="57" t="s">
        <v>4483</v>
      </c>
      <c r="F2534" s="57">
        <v>30</v>
      </c>
      <c r="G2534" s="57" t="s">
        <v>4589</v>
      </c>
      <c r="H2534" s="57" t="s">
        <v>2287</v>
      </c>
    </row>
    <row r="2535" spans="2:8" ht="13.5" customHeight="1">
      <c r="D2535" s="57" t="s">
        <v>4484</v>
      </c>
      <c r="F2535" s="57">
        <v>35</v>
      </c>
      <c r="G2535" s="57" t="s">
        <v>4589</v>
      </c>
      <c r="H2535" s="57" t="s">
        <v>2287</v>
      </c>
    </row>
    <row r="2536" spans="2:8" ht="13.5" customHeight="1">
      <c r="D2536" s="57" t="s">
        <v>4485</v>
      </c>
      <c r="F2536" s="57">
        <v>46</v>
      </c>
      <c r="G2536" s="57" t="s">
        <v>4589</v>
      </c>
      <c r="H2536" s="57" t="s">
        <v>2287</v>
      </c>
    </row>
    <row r="2537" spans="2:8" ht="13.5" customHeight="1">
      <c r="B2537" s="57" t="s">
        <v>4486</v>
      </c>
      <c r="D2537" s="57" t="s">
        <v>4487</v>
      </c>
      <c r="F2537" s="57">
        <v>54</v>
      </c>
      <c r="G2537" s="57" t="s">
        <v>4589</v>
      </c>
      <c r="H2537" s="57" t="s">
        <v>2287</v>
      </c>
    </row>
    <row r="2538" spans="2:8" ht="13.5" customHeight="1">
      <c r="B2538" s="57" t="s">
        <v>4488</v>
      </c>
      <c r="D2538" s="57" t="s">
        <v>4489</v>
      </c>
      <c r="F2538" s="57">
        <v>60</v>
      </c>
      <c r="G2538" s="57" t="s">
        <v>4589</v>
      </c>
      <c r="H2538" s="57" t="s">
        <v>2287</v>
      </c>
    </row>
    <row r="2539" spans="2:8" ht="13.5" customHeight="1">
      <c r="D2539" s="57" t="s">
        <v>3673</v>
      </c>
      <c r="F2539" s="57">
        <v>76</v>
      </c>
      <c r="G2539" s="57" t="s">
        <v>4589</v>
      </c>
      <c r="H2539" s="57" t="s">
        <v>2287</v>
      </c>
    </row>
    <row r="2540" spans="2:8" ht="13.5" customHeight="1">
      <c r="D2540" s="57" t="s">
        <v>3676</v>
      </c>
      <c r="F2540" s="57">
        <v>122</v>
      </c>
      <c r="G2540" s="57" t="s">
        <v>4589</v>
      </c>
      <c r="H2540" s="57" t="s">
        <v>2287</v>
      </c>
    </row>
    <row r="2541" spans="2:8" ht="13.5" customHeight="1">
      <c r="B2541" s="57" t="s">
        <v>4490</v>
      </c>
      <c r="D2541" s="57" t="s">
        <v>4491</v>
      </c>
      <c r="F2541" s="57">
        <v>200</v>
      </c>
      <c r="G2541" s="57" t="s">
        <v>4589</v>
      </c>
      <c r="H2541" s="57" t="s">
        <v>2287</v>
      </c>
    </row>
    <row r="2542" spans="2:8" ht="13.5" customHeight="1">
      <c r="B2542" s="57" t="s">
        <v>4492</v>
      </c>
      <c r="D2542" s="57" t="s">
        <v>4493</v>
      </c>
      <c r="F2542" s="57">
        <v>8084</v>
      </c>
      <c r="G2542" s="57" t="s">
        <v>4589</v>
      </c>
      <c r="H2542" s="57" t="s">
        <v>2287</v>
      </c>
    </row>
    <row r="2543" spans="2:8" ht="13.5" customHeight="1">
      <c r="B2543" s="57" t="s">
        <v>4495</v>
      </c>
      <c r="D2543" s="57" t="s">
        <v>4496</v>
      </c>
      <c r="F2543" s="57">
        <v>1</v>
      </c>
      <c r="G2543" s="57" t="s">
        <v>4589</v>
      </c>
      <c r="H2543" s="57" t="s">
        <v>2288</v>
      </c>
    </row>
    <row r="2544" spans="2:8" ht="13.5" customHeight="1">
      <c r="B2544" s="57" t="s">
        <v>466</v>
      </c>
      <c r="D2544" s="57" t="s">
        <v>4522</v>
      </c>
      <c r="F2544" s="57">
        <v>1</v>
      </c>
      <c r="G2544" s="57" t="s">
        <v>4589</v>
      </c>
      <c r="H2544" s="57" t="s">
        <v>2288</v>
      </c>
    </row>
    <row r="2545" spans="2:8" ht="13.5" customHeight="1">
      <c r="B2545" s="57" t="s">
        <v>4494</v>
      </c>
      <c r="D2545" s="57" t="s">
        <v>4494</v>
      </c>
      <c r="F2545" s="57">
        <v>1</v>
      </c>
      <c r="G2545" s="57" t="s">
        <v>4589</v>
      </c>
      <c r="H2545" s="57" t="s">
        <v>2288</v>
      </c>
    </row>
    <row r="2546" spans="2:8" ht="13.5" customHeight="1">
      <c r="B2546" s="57" t="s">
        <v>4497</v>
      </c>
      <c r="D2546" s="57">
        <v>3034</v>
      </c>
      <c r="F2546" s="57">
        <v>2</v>
      </c>
      <c r="G2546" s="57" t="s">
        <v>4589</v>
      </c>
      <c r="H2546" s="57" t="s">
        <v>2288</v>
      </c>
    </row>
    <row r="2547" spans="2:8" ht="13.5" customHeight="1">
      <c r="B2547" s="57" t="s">
        <v>4498</v>
      </c>
      <c r="D2547" s="57" t="s">
        <v>4498</v>
      </c>
      <c r="F2547" s="57">
        <v>2</v>
      </c>
      <c r="G2547" s="57" t="s">
        <v>4589</v>
      </c>
      <c r="H2547" s="57" t="s">
        <v>2288</v>
      </c>
    </row>
    <row r="2548" spans="2:8" ht="13.5" customHeight="1">
      <c r="B2548" s="57" t="s">
        <v>4499</v>
      </c>
      <c r="D2548" s="57" t="s">
        <v>4500</v>
      </c>
      <c r="F2548" s="57">
        <v>3</v>
      </c>
      <c r="G2548" s="57" t="s">
        <v>4589</v>
      </c>
      <c r="H2548" s="57" t="s">
        <v>2288</v>
      </c>
    </row>
    <row r="2549" spans="2:8" ht="13.5" customHeight="1">
      <c r="B2549" s="57" t="s">
        <v>4503</v>
      </c>
      <c r="D2549" s="57" t="s">
        <v>4504</v>
      </c>
      <c r="E2549" s="60" t="s">
        <v>8317</v>
      </c>
      <c r="F2549" s="57">
        <v>4</v>
      </c>
      <c r="G2549" s="57" t="s">
        <v>4589</v>
      </c>
      <c r="H2549" s="57" t="s">
        <v>2288</v>
      </c>
    </row>
    <row r="2550" spans="2:8" ht="13.5" customHeight="1">
      <c r="B2550" s="57" t="s">
        <v>4501</v>
      </c>
      <c r="D2550" s="57" t="s">
        <v>4502</v>
      </c>
      <c r="F2550" s="57">
        <v>4</v>
      </c>
      <c r="G2550" s="57" t="s">
        <v>4589</v>
      </c>
      <c r="H2550" s="57" t="s">
        <v>2288</v>
      </c>
    </row>
    <row r="2551" spans="2:8" ht="13.5" customHeight="1">
      <c r="B2551" s="57" t="s">
        <v>4505</v>
      </c>
      <c r="D2551" s="57" t="s">
        <v>4505</v>
      </c>
      <c r="F2551" s="57">
        <v>4</v>
      </c>
      <c r="G2551" s="57" t="s">
        <v>4589</v>
      </c>
      <c r="H2551" s="57" t="s">
        <v>2288</v>
      </c>
    </row>
    <row r="2552" spans="2:8" ht="13.5" customHeight="1">
      <c r="B2552" s="57" t="s">
        <v>4523</v>
      </c>
      <c r="D2552" s="57" t="s">
        <v>4524</v>
      </c>
      <c r="F2552" s="57">
        <v>5</v>
      </c>
      <c r="G2552" s="57" t="s">
        <v>4589</v>
      </c>
      <c r="H2552" s="57" t="s">
        <v>2288</v>
      </c>
    </row>
    <row r="2553" spans="2:8" ht="13.5" customHeight="1">
      <c r="D2553" s="57" t="s">
        <v>4506</v>
      </c>
      <c r="E2553" s="60" t="s">
        <v>8318</v>
      </c>
      <c r="F2553" s="57">
        <v>6</v>
      </c>
      <c r="G2553" s="57" t="s">
        <v>4589</v>
      </c>
      <c r="H2553" s="57" t="s">
        <v>2288</v>
      </c>
    </row>
    <row r="2554" spans="2:8" ht="13.5" customHeight="1">
      <c r="B2554" s="57" t="s">
        <v>4509</v>
      </c>
      <c r="D2554" s="57" t="s">
        <v>4510</v>
      </c>
      <c r="F2554" s="57">
        <v>6</v>
      </c>
      <c r="G2554" s="57" t="s">
        <v>4589</v>
      </c>
      <c r="H2554" s="57" t="s">
        <v>2288</v>
      </c>
    </row>
    <row r="2555" spans="2:8" ht="13.5" customHeight="1">
      <c r="B2555" s="57" t="s">
        <v>4507</v>
      </c>
      <c r="D2555" s="57">
        <v>559320430</v>
      </c>
      <c r="F2555" s="57">
        <v>8</v>
      </c>
      <c r="G2555" s="57" t="s">
        <v>4589</v>
      </c>
      <c r="H2555" s="57" t="s">
        <v>2288</v>
      </c>
    </row>
    <row r="2556" spans="2:8" ht="13.5" customHeight="1">
      <c r="B2556" s="57" t="s">
        <v>4508</v>
      </c>
      <c r="D2556" s="57">
        <v>878310620</v>
      </c>
      <c r="F2556" s="57">
        <v>8</v>
      </c>
      <c r="G2556" s="57" t="s">
        <v>4589</v>
      </c>
      <c r="H2556" s="57" t="s">
        <v>2288</v>
      </c>
    </row>
    <row r="2557" spans="2:8" ht="13.5" customHeight="1">
      <c r="B2557" s="57" t="s">
        <v>4529</v>
      </c>
      <c r="D2557" s="57" t="s">
        <v>4530</v>
      </c>
      <c r="F2557" s="57">
        <v>11</v>
      </c>
      <c r="G2557" s="57" t="s">
        <v>4589</v>
      </c>
      <c r="H2557" s="57" t="s">
        <v>2288</v>
      </c>
    </row>
    <row r="2558" spans="2:8" ht="13.5" customHeight="1">
      <c r="B2558" s="57" t="s">
        <v>4525</v>
      </c>
      <c r="D2558" s="57" t="s">
        <v>4526</v>
      </c>
      <c r="F2558" s="57">
        <v>13</v>
      </c>
      <c r="G2558" s="57" t="s">
        <v>4589</v>
      </c>
      <c r="H2558" s="57" t="s">
        <v>2288</v>
      </c>
    </row>
    <row r="2559" spans="2:8" ht="13.5" customHeight="1">
      <c r="B2559" s="57" t="s">
        <v>4527</v>
      </c>
      <c r="D2559" s="57" t="s">
        <v>4528</v>
      </c>
      <c r="F2559" s="57">
        <v>14</v>
      </c>
      <c r="G2559" s="57" t="s">
        <v>4589</v>
      </c>
      <c r="H2559" s="57" t="s">
        <v>2288</v>
      </c>
    </row>
    <row r="2560" spans="2:8" ht="13.5" customHeight="1">
      <c r="B2560" s="57" t="s">
        <v>4511</v>
      </c>
      <c r="D2560" s="57" t="s">
        <v>4512</v>
      </c>
      <c r="F2560" s="57">
        <v>19</v>
      </c>
      <c r="G2560" s="57" t="s">
        <v>4589</v>
      </c>
      <c r="H2560" s="57" t="s">
        <v>2288</v>
      </c>
    </row>
    <row r="2561" spans="2:8" ht="13.5" customHeight="1">
      <c r="B2561" s="57" t="s">
        <v>4514</v>
      </c>
      <c r="D2561" s="57" t="s">
        <v>4515</v>
      </c>
      <c r="F2561" s="57">
        <v>20</v>
      </c>
      <c r="G2561" s="57" t="s">
        <v>4589</v>
      </c>
      <c r="H2561" s="57" t="s">
        <v>2288</v>
      </c>
    </row>
    <row r="2562" spans="2:8" ht="13.5" customHeight="1">
      <c r="B2562" s="57" t="s">
        <v>466</v>
      </c>
      <c r="D2562" s="57" t="s">
        <v>4513</v>
      </c>
      <c r="F2562" s="57">
        <v>20</v>
      </c>
      <c r="G2562" s="57" t="s">
        <v>4589</v>
      </c>
      <c r="H2562" s="57" t="s">
        <v>2288</v>
      </c>
    </row>
    <row r="2563" spans="2:8" ht="13.5" customHeight="1">
      <c r="B2563" s="57" t="s">
        <v>4516</v>
      </c>
      <c r="D2563" s="57" t="s">
        <v>4517</v>
      </c>
      <c r="F2563" s="57">
        <v>20</v>
      </c>
      <c r="G2563" s="57" t="s">
        <v>4589</v>
      </c>
      <c r="H2563" s="57" t="s">
        <v>2288</v>
      </c>
    </row>
    <row r="2564" spans="2:8" ht="13.5" customHeight="1">
      <c r="B2564" s="57" t="s">
        <v>4518</v>
      </c>
      <c r="D2564" s="57" t="s">
        <v>4519</v>
      </c>
      <c r="F2564" s="57">
        <v>55</v>
      </c>
      <c r="G2564" s="57" t="s">
        <v>4589</v>
      </c>
      <c r="H2564" s="57" t="s">
        <v>2288</v>
      </c>
    </row>
    <row r="2565" spans="2:8" ht="13.5" customHeight="1">
      <c r="B2565" s="57" t="s">
        <v>4533</v>
      </c>
      <c r="D2565" s="57" t="s">
        <v>4534</v>
      </c>
      <c r="F2565" s="57">
        <v>72</v>
      </c>
      <c r="G2565" s="57" t="s">
        <v>4589</v>
      </c>
      <c r="H2565" s="57" t="s">
        <v>2288</v>
      </c>
    </row>
    <row r="2566" spans="2:8" ht="13.5" customHeight="1">
      <c r="B2566" s="57" t="s">
        <v>4535</v>
      </c>
      <c r="D2566" s="57" t="s">
        <v>4536</v>
      </c>
      <c r="F2566" s="57">
        <v>80</v>
      </c>
      <c r="G2566" s="57" t="s">
        <v>4589</v>
      </c>
      <c r="H2566" s="57" t="s">
        <v>2288</v>
      </c>
    </row>
    <row r="2567" spans="2:8" ht="13.5" customHeight="1">
      <c r="B2567" s="57" t="s">
        <v>4520</v>
      </c>
      <c r="D2567" s="57" t="s">
        <v>4521</v>
      </c>
      <c r="F2567" s="57">
        <v>505</v>
      </c>
      <c r="G2567" s="57" t="s">
        <v>4589</v>
      </c>
      <c r="H2567" s="57" t="s">
        <v>2288</v>
      </c>
    </row>
    <row r="2568" spans="2:8" ht="13.5" customHeight="1">
      <c r="B2568" s="57" t="s">
        <v>4718</v>
      </c>
      <c r="D2568" s="57" t="s">
        <v>4719</v>
      </c>
      <c r="F2568" s="57">
        <v>120</v>
      </c>
      <c r="G2568" s="57" t="s">
        <v>4739</v>
      </c>
      <c r="H2568" s="57" t="s">
        <v>1116</v>
      </c>
    </row>
    <row r="2569" spans="2:8" ht="13.5" customHeight="1">
      <c r="B2569" s="57" t="s">
        <v>4714</v>
      </c>
      <c r="D2569" s="57" t="s">
        <v>4715</v>
      </c>
      <c r="F2569" s="57">
        <v>120</v>
      </c>
      <c r="G2569" s="57" t="s">
        <v>4739</v>
      </c>
      <c r="H2569" s="57" t="s">
        <v>1116</v>
      </c>
    </row>
    <row r="2570" spans="2:8" ht="13.5" customHeight="1">
      <c r="B2570" s="57" t="s">
        <v>4724</v>
      </c>
      <c r="D2570" s="57" t="s">
        <v>4724</v>
      </c>
      <c r="F2570" s="57">
        <v>120</v>
      </c>
      <c r="G2570" s="57" t="s">
        <v>4739</v>
      </c>
      <c r="H2570" s="57" t="s">
        <v>1116</v>
      </c>
    </row>
    <row r="2571" spans="2:8" ht="13.5" customHeight="1">
      <c r="B2571" s="57" t="s">
        <v>615</v>
      </c>
      <c r="D2571" s="57" t="s">
        <v>4704</v>
      </c>
      <c r="F2571" s="57">
        <v>123</v>
      </c>
      <c r="G2571" s="57" t="s">
        <v>4739</v>
      </c>
      <c r="H2571" s="57" t="s">
        <v>1116</v>
      </c>
    </row>
    <row r="2572" spans="2:8" ht="13.5" customHeight="1">
      <c r="B2572" s="57" t="s">
        <v>4614</v>
      </c>
      <c r="D2572" s="57" t="s">
        <v>4615</v>
      </c>
      <c r="F2572" s="57">
        <v>9</v>
      </c>
      <c r="G2572" s="57" t="s">
        <v>4739</v>
      </c>
      <c r="H2572" s="57" t="s">
        <v>343</v>
      </c>
    </row>
    <row r="2573" spans="2:8" ht="13.5" customHeight="1">
      <c r="B2573" s="57" t="s">
        <v>4625</v>
      </c>
      <c r="D2573" s="57" t="s">
        <v>4626</v>
      </c>
      <c r="F2573" s="57">
        <v>19</v>
      </c>
      <c r="G2573" s="57" t="s">
        <v>4739</v>
      </c>
      <c r="H2573" s="57" t="s">
        <v>343</v>
      </c>
    </row>
    <row r="2574" spans="2:8" ht="13.5" customHeight="1">
      <c r="B2574" s="57" t="s">
        <v>4595</v>
      </c>
      <c r="D2574" s="57" t="s">
        <v>2847</v>
      </c>
      <c r="F2574" s="57">
        <v>24</v>
      </c>
      <c r="G2574" s="57" t="s">
        <v>4739</v>
      </c>
      <c r="H2574" s="57" t="s">
        <v>343</v>
      </c>
    </row>
    <row r="2575" spans="2:8" ht="13.5" customHeight="1">
      <c r="B2575" s="57" t="s">
        <v>4644</v>
      </c>
      <c r="D2575" s="57" t="s">
        <v>4645</v>
      </c>
      <c r="F2575" s="57">
        <v>29</v>
      </c>
      <c r="G2575" s="57" t="s">
        <v>4739</v>
      </c>
      <c r="H2575" s="57" t="s">
        <v>343</v>
      </c>
    </row>
    <row r="2576" spans="2:8" ht="13.5" customHeight="1">
      <c r="B2576" s="57" t="s">
        <v>4642</v>
      </c>
      <c r="D2576" s="57" t="s">
        <v>4643</v>
      </c>
      <c r="F2576" s="57">
        <v>30</v>
      </c>
      <c r="G2576" s="57" t="s">
        <v>4739</v>
      </c>
      <c r="H2576" s="57" t="s">
        <v>343</v>
      </c>
    </row>
    <row r="2577" spans="2:8" ht="13.5" customHeight="1">
      <c r="B2577" s="57" t="s">
        <v>653</v>
      </c>
      <c r="D2577" s="57" t="s">
        <v>749</v>
      </c>
      <c r="F2577" s="57">
        <v>31</v>
      </c>
      <c r="G2577" s="57" t="s">
        <v>4739</v>
      </c>
      <c r="H2577" s="57" t="s">
        <v>343</v>
      </c>
    </row>
    <row r="2578" spans="2:8" ht="13.5" customHeight="1">
      <c r="B2578" s="57" t="s">
        <v>4598</v>
      </c>
      <c r="D2578" s="57" t="s">
        <v>4599</v>
      </c>
      <c r="F2578" s="57">
        <v>32</v>
      </c>
      <c r="G2578" s="57" t="s">
        <v>4739</v>
      </c>
      <c r="H2578" s="57" t="s">
        <v>343</v>
      </c>
    </row>
    <row r="2579" spans="2:8" ht="13.5" customHeight="1">
      <c r="B2579" s="57" t="s">
        <v>4649</v>
      </c>
      <c r="D2579" s="57" t="s">
        <v>270</v>
      </c>
      <c r="F2579" s="57">
        <v>33</v>
      </c>
      <c r="G2579" s="57" t="s">
        <v>4739</v>
      </c>
      <c r="H2579" s="57" t="s">
        <v>343</v>
      </c>
    </row>
    <row r="2580" spans="2:8" ht="13.5" customHeight="1">
      <c r="B2580" s="57" t="s">
        <v>653</v>
      </c>
      <c r="D2580" s="57" t="s">
        <v>4651</v>
      </c>
      <c r="F2580" s="57">
        <v>42</v>
      </c>
      <c r="G2580" s="57" t="s">
        <v>4739</v>
      </c>
      <c r="H2580" s="57" t="s">
        <v>343</v>
      </c>
    </row>
    <row r="2581" spans="2:8" ht="13.5" customHeight="1">
      <c r="B2581" s="57" t="s">
        <v>4698</v>
      </c>
      <c r="D2581" s="57" t="s">
        <v>4699</v>
      </c>
      <c r="F2581" s="57">
        <v>44</v>
      </c>
      <c r="G2581" s="57" t="s">
        <v>4739</v>
      </c>
      <c r="H2581" s="57" t="s">
        <v>343</v>
      </c>
    </row>
    <row r="2582" spans="2:8" ht="13.5" customHeight="1">
      <c r="B2582" s="57" t="s">
        <v>4681</v>
      </c>
      <c r="D2582" s="57" t="s">
        <v>4682</v>
      </c>
      <c r="F2582" s="57">
        <v>76</v>
      </c>
      <c r="G2582" s="57" t="s">
        <v>4739</v>
      </c>
      <c r="H2582" s="57" t="s">
        <v>343</v>
      </c>
    </row>
    <row r="2583" spans="2:8" ht="13.5" customHeight="1">
      <c r="B2583" s="57" t="s">
        <v>4690</v>
      </c>
      <c r="D2583" s="57" t="s">
        <v>4691</v>
      </c>
      <c r="F2583" s="57">
        <v>100</v>
      </c>
      <c r="G2583" s="57" t="s">
        <v>4739</v>
      </c>
      <c r="H2583" s="57" t="s">
        <v>343</v>
      </c>
    </row>
    <row r="2584" spans="2:8" ht="13.5" customHeight="1">
      <c r="B2584" s="57" t="s">
        <v>1892</v>
      </c>
      <c r="D2584" s="57" t="s">
        <v>4613</v>
      </c>
      <c r="F2584" s="57">
        <v>132</v>
      </c>
      <c r="G2584" s="57" t="s">
        <v>4739</v>
      </c>
      <c r="H2584" s="57" t="s">
        <v>343</v>
      </c>
    </row>
    <row r="2585" spans="2:8" ht="13.5" customHeight="1">
      <c r="D2585" s="57" t="s">
        <v>4688</v>
      </c>
      <c r="F2585" s="57">
        <v>150</v>
      </c>
      <c r="G2585" s="57" t="s">
        <v>4739</v>
      </c>
      <c r="H2585" s="57" t="s">
        <v>343</v>
      </c>
    </row>
    <row r="2586" spans="2:8" ht="13.5" customHeight="1">
      <c r="B2586" s="57" t="s">
        <v>4652</v>
      </c>
      <c r="D2586" s="57" t="s">
        <v>4653</v>
      </c>
      <c r="F2586" s="57">
        <v>508</v>
      </c>
      <c r="G2586" s="57" t="s">
        <v>4739</v>
      </c>
      <c r="H2586" s="57" t="s">
        <v>343</v>
      </c>
    </row>
    <row r="2587" spans="2:8" ht="13.5" customHeight="1">
      <c r="B2587" s="57" t="s">
        <v>4627</v>
      </c>
      <c r="D2587" s="57" t="s">
        <v>4627</v>
      </c>
      <c r="F2587" s="57">
        <v>6</v>
      </c>
      <c r="G2587" s="57" t="s">
        <v>4739</v>
      </c>
      <c r="H2587" s="57" t="s">
        <v>344</v>
      </c>
    </row>
    <row r="2588" spans="2:8" ht="13.5" customHeight="1">
      <c r="B2588" s="57" t="s">
        <v>4635</v>
      </c>
      <c r="D2588" s="57" t="s">
        <v>4636</v>
      </c>
      <c r="F2588" s="57">
        <v>7</v>
      </c>
      <c r="G2588" s="57" t="s">
        <v>4739</v>
      </c>
      <c r="H2588" s="57" t="s">
        <v>344</v>
      </c>
    </row>
    <row r="2589" spans="2:8" ht="13.5" customHeight="1">
      <c r="B2589" s="57" t="s">
        <v>4628</v>
      </c>
      <c r="D2589" s="57">
        <v>734120110</v>
      </c>
      <c r="F2589" s="57">
        <v>8</v>
      </c>
      <c r="G2589" s="57" t="s">
        <v>4739</v>
      </c>
      <c r="H2589" s="57" t="s">
        <v>344</v>
      </c>
    </row>
    <row r="2590" spans="2:8" ht="13.5" customHeight="1">
      <c r="B2590" s="57" t="s">
        <v>4677</v>
      </c>
      <c r="D2590" s="57" t="s">
        <v>4678</v>
      </c>
      <c r="F2590" s="57">
        <v>11</v>
      </c>
      <c r="G2590" s="57" t="s">
        <v>4739</v>
      </c>
      <c r="H2590" s="57" t="s">
        <v>344</v>
      </c>
    </row>
    <row r="2591" spans="2:8" ht="13.5" customHeight="1">
      <c r="B2591" s="57" t="s">
        <v>4687</v>
      </c>
      <c r="D2591" s="57" t="s">
        <v>751</v>
      </c>
      <c r="F2591" s="57">
        <v>22</v>
      </c>
      <c r="G2591" s="57" t="s">
        <v>4739</v>
      </c>
      <c r="H2591" s="57" t="s">
        <v>344</v>
      </c>
    </row>
    <row r="2592" spans="2:8" ht="13.5" customHeight="1">
      <c r="B2592" s="57" t="s">
        <v>4614</v>
      </c>
      <c r="D2592" s="57" t="s">
        <v>4620</v>
      </c>
      <c r="F2592" s="57">
        <v>22</v>
      </c>
      <c r="G2592" s="57" t="s">
        <v>4739</v>
      </c>
      <c r="H2592" s="57" t="s">
        <v>344</v>
      </c>
    </row>
    <row r="2593" spans="2:8" ht="13.5" customHeight="1">
      <c r="B2593" s="57" t="s">
        <v>4621</v>
      </c>
      <c r="D2593" s="57" t="s">
        <v>4622</v>
      </c>
      <c r="F2593" s="57">
        <v>22</v>
      </c>
      <c r="G2593" s="57" t="s">
        <v>4739</v>
      </c>
      <c r="H2593" s="57" t="s">
        <v>344</v>
      </c>
    </row>
    <row r="2594" spans="2:8" ht="13.5" customHeight="1">
      <c r="B2594" s="57" t="s">
        <v>653</v>
      </c>
      <c r="D2594" s="57" t="s">
        <v>4646</v>
      </c>
      <c r="F2594" s="57">
        <v>29</v>
      </c>
      <c r="G2594" s="57" t="s">
        <v>4739</v>
      </c>
      <c r="H2594" s="57" t="s">
        <v>344</v>
      </c>
    </row>
    <row r="2595" spans="2:8" ht="13.5" customHeight="1">
      <c r="B2595" s="57" t="s">
        <v>653</v>
      </c>
      <c r="D2595" s="57" t="s">
        <v>4647</v>
      </c>
      <c r="F2595" s="57">
        <v>30</v>
      </c>
      <c r="G2595" s="57" t="s">
        <v>4739</v>
      </c>
      <c r="H2595" s="57" t="s">
        <v>344</v>
      </c>
    </row>
    <row r="2596" spans="2:8" ht="13.5" customHeight="1">
      <c r="B2596" s="57" t="s">
        <v>653</v>
      </c>
      <c r="D2596" s="57" t="s">
        <v>4689</v>
      </c>
      <c r="F2596" s="57">
        <v>32</v>
      </c>
      <c r="G2596" s="57" t="s">
        <v>4739</v>
      </c>
      <c r="H2596" s="57" t="s">
        <v>344</v>
      </c>
    </row>
    <row r="2597" spans="2:8" ht="13.5" customHeight="1">
      <c r="B2597" s="57" t="s">
        <v>4692</v>
      </c>
      <c r="D2597" s="57" t="s">
        <v>4693</v>
      </c>
      <c r="F2597" s="57">
        <v>37</v>
      </c>
      <c r="G2597" s="57" t="s">
        <v>4739</v>
      </c>
      <c r="H2597" s="57" t="s">
        <v>344</v>
      </c>
    </row>
    <row r="2598" spans="2:8" ht="13.5" customHeight="1">
      <c r="B2598" s="57" t="s">
        <v>4420</v>
      </c>
      <c r="D2598" s="57" t="s">
        <v>4676</v>
      </c>
      <c r="F2598" s="57">
        <v>48</v>
      </c>
      <c r="G2598" s="57" t="s">
        <v>4739</v>
      </c>
      <c r="H2598" s="57" t="s">
        <v>344</v>
      </c>
    </row>
    <row r="2599" spans="2:8" ht="13.5" customHeight="1">
      <c r="B2599" s="57" t="s">
        <v>4639</v>
      </c>
      <c r="D2599" s="57" t="s">
        <v>652</v>
      </c>
      <c r="F2599" s="57">
        <v>55</v>
      </c>
      <c r="G2599" s="57" t="s">
        <v>4739</v>
      </c>
      <c r="H2599" s="57" t="s">
        <v>344</v>
      </c>
    </row>
    <row r="2600" spans="2:8" ht="13.5" customHeight="1">
      <c r="B2600" s="57" t="s">
        <v>4696</v>
      </c>
      <c r="D2600" s="57" t="s">
        <v>4697</v>
      </c>
      <c r="F2600" s="57">
        <v>125</v>
      </c>
      <c r="G2600" s="57" t="s">
        <v>4739</v>
      </c>
      <c r="H2600" s="57" t="s">
        <v>344</v>
      </c>
    </row>
    <row r="2601" spans="2:8" ht="13.5" customHeight="1">
      <c r="B2601" s="57" t="s">
        <v>653</v>
      </c>
      <c r="D2601" s="57" t="s">
        <v>892</v>
      </c>
      <c r="F2601" s="57">
        <v>355</v>
      </c>
      <c r="G2601" s="57" t="s">
        <v>4739</v>
      </c>
      <c r="H2601" s="57" t="s">
        <v>344</v>
      </c>
    </row>
    <row r="2602" spans="2:8" ht="13.5" customHeight="1">
      <c r="B2602" s="57" t="s">
        <v>653</v>
      </c>
      <c r="D2602" s="57" t="s">
        <v>4654</v>
      </c>
      <c r="F2602" s="57">
        <v>574</v>
      </c>
      <c r="G2602" s="57" t="s">
        <v>4739</v>
      </c>
      <c r="H2602" s="57" t="s">
        <v>344</v>
      </c>
    </row>
    <row r="2603" spans="2:8" ht="13.5" customHeight="1">
      <c r="B2603" s="57" t="s">
        <v>4685</v>
      </c>
      <c r="D2603" s="57" t="s">
        <v>4686</v>
      </c>
      <c r="F2603" s="57">
        <v>3</v>
      </c>
      <c r="G2603" s="57" t="s">
        <v>4739</v>
      </c>
      <c r="H2603" s="57" t="s">
        <v>345</v>
      </c>
    </row>
    <row r="2604" spans="2:8" ht="13.5" customHeight="1">
      <c r="B2604" s="57" t="s">
        <v>4667</v>
      </c>
      <c r="D2604" s="57" t="s">
        <v>4667</v>
      </c>
      <c r="F2604" s="57">
        <v>5</v>
      </c>
      <c r="G2604" s="57" t="s">
        <v>4739</v>
      </c>
      <c r="H2604" s="57" t="s">
        <v>345</v>
      </c>
    </row>
    <row r="2605" spans="2:8" ht="13.5" customHeight="1">
      <c r="B2605" s="57" t="s">
        <v>4633</v>
      </c>
      <c r="D2605" s="57" t="s">
        <v>4634</v>
      </c>
      <c r="F2605" s="57">
        <v>7</v>
      </c>
      <c r="G2605" s="57" t="s">
        <v>4739</v>
      </c>
      <c r="H2605" s="57" t="s">
        <v>345</v>
      </c>
    </row>
    <row r="2606" spans="2:8" ht="13.5" customHeight="1">
      <c r="B2606" s="57" t="s">
        <v>4631</v>
      </c>
      <c r="D2606" s="57" t="s">
        <v>4632</v>
      </c>
      <c r="F2606" s="57">
        <v>8</v>
      </c>
      <c r="G2606" s="57" t="s">
        <v>4739</v>
      </c>
      <c r="H2606" s="57" t="s">
        <v>345</v>
      </c>
    </row>
    <row r="2607" spans="2:8" ht="13.5" customHeight="1">
      <c r="B2607" s="57" t="s">
        <v>4637</v>
      </c>
      <c r="D2607" s="57" t="s">
        <v>4638</v>
      </c>
      <c r="F2607" s="57">
        <v>9</v>
      </c>
      <c r="G2607" s="57" t="s">
        <v>4739</v>
      </c>
      <c r="H2607" s="57" t="s">
        <v>345</v>
      </c>
    </row>
    <row r="2608" spans="2:8" ht="13.5" customHeight="1">
      <c r="B2608" s="57" t="s">
        <v>4657</v>
      </c>
      <c r="D2608" s="57" t="s">
        <v>4658</v>
      </c>
      <c r="F2608" s="57">
        <v>10</v>
      </c>
      <c r="G2608" s="57" t="s">
        <v>4739</v>
      </c>
      <c r="H2608" s="57" t="s">
        <v>345</v>
      </c>
    </row>
    <row r="2609" spans="2:8" ht="13.5" customHeight="1">
      <c r="B2609" s="57" t="s">
        <v>4663</v>
      </c>
      <c r="D2609" s="57" t="s">
        <v>4664</v>
      </c>
      <c r="F2609" s="57">
        <v>12</v>
      </c>
      <c r="G2609" s="57" t="s">
        <v>4739</v>
      </c>
      <c r="H2609" s="57" t="s">
        <v>345</v>
      </c>
    </row>
    <row r="2610" spans="2:8" ht="13.5" customHeight="1">
      <c r="B2610" s="57" t="s">
        <v>4665</v>
      </c>
      <c r="D2610" s="57" t="s">
        <v>4666</v>
      </c>
      <c r="F2610" s="57">
        <v>12</v>
      </c>
      <c r="G2610" s="57" t="s">
        <v>4739</v>
      </c>
      <c r="H2610" s="57" t="s">
        <v>345</v>
      </c>
    </row>
    <row r="2611" spans="2:8" ht="13.5" customHeight="1">
      <c r="B2611" s="57" t="s">
        <v>4661</v>
      </c>
      <c r="D2611" s="57" t="s">
        <v>4662</v>
      </c>
      <c r="F2611" s="57">
        <v>12</v>
      </c>
      <c r="G2611" s="57" t="s">
        <v>4739</v>
      </c>
      <c r="H2611" s="57" t="s">
        <v>345</v>
      </c>
    </row>
    <row r="2612" spans="2:8" ht="13.5" customHeight="1">
      <c r="B2612" s="57" t="s">
        <v>4672</v>
      </c>
      <c r="D2612" s="57" t="s">
        <v>4673</v>
      </c>
      <c r="F2612" s="57">
        <v>15</v>
      </c>
      <c r="G2612" s="57" t="s">
        <v>4739</v>
      </c>
      <c r="H2612" s="57" t="s">
        <v>345</v>
      </c>
    </row>
    <row r="2613" spans="2:8" ht="13.5" customHeight="1">
      <c r="B2613" s="57" t="s">
        <v>4604</v>
      </c>
      <c r="D2613" s="57" t="s">
        <v>4605</v>
      </c>
      <c r="F2613" s="57">
        <v>22</v>
      </c>
      <c r="G2613" s="57" t="s">
        <v>4739</v>
      </c>
      <c r="H2613" s="57" t="s">
        <v>345</v>
      </c>
    </row>
    <row r="2614" spans="2:8" ht="13.5" customHeight="1">
      <c r="B2614" s="57" t="s">
        <v>4610</v>
      </c>
      <c r="D2614" s="57" t="s">
        <v>4611</v>
      </c>
      <c r="F2614" s="57">
        <v>38</v>
      </c>
      <c r="G2614" s="57" t="s">
        <v>4739</v>
      </c>
      <c r="H2614" s="57" t="s">
        <v>345</v>
      </c>
    </row>
    <row r="2615" spans="2:8" ht="13.5" customHeight="1">
      <c r="B2615" s="57" t="s">
        <v>4616</v>
      </c>
      <c r="D2615" s="57" t="s">
        <v>4617</v>
      </c>
      <c r="F2615" s="57">
        <v>41</v>
      </c>
      <c r="G2615" s="57" t="s">
        <v>4739</v>
      </c>
      <c r="H2615" s="57" t="s">
        <v>345</v>
      </c>
    </row>
    <row r="2616" spans="2:8" ht="13.5" customHeight="1">
      <c r="B2616" s="57" t="s">
        <v>4596</v>
      </c>
      <c r="D2616" s="57" t="s">
        <v>4597</v>
      </c>
      <c r="F2616" s="57">
        <v>59</v>
      </c>
      <c r="G2616" s="57" t="s">
        <v>4739</v>
      </c>
      <c r="H2616" s="57" t="s">
        <v>345</v>
      </c>
    </row>
    <row r="2617" spans="2:8" ht="13.5" customHeight="1">
      <c r="B2617" s="57" t="s">
        <v>4674</v>
      </c>
      <c r="D2617" s="57" t="s">
        <v>4675</v>
      </c>
      <c r="F2617" s="57">
        <v>71</v>
      </c>
      <c r="G2617" s="57" t="s">
        <v>4739</v>
      </c>
      <c r="H2617" s="57" t="s">
        <v>345</v>
      </c>
    </row>
    <row r="2618" spans="2:8" ht="13.5" customHeight="1">
      <c r="B2618" s="57" t="s">
        <v>4655</v>
      </c>
      <c r="D2618" s="57" t="s">
        <v>4656</v>
      </c>
      <c r="F2618" s="57">
        <v>80</v>
      </c>
      <c r="G2618" s="57" t="s">
        <v>4739</v>
      </c>
      <c r="H2618" s="57" t="s">
        <v>345</v>
      </c>
    </row>
    <row r="2619" spans="2:8" ht="13.5" customHeight="1">
      <c r="B2619" s="57" t="s">
        <v>4694</v>
      </c>
      <c r="D2619" s="57" t="s">
        <v>4695</v>
      </c>
      <c r="F2619" s="57">
        <v>142</v>
      </c>
      <c r="G2619" s="57" t="s">
        <v>4739</v>
      </c>
      <c r="H2619" s="57" t="s">
        <v>345</v>
      </c>
    </row>
    <row r="2620" spans="2:8" ht="13.5" customHeight="1">
      <c r="B2620" s="57" t="s">
        <v>4700</v>
      </c>
      <c r="D2620" s="57" t="s">
        <v>4701</v>
      </c>
      <c r="F2620" s="57">
        <v>12</v>
      </c>
      <c r="G2620" s="57" t="s">
        <v>4739</v>
      </c>
      <c r="H2620" s="57" t="s">
        <v>919</v>
      </c>
    </row>
    <row r="2621" spans="2:8" ht="13.5" customHeight="1">
      <c r="B2621" s="57" t="s">
        <v>4640</v>
      </c>
      <c r="D2621" s="57" t="s">
        <v>4641</v>
      </c>
      <c r="F2621" s="57">
        <v>19</v>
      </c>
      <c r="G2621" s="57" t="s">
        <v>4739</v>
      </c>
      <c r="H2621" s="57" t="s">
        <v>919</v>
      </c>
    </row>
    <row r="2622" spans="2:8" ht="13.5" customHeight="1">
      <c r="B2622" s="57" t="s">
        <v>4376</v>
      </c>
      <c r="D2622" s="57" t="s">
        <v>4594</v>
      </c>
      <c r="F2622" s="57">
        <v>21</v>
      </c>
      <c r="G2622" s="57" t="s">
        <v>4739</v>
      </c>
      <c r="H2622" s="57" t="s">
        <v>919</v>
      </c>
    </row>
    <row r="2623" spans="2:8" ht="13.5" customHeight="1">
      <c r="B2623" s="57" t="s">
        <v>653</v>
      </c>
      <c r="D2623" s="57" t="s">
        <v>1391</v>
      </c>
      <c r="F2623" s="57">
        <v>30</v>
      </c>
      <c r="G2623" s="57" t="s">
        <v>4739</v>
      </c>
      <c r="H2623" s="57" t="s">
        <v>919</v>
      </c>
    </row>
    <row r="2624" spans="2:8" ht="13.5" customHeight="1">
      <c r="B2624" s="57" t="s">
        <v>653</v>
      </c>
      <c r="D2624" s="57" t="s">
        <v>4650</v>
      </c>
      <c r="F2624" s="57">
        <v>34</v>
      </c>
      <c r="G2624" s="57" t="s">
        <v>4739</v>
      </c>
      <c r="H2624" s="57" t="s">
        <v>919</v>
      </c>
    </row>
    <row r="2625" spans="2:8" ht="13.5" customHeight="1">
      <c r="B2625" s="57" t="s">
        <v>4702</v>
      </c>
      <c r="D2625" s="57" t="s">
        <v>4702</v>
      </c>
      <c r="F2625" s="57">
        <v>35</v>
      </c>
      <c r="G2625" s="57" t="s">
        <v>4739</v>
      </c>
      <c r="H2625" s="57" t="s">
        <v>919</v>
      </c>
    </row>
    <row r="2626" spans="2:8" ht="13.5" customHeight="1">
      <c r="B2626" s="57" t="s">
        <v>4679</v>
      </c>
      <c r="D2626" s="57" t="s">
        <v>4680</v>
      </c>
      <c r="F2626" s="57">
        <v>41</v>
      </c>
      <c r="G2626" s="57" t="s">
        <v>4739</v>
      </c>
      <c r="H2626" s="57" t="s">
        <v>919</v>
      </c>
    </row>
    <row r="2627" spans="2:8" ht="13.5" customHeight="1">
      <c r="B2627" s="57" t="s">
        <v>653</v>
      </c>
      <c r="D2627" s="57" t="s">
        <v>4648</v>
      </c>
      <c r="F2627" s="57">
        <v>54</v>
      </c>
      <c r="G2627" s="57" t="s">
        <v>4739</v>
      </c>
      <c r="H2627" s="57" t="s">
        <v>919</v>
      </c>
    </row>
    <row r="2628" spans="2:8" ht="13.5" customHeight="1">
      <c r="B2628" s="57" t="s">
        <v>4618</v>
      </c>
      <c r="D2628" s="57" t="s">
        <v>4619</v>
      </c>
      <c r="F2628" s="57">
        <v>82</v>
      </c>
      <c r="G2628" s="57" t="s">
        <v>4739</v>
      </c>
      <c r="H2628" s="57" t="s">
        <v>919</v>
      </c>
    </row>
    <row r="2629" spans="2:8" ht="13.5" customHeight="1">
      <c r="B2629" s="57" t="s">
        <v>4608</v>
      </c>
      <c r="D2629" s="57" t="s">
        <v>4609</v>
      </c>
      <c r="F2629" s="57">
        <v>532</v>
      </c>
      <c r="G2629" s="57" t="s">
        <v>4739</v>
      </c>
      <c r="H2629" s="57" t="s">
        <v>919</v>
      </c>
    </row>
    <row r="2630" spans="2:8" ht="13.5" customHeight="1">
      <c r="B2630" s="57" t="s">
        <v>4600</v>
      </c>
      <c r="D2630" s="57" t="s">
        <v>4601</v>
      </c>
      <c r="F2630" s="57">
        <v>2000</v>
      </c>
      <c r="G2630" s="57" t="s">
        <v>4739</v>
      </c>
      <c r="H2630" s="57" t="s">
        <v>919</v>
      </c>
    </row>
    <row r="2631" spans="2:8" ht="13.5" customHeight="1">
      <c r="B2631" s="57" t="s">
        <v>4730</v>
      </c>
      <c r="D2631" s="57" t="s">
        <v>4731</v>
      </c>
      <c r="F2631" s="57">
        <v>2</v>
      </c>
      <c r="G2631" s="57" t="s">
        <v>4739</v>
      </c>
      <c r="H2631" s="57" t="s">
        <v>918</v>
      </c>
    </row>
    <row r="2632" spans="2:8" ht="13.5" customHeight="1">
      <c r="B2632" s="57" t="s">
        <v>4670</v>
      </c>
      <c r="D2632" s="57" t="s">
        <v>4671</v>
      </c>
      <c r="F2632" s="57">
        <v>3</v>
      </c>
      <c r="G2632" s="57" t="s">
        <v>4739</v>
      </c>
      <c r="H2632" s="57" t="s">
        <v>918</v>
      </c>
    </row>
    <row r="2633" spans="2:8" ht="13.5" customHeight="1">
      <c r="B2633" s="57" t="s">
        <v>4668</v>
      </c>
      <c r="D2633" s="57" t="s">
        <v>4669</v>
      </c>
      <c r="F2633" s="57">
        <v>6</v>
      </c>
      <c r="G2633" s="57" t="s">
        <v>4739</v>
      </c>
      <c r="H2633" s="57" t="s">
        <v>918</v>
      </c>
    </row>
    <row r="2634" spans="2:8" ht="13.5" customHeight="1">
      <c r="B2634" s="57" t="s">
        <v>4602</v>
      </c>
      <c r="D2634" s="57" t="s">
        <v>4603</v>
      </c>
      <c r="F2634" s="57">
        <v>9</v>
      </c>
      <c r="G2634" s="57" t="s">
        <v>4739</v>
      </c>
      <c r="H2634" s="57" t="s">
        <v>918</v>
      </c>
    </row>
    <row r="2635" spans="2:8" ht="13.5" customHeight="1">
      <c r="B2635" s="57" t="s">
        <v>4659</v>
      </c>
      <c r="D2635" s="57" t="s">
        <v>4660</v>
      </c>
      <c r="F2635" s="57">
        <v>11</v>
      </c>
      <c r="G2635" s="57" t="s">
        <v>4739</v>
      </c>
      <c r="H2635" s="57" t="s">
        <v>918</v>
      </c>
    </row>
    <row r="2636" spans="2:8" ht="13.5" customHeight="1">
      <c r="B2636" s="57" t="s">
        <v>4623</v>
      </c>
      <c r="D2636" s="57" t="s">
        <v>4624</v>
      </c>
      <c r="F2636" s="57">
        <v>12</v>
      </c>
      <c r="G2636" s="57" t="s">
        <v>4739</v>
      </c>
      <c r="H2636" s="57" t="s">
        <v>918</v>
      </c>
    </row>
    <row r="2637" spans="2:8" ht="13.5" customHeight="1">
      <c r="B2637" s="57" t="s">
        <v>4590</v>
      </c>
      <c r="D2637" s="57" t="s">
        <v>4591</v>
      </c>
      <c r="F2637" s="57">
        <v>13</v>
      </c>
      <c r="G2637" s="57" t="s">
        <v>4739</v>
      </c>
      <c r="H2637" s="57" t="s">
        <v>918</v>
      </c>
    </row>
    <row r="2638" spans="2:8" ht="13.5" customHeight="1">
      <c r="B2638" s="57" t="s">
        <v>3834</v>
      </c>
      <c r="D2638" s="57" t="s">
        <v>4612</v>
      </c>
      <c r="F2638" s="57">
        <v>24</v>
      </c>
      <c r="G2638" s="57" t="s">
        <v>4739</v>
      </c>
      <c r="H2638" s="57" t="s">
        <v>918</v>
      </c>
    </row>
    <row r="2639" spans="2:8" ht="13.5" customHeight="1">
      <c r="B2639" s="57" t="s">
        <v>4629</v>
      </c>
      <c r="D2639" s="57" t="s">
        <v>4630</v>
      </c>
      <c r="F2639" s="57">
        <v>68</v>
      </c>
      <c r="G2639" s="57" t="s">
        <v>4739</v>
      </c>
      <c r="H2639" s="57" t="s">
        <v>918</v>
      </c>
    </row>
    <row r="2640" spans="2:8" ht="13.5" customHeight="1">
      <c r="B2640" s="57" t="s">
        <v>4683</v>
      </c>
      <c r="D2640" s="57" t="s">
        <v>4684</v>
      </c>
      <c r="F2640" s="57">
        <v>78</v>
      </c>
      <c r="G2640" s="57" t="s">
        <v>4739</v>
      </c>
      <c r="H2640" s="57" t="s">
        <v>918</v>
      </c>
    </row>
    <row r="2641" spans="2:9" ht="13.5" customHeight="1">
      <c r="B2641" s="57" t="s">
        <v>4592</v>
      </c>
      <c r="D2641" s="57" t="s">
        <v>4593</v>
      </c>
      <c r="F2641" s="57">
        <v>87</v>
      </c>
      <c r="G2641" s="57" t="s">
        <v>4739</v>
      </c>
      <c r="H2641" s="57" t="s">
        <v>918</v>
      </c>
    </row>
    <row r="2642" spans="2:9" ht="13.5" customHeight="1">
      <c r="B2642" s="57" t="s">
        <v>4705</v>
      </c>
      <c r="D2642" s="57" t="s">
        <v>4706</v>
      </c>
      <c r="F2642" s="57">
        <v>116</v>
      </c>
      <c r="G2642" s="57" t="s">
        <v>4739</v>
      </c>
      <c r="H2642" s="57" t="s">
        <v>918</v>
      </c>
    </row>
    <row r="2643" spans="2:9" ht="13.5" customHeight="1">
      <c r="B2643" s="57" t="s">
        <v>4703</v>
      </c>
      <c r="F2643" s="57">
        <v>473</v>
      </c>
      <c r="G2643" s="57" t="s">
        <v>4739</v>
      </c>
      <c r="H2643" s="57" t="s">
        <v>918</v>
      </c>
      <c r="I2643" s="57" t="s">
        <v>4738</v>
      </c>
    </row>
    <row r="2644" spans="2:9" ht="13.5" customHeight="1">
      <c r="B2644" s="57" t="s">
        <v>4606</v>
      </c>
      <c r="D2644" s="57" t="s">
        <v>4607</v>
      </c>
      <c r="F2644" s="57">
        <v>805</v>
      </c>
      <c r="G2644" s="57" t="s">
        <v>4739</v>
      </c>
      <c r="H2644" s="57" t="s">
        <v>918</v>
      </c>
    </row>
    <row r="2645" spans="2:9" ht="13.5" customHeight="1">
      <c r="B2645" s="68" t="s">
        <v>4707</v>
      </c>
      <c r="D2645" s="57" t="s">
        <v>4707</v>
      </c>
      <c r="F2645" s="57">
        <v>2</v>
      </c>
      <c r="G2645" s="57" t="s">
        <v>4739</v>
      </c>
      <c r="H2645" s="57" t="s">
        <v>1114</v>
      </c>
    </row>
    <row r="2646" spans="2:9" ht="13.5" customHeight="1">
      <c r="B2646" s="57" t="s">
        <v>4712</v>
      </c>
      <c r="D2646" s="57" t="s">
        <v>4713</v>
      </c>
      <c r="F2646" s="57">
        <v>4</v>
      </c>
      <c r="G2646" s="57" t="s">
        <v>4739</v>
      </c>
      <c r="H2646" s="57" t="s">
        <v>1114</v>
      </c>
    </row>
    <row r="2647" spans="2:9" ht="13.5" customHeight="1">
      <c r="B2647" s="57" t="s">
        <v>4616</v>
      </c>
      <c r="D2647" s="57" t="s">
        <v>4617</v>
      </c>
      <c r="F2647" s="57">
        <v>4</v>
      </c>
      <c r="G2647" s="57" t="s">
        <v>4739</v>
      </c>
      <c r="H2647" s="57" t="s">
        <v>1114</v>
      </c>
    </row>
    <row r="2648" spans="2:9" ht="13.5" customHeight="1">
      <c r="B2648" s="57" t="s">
        <v>4727</v>
      </c>
      <c r="D2648" s="57" t="s">
        <v>4727</v>
      </c>
      <c r="F2648" s="57">
        <v>20</v>
      </c>
      <c r="G2648" s="57" t="s">
        <v>4739</v>
      </c>
      <c r="H2648" s="57" t="s">
        <v>1114</v>
      </c>
      <c r="I2648" s="68"/>
    </row>
    <row r="2649" spans="2:9" ht="13.5" customHeight="1">
      <c r="B2649" s="57" t="s">
        <v>4710</v>
      </c>
      <c r="D2649" s="57" t="s">
        <v>4711</v>
      </c>
      <c r="F2649" s="57">
        <v>52</v>
      </c>
      <c r="G2649" s="57" t="s">
        <v>4739</v>
      </c>
      <c r="H2649" s="57" t="s">
        <v>1114</v>
      </c>
    </row>
    <row r="2650" spans="2:9" ht="13.5" customHeight="1">
      <c r="B2650" s="57" t="s">
        <v>4728</v>
      </c>
      <c r="D2650" s="57" t="s">
        <v>4728</v>
      </c>
      <c r="F2650" s="57">
        <v>83</v>
      </c>
      <c r="G2650" s="57" t="s">
        <v>4739</v>
      </c>
      <c r="H2650" s="57" t="s">
        <v>1114</v>
      </c>
    </row>
    <row r="2651" spans="2:9" ht="13.5" customHeight="1">
      <c r="B2651" s="57" t="s">
        <v>4729</v>
      </c>
      <c r="D2651" s="57" t="s">
        <v>4729</v>
      </c>
      <c r="F2651" s="57">
        <v>85</v>
      </c>
      <c r="G2651" s="57" t="s">
        <v>4739</v>
      </c>
      <c r="H2651" s="57" t="s">
        <v>1114</v>
      </c>
    </row>
    <row r="2652" spans="2:9" ht="13.5" customHeight="1">
      <c r="B2652" s="57" t="s">
        <v>4717</v>
      </c>
      <c r="D2652" s="57" t="s">
        <v>2095</v>
      </c>
      <c r="F2652" s="57">
        <v>120</v>
      </c>
      <c r="G2652" s="57" t="s">
        <v>4739</v>
      </c>
      <c r="H2652" s="57" t="s">
        <v>1114</v>
      </c>
    </row>
    <row r="2653" spans="2:9" ht="13.5" customHeight="1">
      <c r="B2653" s="57" t="s">
        <v>4725</v>
      </c>
      <c r="D2653" s="57" t="s">
        <v>4726</v>
      </c>
      <c r="F2653" s="57">
        <v>120</v>
      </c>
      <c r="G2653" s="57" t="s">
        <v>4739</v>
      </c>
      <c r="H2653" s="57" t="s">
        <v>1114</v>
      </c>
    </row>
    <row r="2654" spans="2:9" ht="13.5" customHeight="1">
      <c r="B2654" s="57" t="s">
        <v>4720</v>
      </c>
      <c r="D2654" s="57" t="s">
        <v>4721</v>
      </c>
      <c r="F2654" s="57">
        <v>124</v>
      </c>
      <c r="G2654" s="57" t="s">
        <v>4739</v>
      </c>
      <c r="H2654" s="57" t="s">
        <v>1114</v>
      </c>
    </row>
    <row r="2655" spans="2:9" ht="13.5" customHeight="1">
      <c r="B2655" s="57" t="s">
        <v>4708</v>
      </c>
      <c r="D2655" s="57" t="s">
        <v>4709</v>
      </c>
      <c r="F2655" s="57">
        <v>175</v>
      </c>
      <c r="G2655" s="57" t="s">
        <v>4739</v>
      </c>
      <c r="H2655" s="57" t="s">
        <v>1114</v>
      </c>
    </row>
    <row r="2656" spans="2:9" ht="13.5" customHeight="1">
      <c r="B2656" s="57" t="s">
        <v>4722</v>
      </c>
      <c r="D2656" s="57" t="s">
        <v>4723</v>
      </c>
      <c r="F2656" s="57">
        <v>239</v>
      </c>
      <c r="G2656" s="57" t="s">
        <v>4739</v>
      </c>
      <c r="H2656" s="57" t="s">
        <v>1114</v>
      </c>
    </row>
    <row r="2657" spans="2:8" ht="13.5" customHeight="1">
      <c r="B2657" s="57" t="s">
        <v>4716</v>
      </c>
      <c r="D2657" s="57" t="s">
        <v>4716</v>
      </c>
      <c r="F2657" s="57">
        <v>1482</v>
      </c>
      <c r="G2657" s="57" t="s">
        <v>4739</v>
      </c>
      <c r="H2657" s="57" t="s">
        <v>1114</v>
      </c>
    </row>
    <row r="2658" spans="2:8" ht="13.5" customHeight="1">
      <c r="B2658" s="57" t="s">
        <v>4733</v>
      </c>
      <c r="D2658" s="57" t="s">
        <v>4734</v>
      </c>
      <c r="F2658" s="57">
        <v>1</v>
      </c>
      <c r="G2658" s="57" t="s">
        <v>4739</v>
      </c>
      <c r="H2658" s="57" t="s">
        <v>1115</v>
      </c>
    </row>
    <row r="2659" spans="2:8" ht="13.5" customHeight="1">
      <c r="B2659" s="60" t="s">
        <v>8308</v>
      </c>
      <c r="D2659" s="57" t="s">
        <v>4732</v>
      </c>
      <c r="F2659" s="57">
        <v>2</v>
      </c>
      <c r="G2659" s="57" t="s">
        <v>4739</v>
      </c>
      <c r="H2659" s="57" t="s">
        <v>1115</v>
      </c>
    </row>
    <row r="2660" spans="2:8" ht="13.5" customHeight="1">
      <c r="B2660" s="57" t="s">
        <v>3582</v>
      </c>
      <c r="D2660" s="57" t="s">
        <v>1104</v>
      </c>
      <c r="F2660" s="57">
        <v>26</v>
      </c>
      <c r="G2660" s="57" t="s">
        <v>4739</v>
      </c>
      <c r="H2660" s="57" t="s">
        <v>1115</v>
      </c>
    </row>
    <row r="2661" spans="2:8" ht="13.5" customHeight="1">
      <c r="B2661" s="57" t="s">
        <v>4735</v>
      </c>
      <c r="D2661" s="57" t="s">
        <v>2854</v>
      </c>
      <c r="F2661" s="57">
        <v>27</v>
      </c>
      <c r="G2661" s="57" t="s">
        <v>4739</v>
      </c>
      <c r="H2661" s="57" t="s">
        <v>1115</v>
      </c>
    </row>
    <row r="2662" spans="2:8" ht="13.5" customHeight="1">
      <c r="B2662" s="57" t="s">
        <v>4736</v>
      </c>
      <c r="D2662" s="57" t="s">
        <v>4737</v>
      </c>
      <c r="F2662" s="57">
        <v>829</v>
      </c>
      <c r="G2662" s="57" t="s">
        <v>4739</v>
      </c>
      <c r="H2662" s="57" t="s">
        <v>1115</v>
      </c>
    </row>
    <row r="2663" spans="2:8" ht="13.5" customHeight="1">
      <c r="B2663" s="57" t="s">
        <v>4776</v>
      </c>
      <c r="D2663" s="57" t="s">
        <v>4777</v>
      </c>
      <c r="F2663" s="57">
        <v>1</v>
      </c>
      <c r="G2663" s="57" t="s">
        <v>4803</v>
      </c>
      <c r="H2663" s="57" t="s">
        <v>363</v>
      </c>
    </row>
    <row r="2664" spans="2:8" ht="13.5" customHeight="1">
      <c r="B2664" s="57" t="s">
        <v>4782</v>
      </c>
      <c r="D2664" s="57" t="s">
        <v>4783</v>
      </c>
      <c r="F2664" s="57">
        <v>1</v>
      </c>
      <c r="G2664" s="57" t="s">
        <v>4803</v>
      </c>
      <c r="H2664" s="57" t="s">
        <v>363</v>
      </c>
    </row>
    <row r="2665" spans="2:8" ht="13.5" customHeight="1">
      <c r="B2665" s="57" t="s">
        <v>4780</v>
      </c>
      <c r="D2665" s="57" t="s">
        <v>4781</v>
      </c>
      <c r="F2665" s="57">
        <v>1</v>
      </c>
      <c r="G2665" s="57" t="s">
        <v>4803</v>
      </c>
      <c r="H2665" s="57" t="s">
        <v>363</v>
      </c>
    </row>
    <row r="2666" spans="2:8" ht="13.5" customHeight="1">
      <c r="B2666" s="57" t="s">
        <v>4801</v>
      </c>
      <c r="D2666" s="57" t="s">
        <v>4802</v>
      </c>
      <c r="F2666" s="57">
        <v>1</v>
      </c>
      <c r="G2666" s="57" t="s">
        <v>4803</v>
      </c>
      <c r="H2666" s="57" t="s">
        <v>363</v>
      </c>
    </row>
    <row r="2667" spans="2:8" ht="13.5" customHeight="1">
      <c r="B2667" s="57" t="s">
        <v>4749</v>
      </c>
      <c r="D2667" s="57" t="s">
        <v>4750</v>
      </c>
      <c r="F2667" s="57">
        <v>2</v>
      </c>
      <c r="G2667" s="57" t="s">
        <v>4803</v>
      </c>
      <c r="H2667" s="57" t="s">
        <v>363</v>
      </c>
    </row>
    <row r="2668" spans="2:8" ht="13.5" customHeight="1">
      <c r="B2668" s="57" t="s">
        <v>4758</v>
      </c>
      <c r="D2668" s="57" t="s">
        <v>4759</v>
      </c>
      <c r="F2668" s="57">
        <v>2</v>
      </c>
      <c r="G2668" s="57" t="s">
        <v>4803</v>
      </c>
      <c r="H2668" s="57" t="s">
        <v>363</v>
      </c>
    </row>
    <row r="2669" spans="2:8" ht="13.5" customHeight="1">
      <c r="B2669" s="57" t="s">
        <v>4799</v>
      </c>
      <c r="D2669" s="57" t="s">
        <v>4800</v>
      </c>
      <c r="F2669" s="57">
        <v>2</v>
      </c>
      <c r="G2669" s="57" t="s">
        <v>4803</v>
      </c>
      <c r="H2669" s="57" t="s">
        <v>363</v>
      </c>
    </row>
    <row r="2670" spans="2:8" ht="13.5" customHeight="1">
      <c r="B2670" s="57" t="s">
        <v>4784</v>
      </c>
      <c r="D2670" s="57" t="s">
        <v>4785</v>
      </c>
      <c r="F2670" s="57">
        <v>2</v>
      </c>
      <c r="G2670" s="57" t="s">
        <v>4803</v>
      </c>
      <c r="H2670" s="57" t="s">
        <v>363</v>
      </c>
    </row>
    <row r="2671" spans="2:8" ht="13.5" customHeight="1">
      <c r="B2671" s="57" t="s">
        <v>4774</v>
      </c>
      <c r="D2671" s="57" t="s">
        <v>4775</v>
      </c>
      <c r="F2671" s="57">
        <v>2</v>
      </c>
      <c r="G2671" s="57" t="s">
        <v>4803</v>
      </c>
      <c r="H2671" s="57" t="s">
        <v>363</v>
      </c>
    </row>
    <row r="2672" spans="2:8" ht="13.5" customHeight="1">
      <c r="B2672" s="57" t="s">
        <v>4778</v>
      </c>
      <c r="D2672" s="57" t="s">
        <v>4779</v>
      </c>
      <c r="F2672" s="57">
        <v>5</v>
      </c>
      <c r="G2672" s="57" t="s">
        <v>4803</v>
      </c>
      <c r="H2672" s="57" t="s">
        <v>363</v>
      </c>
    </row>
    <row r="2673" spans="2:8" ht="13.5" customHeight="1">
      <c r="B2673" s="57" t="s">
        <v>269</v>
      </c>
      <c r="D2673" s="57" t="s">
        <v>4796</v>
      </c>
      <c r="F2673" s="57">
        <v>5</v>
      </c>
      <c r="G2673" s="57" t="s">
        <v>4803</v>
      </c>
      <c r="H2673" s="57" t="s">
        <v>363</v>
      </c>
    </row>
    <row r="2674" spans="2:8" ht="13.5" customHeight="1">
      <c r="B2674" s="57" t="s">
        <v>4740</v>
      </c>
      <c r="D2674" s="57" t="s">
        <v>4741</v>
      </c>
      <c r="E2674" s="57" t="s">
        <v>4742</v>
      </c>
      <c r="F2674" s="57">
        <v>6</v>
      </c>
      <c r="G2674" s="57" t="s">
        <v>4803</v>
      </c>
      <c r="H2674" s="57" t="s">
        <v>363</v>
      </c>
    </row>
    <row r="2675" spans="2:8" ht="13.5" customHeight="1">
      <c r="B2675" s="57" t="s">
        <v>4753</v>
      </c>
      <c r="D2675" s="57" t="s">
        <v>4754</v>
      </c>
      <c r="E2675" s="57" t="s">
        <v>4755</v>
      </c>
      <c r="F2675" s="57">
        <v>8</v>
      </c>
      <c r="G2675" s="57" t="s">
        <v>4803</v>
      </c>
      <c r="H2675" s="57" t="s">
        <v>363</v>
      </c>
    </row>
    <row r="2676" spans="2:8" ht="13.5" customHeight="1">
      <c r="B2676" s="57" t="s">
        <v>4797</v>
      </c>
      <c r="D2676" s="57" t="s">
        <v>4798</v>
      </c>
      <c r="F2676" s="57">
        <v>8</v>
      </c>
      <c r="G2676" s="57" t="s">
        <v>4803</v>
      </c>
      <c r="H2676" s="57" t="s">
        <v>363</v>
      </c>
    </row>
    <row r="2677" spans="2:8" ht="13.5" customHeight="1">
      <c r="B2677" s="57" t="s">
        <v>4743</v>
      </c>
      <c r="D2677" s="57" t="s">
        <v>4744</v>
      </c>
      <c r="F2677" s="57">
        <v>8</v>
      </c>
      <c r="G2677" s="57" t="s">
        <v>4803</v>
      </c>
      <c r="H2677" s="57" t="s">
        <v>363</v>
      </c>
    </row>
    <row r="2678" spans="2:8" ht="13.5" customHeight="1">
      <c r="B2678" s="57" t="s">
        <v>4772</v>
      </c>
      <c r="D2678" s="57" t="s">
        <v>4773</v>
      </c>
      <c r="F2678" s="57">
        <v>10</v>
      </c>
      <c r="G2678" s="57" t="s">
        <v>4803</v>
      </c>
      <c r="H2678" s="57" t="s">
        <v>363</v>
      </c>
    </row>
    <row r="2679" spans="2:8" ht="13.5" customHeight="1">
      <c r="B2679" s="57" t="s">
        <v>4756</v>
      </c>
      <c r="D2679" s="57" t="s">
        <v>4757</v>
      </c>
      <c r="F2679" s="57">
        <v>11</v>
      </c>
      <c r="G2679" s="57" t="s">
        <v>4803</v>
      </c>
      <c r="H2679" s="57" t="s">
        <v>363</v>
      </c>
    </row>
    <row r="2680" spans="2:8" ht="13.5" customHeight="1">
      <c r="B2680" s="57" t="s">
        <v>4794</v>
      </c>
      <c r="D2680" s="57" t="s">
        <v>4761</v>
      </c>
      <c r="E2680" s="57" t="s">
        <v>4795</v>
      </c>
      <c r="F2680" s="57">
        <v>15</v>
      </c>
      <c r="G2680" s="57" t="s">
        <v>4803</v>
      </c>
      <c r="H2680" s="57" t="s">
        <v>363</v>
      </c>
    </row>
    <row r="2681" spans="2:8" ht="13.5" customHeight="1">
      <c r="B2681" s="57" t="s">
        <v>4788</v>
      </c>
      <c r="D2681" s="57" t="s">
        <v>4789</v>
      </c>
      <c r="F2681" s="57">
        <v>16</v>
      </c>
      <c r="G2681" s="57" t="s">
        <v>4803</v>
      </c>
      <c r="H2681" s="57" t="s">
        <v>363</v>
      </c>
    </row>
    <row r="2682" spans="2:8" ht="13.5" customHeight="1">
      <c r="B2682" s="57" t="s">
        <v>4747</v>
      </c>
      <c r="D2682" s="57" t="s">
        <v>4748</v>
      </c>
      <c r="F2682" s="57">
        <v>31</v>
      </c>
      <c r="G2682" s="57" t="s">
        <v>4803</v>
      </c>
      <c r="H2682" s="57" t="s">
        <v>363</v>
      </c>
    </row>
    <row r="2683" spans="2:8" ht="13.5" customHeight="1">
      <c r="B2683" s="57" t="s">
        <v>4766</v>
      </c>
      <c r="D2683" s="57" t="s">
        <v>4767</v>
      </c>
      <c r="F2683" s="57">
        <v>36</v>
      </c>
      <c r="G2683" s="57" t="s">
        <v>4803</v>
      </c>
      <c r="H2683" s="57" t="s">
        <v>363</v>
      </c>
    </row>
    <row r="2684" spans="2:8" ht="13.5" customHeight="1">
      <c r="B2684" s="57" t="s">
        <v>4768</v>
      </c>
      <c r="D2684" s="57" t="s">
        <v>4769</v>
      </c>
      <c r="F2684" s="57">
        <v>36</v>
      </c>
      <c r="G2684" s="57" t="s">
        <v>4803</v>
      </c>
      <c r="H2684" s="57" t="s">
        <v>363</v>
      </c>
    </row>
    <row r="2685" spans="2:8" ht="13.5" customHeight="1">
      <c r="B2685" s="57" t="s">
        <v>4745</v>
      </c>
      <c r="D2685" s="57" t="s">
        <v>4746</v>
      </c>
      <c r="F2685" s="57">
        <v>36</v>
      </c>
      <c r="G2685" s="57" t="s">
        <v>4803</v>
      </c>
      <c r="H2685" s="57" t="s">
        <v>363</v>
      </c>
    </row>
    <row r="2686" spans="2:8" ht="13.5" customHeight="1">
      <c r="B2686" s="57" t="s">
        <v>4792</v>
      </c>
      <c r="D2686" s="57" t="s">
        <v>4793</v>
      </c>
      <c r="F2686" s="57">
        <v>44</v>
      </c>
      <c r="G2686" s="57" t="s">
        <v>4803</v>
      </c>
      <c r="H2686" s="57" t="s">
        <v>363</v>
      </c>
    </row>
    <row r="2687" spans="2:8" ht="13.5" customHeight="1">
      <c r="B2687" s="57" t="s">
        <v>4790</v>
      </c>
      <c r="D2687" s="57" t="s">
        <v>4791</v>
      </c>
      <c r="F2687" s="57">
        <v>44</v>
      </c>
      <c r="G2687" s="57" t="s">
        <v>4803</v>
      </c>
      <c r="H2687" s="57" t="s">
        <v>363</v>
      </c>
    </row>
    <row r="2688" spans="2:8" ht="13.5" customHeight="1">
      <c r="B2688" s="57" t="s">
        <v>4770</v>
      </c>
      <c r="D2688" s="57" t="s">
        <v>4771</v>
      </c>
      <c r="F2688" s="57">
        <v>46</v>
      </c>
      <c r="G2688" s="57" t="s">
        <v>4803</v>
      </c>
      <c r="H2688" s="57" t="s">
        <v>363</v>
      </c>
    </row>
    <row r="2689" spans="2:9" ht="13.5" customHeight="1">
      <c r="B2689" s="57" t="s">
        <v>4786</v>
      </c>
      <c r="D2689" s="57" t="s">
        <v>4787</v>
      </c>
      <c r="F2689" s="57">
        <v>50</v>
      </c>
      <c r="G2689" s="57" t="s">
        <v>4803</v>
      </c>
      <c r="H2689" s="57" t="s">
        <v>363</v>
      </c>
    </row>
    <row r="2690" spans="2:9" ht="13.5" customHeight="1">
      <c r="B2690" s="57" t="s">
        <v>4763</v>
      </c>
      <c r="D2690" s="57" t="s">
        <v>4764</v>
      </c>
      <c r="E2690" s="57" t="s">
        <v>4765</v>
      </c>
      <c r="F2690" s="57">
        <v>54</v>
      </c>
      <c r="G2690" s="57" t="s">
        <v>4803</v>
      </c>
      <c r="H2690" s="57" t="s">
        <v>363</v>
      </c>
    </row>
    <row r="2691" spans="2:9" ht="13.5" customHeight="1">
      <c r="B2691" s="57" t="s">
        <v>4760</v>
      </c>
      <c r="D2691" s="57" t="s">
        <v>4761</v>
      </c>
      <c r="E2691" s="57" t="s">
        <v>4762</v>
      </c>
      <c r="F2691" s="57">
        <v>60</v>
      </c>
      <c r="G2691" s="57" t="s">
        <v>4803</v>
      </c>
      <c r="H2691" s="57" t="s">
        <v>363</v>
      </c>
    </row>
    <row r="2692" spans="2:9" ht="13.5" customHeight="1">
      <c r="B2692" s="57" t="s">
        <v>4751</v>
      </c>
      <c r="D2692" s="57" t="s">
        <v>4752</v>
      </c>
      <c r="F2692" s="57">
        <v>140</v>
      </c>
      <c r="G2692" s="57" t="s">
        <v>4803</v>
      </c>
      <c r="H2692" s="57" t="s">
        <v>363</v>
      </c>
    </row>
    <row r="2693" spans="2:9" ht="13.5" customHeight="1">
      <c r="D2693" s="57" t="s">
        <v>7996</v>
      </c>
      <c r="F2693" s="57">
        <v>17</v>
      </c>
      <c r="G2693" s="57" t="s">
        <v>7999</v>
      </c>
      <c r="H2693" s="57" t="s">
        <v>7930</v>
      </c>
    </row>
    <row r="2694" spans="2:9" ht="13.5" customHeight="1">
      <c r="B2694" s="57" t="s">
        <v>7990</v>
      </c>
      <c r="D2694" s="57" t="s">
        <v>7998</v>
      </c>
      <c r="F2694" s="57">
        <v>40</v>
      </c>
      <c r="G2694" s="57" t="s">
        <v>7999</v>
      </c>
      <c r="H2694" s="57" t="s">
        <v>7930</v>
      </c>
    </row>
    <row r="2695" spans="2:9" ht="13.5" customHeight="1">
      <c r="B2695" s="57" t="s">
        <v>7988</v>
      </c>
      <c r="D2695" s="57">
        <v>7466214</v>
      </c>
      <c r="F2695" s="57">
        <v>144</v>
      </c>
      <c r="G2695" s="57" t="s">
        <v>7999</v>
      </c>
      <c r="H2695" s="57" t="s">
        <v>7930</v>
      </c>
    </row>
    <row r="2696" spans="2:9" ht="13.5" customHeight="1">
      <c r="B2696" s="57" t="s">
        <v>7991</v>
      </c>
      <c r="D2696" s="57" t="s">
        <v>7994</v>
      </c>
      <c r="F2696" s="57">
        <v>180</v>
      </c>
      <c r="G2696" s="57" t="s">
        <v>7999</v>
      </c>
      <c r="H2696" s="57" t="s">
        <v>7930</v>
      </c>
    </row>
    <row r="2697" spans="2:9" ht="13.5" customHeight="1">
      <c r="B2697" s="57" t="s">
        <v>7989</v>
      </c>
      <c r="D2697" s="57" t="s">
        <v>7993</v>
      </c>
      <c r="F2697" s="57">
        <v>180</v>
      </c>
      <c r="G2697" s="57" t="s">
        <v>7999</v>
      </c>
      <c r="H2697" s="57" t="s">
        <v>7930</v>
      </c>
    </row>
    <row r="2698" spans="2:9" ht="13.5" customHeight="1">
      <c r="B2698" s="57" t="s">
        <v>7990</v>
      </c>
      <c r="D2698" s="57" t="s">
        <v>7997</v>
      </c>
      <c r="F2698" s="57">
        <v>240</v>
      </c>
      <c r="G2698" s="57" t="s">
        <v>7999</v>
      </c>
      <c r="H2698" s="57" t="s">
        <v>7930</v>
      </c>
    </row>
    <row r="2699" spans="2:9" ht="13.5" customHeight="1">
      <c r="B2699" s="57" t="s">
        <v>7992</v>
      </c>
      <c r="D2699" s="57" t="s">
        <v>7995</v>
      </c>
      <c r="F2699" s="57">
        <v>1098</v>
      </c>
      <c r="G2699" s="57" t="s">
        <v>7999</v>
      </c>
      <c r="H2699" s="57" t="s">
        <v>7930</v>
      </c>
    </row>
    <row r="2700" spans="2:9" ht="13.5" customHeight="1">
      <c r="B2700" s="57" t="s">
        <v>4859</v>
      </c>
      <c r="D2700" s="57" t="s">
        <v>4860</v>
      </c>
      <c r="F2700" s="57">
        <v>1</v>
      </c>
      <c r="G2700" s="57" t="s">
        <v>4863</v>
      </c>
      <c r="H2700" s="57" t="s">
        <v>1116</v>
      </c>
      <c r="I2700" s="57" t="s">
        <v>4862</v>
      </c>
    </row>
    <row r="2701" spans="2:9" ht="13.5" customHeight="1">
      <c r="B2701" s="57" t="s">
        <v>4808</v>
      </c>
      <c r="D2701" s="57" t="s">
        <v>4809</v>
      </c>
      <c r="F2701" s="57">
        <v>2</v>
      </c>
      <c r="G2701" s="57" t="s">
        <v>4863</v>
      </c>
      <c r="H2701" s="57" t="s">
        <v>343</v>
      </c>
    </row>
    <row r="2702" spans="2:9" ht="13.5" customHeight="1">
      <c r="B2702" s="57" t="s">
        <v>4806</v>
      </c>
      <c r="D2702" s="57" t="s">
        <v>4807</v>
      </c>
      <c r="F2702" s="57">
        <v>2</v>
      </c>
      <c r="G2702" s="57" t="s">
        <v>4863</v>
      </c>
      <c r="H2702" s="57" t="s">
        <v>343</v>
      </c>
    </row>
    <row r="2703" spans="2:9" ht="13.5" customHeight="1">
      <c r="B2703" s="57" t="s">
        <v>376</v>
      </c>
      <c r="D2703" s="57" t="s">
        <v>3086</v>
      </c>
      <c r="F2703" s="57">
        <v>3</v>
      </c>
      <c r="G2703" s="57" t="s">
        <v>4863</v>
      </c>
      <c r="H2703" s="57" t="s">
        <v>343</v>
      </c>
    </row>
    <row r="2704" spans="2:9" ht="13.5" customHeight="1">
      <c r="B2704" s="57" t="s">
        <v>4816</v>
      </c>
      <c r="D2704" s="57" t="s">
        <v>4817</v>
      </c>
      <c r="F2704" s="57">
        <v>3</v>
      </c>
      <c r="G2704" s="57" t="s">
        <v>4863</v>
      </c>
      <c r="H2704" s="57" t="s">
        <v>343</v>
      </c>
    </row>
    <row r="2705" spans="2:9" ht="13.5" customHeight="1">
      <c r="B2705" s="57" t="s">
        <v>4857</v>
      </c>
      <c r="D2705" s="57">
        <v>4520</v>
      </c>
      <c r="F2705" s="57">
        <v>5</v>
      </c>
      <c r="G2705" s="57" t="s">
        <v>4863</v>
      </c>
      <c r="H2705" s="57" t="s">
        <v>343</v>
      </c>
    </row>
    <row r="2706" spans="2:9" ht="13.5" customHeight="1">
      <c r="B2706" s="57" t="s">
        <v>4856</v>
      </c>
      <c r="D2706" s="57">
        <v>151670225</v>
      </c>
      <c r="F2706" s="57">
        <v>5</v>
      </c>
      <c r="G2706" s="57" t="s">
        <v>4863</v>
      </c>
      <c r="H2706" s="57" t="s">
        <v>343</v>
      </c>
    </row>
    <row r="2707" spans="2:9" ht="13.5" customHeight="1">
      <c r="B2707" s="57" t="s">
        <v>4812</v>
      </c>
      <c r="D2707" s="57" t="s">
        <v>4813</v>
      </c>
      <c r="F2707" s="57">
        <v>7</v>
      </c>
      <c r="G2707" s="57" t="s">
        <v>4863</v>
      </c>
      <c r="H2707" s="57" t="s">
        <v>343</v>
      </c>
    </row>
    <row r="2708" spans="2:9" ht="13.5" customHeight="1">
      <c r="B2708" s="57" t="s">
        <v>4810</v>
      </c>
      <c r="D2708" s="57" t="s">
        <v>4811</v>
      </c>
      <c r="F2708" s="57">
        <v>9</v>
      </c>
      <c r="G2708" s="57" t="s">
        <v>4863</v>
      </c>
      <c r="H2708" s="57" t="s">
        <v>343</v>
      </c>
    </row>
    <row r="2709" spans="2:9" ht="13.5" customHeight="1">
      <c r="B2709" s="57" t="s">
        <v>4814</v>
      </c>
      <c r="D2709" s="57" t="s">
        <v>4815</v>
      </c>
      <c r="F2709" s="57">
        <v>12</v>
      </c>
      <c r="G2709" s="57" t="s">
        <v>4863</v>
      </c>
      <c r="H2709" s="57" t="s">
        <v>343</v>
      </c>
    </row>
    <row r="2710" spans="2:9" ht="13.5" customHeight="1">
      <c r="B2710" s="57" t="s">
        <v>4804</v>
      </c>
      <c r="D2710" s="57" t="s">
        <v>4805</v>
      </c>
      <c r="F2710" s="57">
        <v>19</v>
      </c>
      <c r="G2710" s="57" t="s">
        <v>4863</v>
      </c>
      <c r="H2710" s="57" t="s">
        <v>343</v>
      </c>
    </row>
    <row r="2711" spans="2:9" ht="13.5" customHeight="1">
      <c r="D2711" s="57" t="s">
        <v>4858</v>
      </c>
      <c r="F2711" s="57">
        <v>1</v>
      </c>
      <c r="G2711" s="57" t="s">
        <v>4863</v>
      </c>
      <c r="H2711" s="57" t="s">
        <v>344</v>
      </c>
      <c r="I2711" s="57" t="s">
        <v>4861</v>
      </c>
    </row>
    <row r="2712" spans="2:9" ht="13.5" customHeight="1">
      <c r="B2712" s="171" t="s">
        <v>8939</v>
      </c>
      <c r="D2712" s="184" t="s">
        <v>8940</v>
      </c>
      <c r="F2712" s="76">
        <v>1</v>
      </c>
      <c r="G2712" s="57" t="s">
        <v>4863</v>
      </c>
      <c r="H2712" s="57" t="s">
        <v>344</v>
      </c>
    </row>
    <row r="2713" spans="2:9" ht="13.5" customHeight="1">
      <c r="B2713" s="57" t="s">
        <v>4836</v>
      </c>
      <c r="D2713" s="57" t="s">
        <v>4837</v>
      </c>
      <c r="F2713" s="57">
        <v>2</v>
      </c>
      <c r="G2713" s="57" t="s">
        <v>4863</v>
      </c>
      <c r="H2713" s="57" t="s">
        <v>344</v>
      </c>
    </row>
    <row r="2714" spans="2:9" ht="13.5" customHeight="1">
      <c r="B2714" s="57" t="s">
        <v>4832</v>
      </c>
      <c r="D2714" s="57" t="s">
        <v>4833</v>
      </c>
      <c r="F2714" s="57">
        <v>2</v>
      </c>
      <c r="G2714" s="57" t="s">
        <v>4863</v>
      </c>
      <c r="H2714" s="57" t="s">
        <v>344</v>
      </c>
    </row>
    <row r="2715" spans="2:9" ht="13.5" customHeight="1">
      <c r="B2715" s="57" t="s">
        <v>4819</v>
      </c>
      <c r="D2715" s="57" t="s">
        <v>4820</v>
      </c>
      <c r="F2715" s="57">
        <v>3</v>
      </c>
      <c r="G2715" s="57" t="s">
        <v>4863</v>
      </c>
      <c r="H2715" s="57" t="s">
        <v>344</v>
      </c>
    </row>
    <row r="2716" spans="2:9" ht="13.5" customHeight="1">
      <c r="B2716" s="57" t="s">
        <v>4827</v>
      </c>
      <c r="D2716" s="57" t="s">
        <v>4828</v>
      </c>
      <c r="F2716" s="57">
        <v>4</v>
      </c>
      <c r="G2716" s="57" t="s">
        <v>4863</v>
      </c>
      <c r="H2716" s="57" t="s">
        <v>344</v>
      </c>
    </row>
    <row r="2717" spans="2:9" ht="13.5" customHeight="1">
      <c r="B2717" s="57" t="s">
        <v>4831</v>
      </c>
      <c r="D2717" s="57">
        <v>522710879</v>
      </c>
      <c r="F2717" s="57">
        <v>5</v>
      </c>
      <c r="G2717" s="57" t="s">
        <v>4863</v>
      </c>
      <c r="H2717" s="57" t="s">
        <v>344</v>
      </c>
    </row>
    <row r="2718" spans="2:9" ht="13.5" customHeight="1">
      <c r="B2718" s="57" t="s">
        <v>4829</v>
      </c>
      <c r="D2718" s="57" t="s">
        <v>4830</v>
      </c>
      <c r="F2718" s="57">
        <v>5</v>
      </c>
      <c r="G2718" s="57" t="s">
        <v>4863</v>
      </c>
      <c r="H2718" s="57" t="s">
        <v>344</v>
      </c>
    </row>
    <row r="2719" spans="2:9" ht="13.5" customHeight="1">
      <c r="B2719" s="57" t="s">
        <v>4449</v>
      </c>
      <c r="D2719" s="57" t="s">
        <v>4824</v>
      </c>
      <c r="F2719" s="57">
        <v>5</v>
      </c>
      <c r="G2719" s="57" t="s">
        <v>4863</v>
      </c>
      <c r="H2719" s="57" t="s">
        <v>344</v>
      </c>
    </row>
    <row r="2720" spans="2:9" ht="13.5" customHeight="1">
      <c r="B2720" s="57" t="s">
        <v>4854</v>
      </c>
      <c r="D2720" s="57" t="s">
        <v>4855</v>
      </c>
      <c r="F2720" s="57">
        <v>5</v>
      </c>
      <c r="G2720" s="57" t="s">
        <v>4863</v>
      </c>
      <c r="H2720" s="57" t="s">
        <v>344</v>
      </c>
    </row>
    <row r="2721" spans="2:8" ht="13.5" customHeight="1">
      <c r="B2721" s="57" t="s">
        <v>4826</v>
      </c>
      <c r="D2721" s="57" t="s">
        <v>4807</v>
      </c>
      <c r="F2721" s="57">
        <v>5</v>
      </c>
      <c r="G2721" s="57" t="s">
        <v>4863</v>
      </c>
      <c r="H2721" s="57" t="s">
        <v>344</v>
      </c>
    </row>
    <row r="2722" spans="2:8" ht="13.5" customHeight="1">
      <c r="B2722" s="57" t="s">
        <v>4852</v>
      </c>
      <c r="D2722" s="57" t="s">
        <v>4853</v>
      </c>
      <c r="F2722" s="57">
        <v>7</v>
      </c>
      <c r="G2722" s="57" t="s">
        <v>4863</v>
      </c>
      <c r="H2722" s="57" t="s">
        <v>344</v>
      </c>
    </row>
    <row r="2723" spans="2:8" ht="13.5" customHeight="1">
      <c r="B2723" s="57" t="s">
        <v>4842</v>
      </c>
      <c r="D2723" s="57" t="s">
        <v>4843</v>
      </c>
      <c r="F2723" s="57">
        <v>9</v>
      </c>
      <c r="G2723" s="57" t="s">
        <v>4863</v>
      </c>
      <c r="H2723" s="57" t="s">
        <v>344</v>
      </c>
    </row>
    <row r="2724" spans="2:8" ht="13.5" customHeight="1">
      <c r="B2724" s="57" t="s">
        <v>4840</v>
      </c>
      <c r="D2724" s="57" t="s">
        <v>4841</v>
      </c>
      <c r="F2724" s="57">
        <v>9</v>
      </c>
      <c r="G2724" s="57" t="s">
        <v>4863</v>
      </c>
      <c r="H2724" s="57" t="s">
        <v>344</v>
      </c>
    </row>
    <row r="2725" spans="2:8" ht="13.5" customHeight="1">
      <c r="B2725" s="57" t="s">
        <v>4834</v>
      </c>
      <c r="D2725" s="57" t="s">
        <v>4835</v>
      </c>
      <c r="F2725" s="57">
        <v>10</v>
      </c>
      <c r="G2725" s="57" t="s">
        <v>4863</v>
      </c>
      <c r="H2725" s="57" t="s">
        <v>344</v>
      </c>
    </row>
    <row r="2726" spans="2:8" ht="13.5" customHeight="1">
      <c r="B2726" s="57" t="s">
        <v>4821</v>
      </c>
      <c r="D2726" s="57" t="s">
        <v>4822</v>
      </c>
      <c r="F2726" s="57">
        <v>10</v>
      </c>
      <c r="G2726" s="57" t="s">
        <v>4863</v>
      </c>
      <c r="H2726" s="57" t="s">
        <v>344</v>
      </c>
    </row>
    <row r="2727" spans="2:8" ht="13.5" customHeight="1">
      <c r="B2727" s="57" t="s">
        <v>4844</v>
      </c>
      <c r="D2727" s="57" t="s">
        <v>4845</v>
      </c>
      <c r="F2727" s="57">
        <v>10</v>
      </c>
      <c r="G2727" s="57" t="s">
        <v>4863</v>
      </c>
      <c r="H2727" s="57" t="s">
        <v>344</v>
      </c>
    </row>
    <row r="2728" spans="2:8" ht="13.5" customHeight="1">
      <c r="B2728" s="57" t="s">
        <v>4850</v>
      </c>
      <c r="D2728" s="57" t="s">
        <v>4851</v>
      </c>
      <c r="F2728" s="57">
        <v>10</v>
      </c>
      <c r="G2728" s="57" t="s">
        <v>4863</v>
      </c>
      <c r="H2728" s="57" t="s">
        <v>344</v>
      </c>
    </row>
    <row r="2729" spans="2:8" ht="13.5" customHeight="1">
      <c r="B2729" s="57" t="s">
        <v>4848</v>
      </c>
      <c r="D2729" s="57" t="s">
        <v>4849</v>
      </c>
      <c r="F2729" s="57">
        <v>10</v>
      </c>
      <c r="G2729" s="57" t="s">
        <v>4863</v>
      </c>
      <c r="H2729" s="57" t="s">
        <v>344</v>
      </c>
    </row>
    <row r="2730" spans="2:8" ht="13.5" customHeight="1">
      <c r="B2730" s="57" t="s">
        <v>235</v>
      </c>
      <c r="D2730" s="57" t="s">
        <v>4823</v>
      </c>
      <c r="F2730" s="57">
        <v>11</v>
      </c>
      <c r="G2730" s="57" t="s">
        <v>4863</v>
      </c>
      <c r="H2730" s="57" t="s">
        <v>344</v>
      </c>
    </row>
    <row r="2731" spans="2:8" ht="13.5" customHeight="1">
      <c r="B2731" s="57" t="s">
        <v>376</v>
      </c>
      <c r="D2731" s="57" t="s">
        <v>4818</v>
      </c>
      <c r="F2731" s="57">
        <v>16</v>
      </c>
      <c r="G2731" s="57" t="s">
        <v>4863</v>
      </c>
      <c r="H2731" s="57" t="s">
        <v>344</v>
      </c>
    </row>
    <row r="2732" spans="2:8" ht="13.5" customHeight="1">
      <c r="B2732" s="57" t="s">
        <v>4838</v>
      </c>
      <c r="D2732" s="57" t="s">
        <v>4839</v>
      </c>
      <c r="F2732" s="57">
        <v>17</v>
      </c>
      <c r="G2732" s="57" t="s">
        <v>4863</v>
      </c>
      <c r="H2732" s="57" t="s">
        <v>344</v>
      </c>
    </row>
    <row r="2733" spans="2:8" ht="13.5" customHeight="1">
      <c r="B2733" s="57" t="s">
        <v>2770</v>
      </c>
      <c r="D2733" s="57" t="s">
        <v>1391</v>
      </c>
      <c r="F2733" s="57">
        <v>23</v>
      </c>
      <c r="G2733" s="57" t="s">
        <v>4863</v>
      </c>
      <c r="H2733" s="57" t="s">
        <v>344</v>
      </c>
    </row>
    <row r="2734" spans="2:8" ht="13.5" customHeight="1">
      <c r="B2734" s="57" t="s">
        <v>4846</v>
      </c>
      <c r="D2734" s="57" t="s">
        <v>4847</v>
      </c>
      <c r="F2734" s="57">
        <v>120</v>
      </c>
      <c r="G2734" s="57" t="s">
        <v>4863</v>
      </c>
      <c r="H2734" s="57" t="s">
        <v>344</v>
      </c>
    </row>
    <row r="2735" spans="2:8" ht="13.5" customHeight="1">
      <c r="D2735" s="57" t="s">
        <v>5080</v>
      </c>
      <c r="F2735" s="57">
        <v>9</v>
      </c>
      <c r="G2735" s="57" t="s">
        <v>5115</v>
      </c>
      <c r="H2735" s="57" t="s">
        <v>1116</v>
      </c>
    </row>
    <row r="2736" spans="2:8" ht="13.5" customHeight="1">
      <c r="D2736" s="57" t="s">
        <v>5079</v>
      </c>
      <c r="F2736" s="57">
        <v>60</v>
      </c>
      <c r="G2736" s="57" t="s">
        <v>5115</v>
      </c>
      <c r="H2736" s="57" t="s">
        <v>1116</v>
      </c>
    </row>
    <row r="2737" spans="2:8" ht="13.5" customHeight="1">
      <c r="D2737" s="57" t="s">
        <v>5077</v>
      </c>
      <c r="F2737" s="57">
        <v>72</v>
      </c>
      <c r="G2737" s="57" t="s">
        <v>5115</v>
      </c>
      <c r="H2737" s="57" t="s">
        <v>1116</v>
      </c>
    </row>
    <row r="2738" spans="2:8" ht="13.5" customHeight="1">
      <c r="D2738" s="57" t="s">
        <v>5078</v>
      </c>
      <c r="F2738" s="57">
        <v>144</v>
      </c>
      <c r="G2738" s="57" t="s">
        <v>5115</v>
      </c>
      <c r="H2738" s="57" t="s">
        <v>1116</v>
      </c>
    </row>
    <row r="2739" spans="2:8" ht="13.5" customHeight="1">
      <c r="D2739" s="57" t="s">
        <v>5112</v>
      </c>
      <c r="F2739" s="57">
        <v>210</v>
      </c>
      <c r="G2739" s="57" t="s">
        <v>5115</v>
      </c>
      <c r="H2739" s="57" t="s">
        <v>1116</v>
      </c>
    </row>
    <row r="2740" spans="2:8" ht="13.5" customHeight="1">
      <c r="D2740" s="57" t="s">
        <v>5113</v>
      </c>
      <c r="F2740" s="57">
        <v>497</v>
      </c>
      <c r="G2740" s="57" t="s">
        <v>5115</v>
      </c>
      <c r="H2740" s="57" t="s">
        <v>1116</v>
      </c>
    </row>
    <row r="2741" spans="2:8" ht="13.5" customHeight="1">
      <c r="B2741" s="57" t="s">
        <v>5042</v>
      </c>
      <c r="D2741" s="60" t="s">
        <v>8324</v>
      </c>
      <c r="F2741" s="57">
        <v>916</v>
      </c>
      <c r="G2741" s="57" t="s">
        <v>5115</v>
      </c>
      <c r="H2741" s="57" t="s">
        <v>1116</v>
      </c>
    </row>
    <row r="2742" spans="2:8" ht="13.5" customHeight="1">
      <c r="D2742" s="57" t="s">
        <v>5114</v>
      </c>
      <c r="F2742" s="57">
        <v>1000</v>
      </c>
      <c r="G2742" s="57" t="s">
        <v>5115</v>
      </c>
      <c r="H2742" s="57" t="s">
        <v>1116</v>
      </c>
    </row>
    <row r="2743" spans="2:8" ht="13.5" customHeight="1">
      <c r="B2743" s="57" t="s">
        <v>4982</v>
      </c>
      <c r="D2743" s="57" t="s">
        <v>4983</v>
      </c>
      <c r="E2743" s="57" t="s">
        <v>4984</v>
      </c>
      <c r="F2743" s="57">
        <v>1</v>
      </c>
      <c r="G2743" s="57" t="s">
        <v>5115</v>
      </c>
      <c r="H2743" s="57" t="s">
        <v>343</v>
      </c>
    </row>
    <row r="2744" spans="2:8" ht="13.5" customHeight="1">
      <c r="B2744" s="57" t="s">
        <v>5047</v>
      </c>
      <c r="D2744" s="57" t="s">
        <v>5048</v>
      </c>
      <c r="E2744" s="57" t="s">
        <v>5049</v>
      </c>
      <c r="F2744" s="57">
        <v>6</v>
      </c>
      <c r="G2744" s="57" t="s">
        <v>5115</v>
      </c>
      <c r="H2744" s="57" t="s">
        <v>343</v>
      </c>
    </row>
    <row r="2745" spans="2:8" ht="13.5" customHeight="1">
      <c r="B2745" s="57" t="s">
        <v>4978</v>
      </c>
      <c r="D2745" s="57" t="s">
        <v>4979</v>
      </c>
      <c r="F2745" s="57">
        <v>17</v>
      </c>
      <c r="G2745" s="57" t="s">
        <v>5115</v>
      </c>
      <c r="H2745" s="57" t="s">
        <v>343</v>
      </c>
    </row>
    <row r="2746" spans="2:8" ht="13.5" customHeight="1">
      <c r="B2746" s="57" t="s">
        <v>4973</v>
      </c>
      <c r="D2746" s="57" t="s">
        <v>4974</v>
      </c>
      <c r="F2746" s="57">
        <v>20</v>
      </c>
      <c r="G2746" s="57" t="s">
        <v>5115</v>
      </c>
      <c r="H2746" s="57" t="s">
        <v>343</v>
      </c>
    </row>
    <row r="2747" spans="2:8" ht="13.5" customHeight="1">
      <c r="B2747" s="57" t="s">
        <v>4966</v>
      </c>
      <c r="D2747" s="57" t="s">
        <v>664</v>
      </c>
      <c r="F2747" s="57">
        <v>31</v>
      </c>
      <c r="G2747" s="57" t="s">
        <v>5115</v>
      </c>
      <c r="H2747" s="57" t="s">
        <v>343</v>
      </c>
    </row>
    <row r="2748" spans="2:8" ht="13.5" customHeight="1">
      <c r="B2748" s="57" t="s">
        <v>4960</v>
      </c>
      <c r="D2748" s="57" t="s">
        <v>4961</v>
      </c>
      <c r="F2748" s="57">
        <v>41</v>
      </c>
      <c r="G2748" s="57" t="s">
        <v>5115</v>
      </c>
      <c r="H2748" s="57" t="s">
        <v>343</v>
      </c>
    </row>
    <row r="2749" spans="2:8" ht="13.5" customHeight="1">
      <c r="B2749" s="57" t="s">
        <v>4943</v>
      </c>
      <c r="D2749" s="57" t="s">
        <v>4944</v>
      </c>
      <c r="F2749" s="57">
        <v>61</v>
      </c>
      <c r="G2749" s="57" t="s">
        <v>5115</v>
      </c>
      <c r="H2749" s="57" t="s">
        <v>343</v>
      </c>
    </row>
    <row r="2750" spans="2:8" ht="13.5" customHeight="1">
      <c r="B2750" s="57" t="s">
        <v>4959</v>
      </c>
      <c r="D2750" s="57" t="s">
        <v>3833</v>
      </c>
      <c r="F2750" s="57">
        <v>79</v>
      </c>
      <c r="G2750" s="57" t="s">
        <v>5115</v>
      </c>
      <c r="H2750" s="57" t="s">
        <v>343</v>
      </c>
    </row>
    <row r="2751" spans="2:8" ht="13.5" customHeight="1">
      <c r="B2751" s="57" t="s">
        <v>5066</v>
      </c>
      <c r="D2751" s="57" t="s">
        <v>5067</v>
      </c>
      <c r="E2751" s="57" t="s">
        <v>5068</v>
      </c>
      <c r="F2751" s="57">
        <v>5</v>
      </c>
      <c r="G2751" s="57" t="s">
        <v>5115</v>
      </c>
      <c r="H2751" s="57" t="s">
        <v>344</v>
      </c>
    </row>
    <row r="2752" spans="2:8" ht="13.5" customHeight="1">
      <c r="B2752" s="57" t="s">
        <v>5058</v>
      </c>
      <c r="D2752" s="57" t="s">
        <v>5059</v>
      </c>
      <c r="F2752" s="57">
        <v>7</v>
      </c>
      <c r="G2752" s="57" t="s">
        <v>5115</v>
      </c>
      <c r="H2752" s="57" t="s">
        <v>344</v>
      </c>
    </row>
    <row r="2753" spans="2:8" ht="13.5" customHeight="1">
      <c r="B2753" s="57" t="s">
        <v>5045</v>
      </c>
      <c r="D2753" s="57" t="s">
        <v>5046</v>
      </c>
      <c r="F2753" s="57">
        <v>8</v>
      </c>
      <c r="G2753" s="57" t="s">
        <v>5115</v>
      </c>
      <c r="H2753" s="57" t="s">
        <v>344</v>
      </c>
    </row>
    <row r="2754" spans="2:8" ht="13.5" customHeight="1">
      <c r="B2754" s="57" t="s">
        <v>5050</v>
      </c>
      <c r="D2754" s="57" t="s">
        <v>5051</v>
      </c>
      <c r="F2754" s="57">
        <v>9</v>
      </c>
      <c r="G2754" s="57" t="s">
        <v>5115</v>
      </c>
      <c r="H2754" s="57" t="s">
        <v>344</v>
      </c>
    </row>
    <row r="2755" spans="2:8" ht="13.5" customHeight="1">
      <c r="B2755" s="57" t="s">
        <v>5056</v>
      </c>
      <c r="D2755" s="57" t="s">
        <v>5057</v>
      </c>
      <c r="F2755" s="57">
        <v>10</v>
      </c>
      <c r="G2755" s="57" t="s">
        <v>5115</v>
      </c>
      <c r="H2755" s="57" t="s">
        <v>344</v>
      </c>
    </row>
    <row r="2756" spans="2:8" ht="13.5" customHeight="1">
      <c r="B2756" s="57" t="s">
        <v>4994</v>
      </c>
      <c r="D2756" s="57" t="s">
        <v>4995</v>
      </c>
      <c r="F2756" s="57">
        <v>18</v>
      </c>
      <c r="G2756" s="57" t="s">
        <v>5115</v>
      </c>
      <c r="H2756" s="57" t="s">
        <v>344</v>
      </c>
    </row>
    <row r="2757" spans="2:8" ht="13.5" customHeight="1">
      <c r="B2757" s="57" t="s">
        <v>4962</v>
      </c>
      <c r="D2757" s="57" t="s">
        <v>4963</v>
      </c>
      <c r="F2757" s="57">
        <v>21</v>
      </c>
      <c r="G2757" s="57" t="s">
        <v>5115</v>
      </c>
      <c r="H2757" s="57" t="s">
        <v>344</v>
      </c>
    </row>
    <row r="2758" spans="2:8" ht="13.5" customHeight="1">
      <c r="B2758" s="57" t="s">
        <v>4955</v>
      </c>
      <c r="D2758" s="57" t="s">
        <v>4956</v>
      </c>
      <c r="F2758" s="57">
        <v>21</v>
      </c>
      <c r="G2758" s="57" t="s">
        <v>5115</v>
      </c>
      <c r="H2758" s="57" t="s">
        <v>344</v>
      </c>
    </row>
    <row r="2759" spans="2:8" ht="13.5" customHeight="1">
      <c r="B2759" s="57" t="s">
        <v>5064</v>
      </c>
      <c r="D2759" s="57" t="s">
        <v>3324</v>
      </c>
      <c r="E2759" s="57" t="s">
        <v>5065</v>
      </c>
      <c r="F2759" s="57">
        <v>41</v>
      </c>
      <c r="G2759" s="57" t="s">
        <v>5115</v>
      </c>
      <c r="H2759" s="57" t="s">
        <v>344</v>
      </c>
    </row>
    <row r="2760" spans="2:8" ht="13.5" customHeight="1">
      <c r="B2760" s="57" t="s">
        <v>5087</v>
      </c>
      <c r="D2760" s="57" t="s">
        <v>5088</v>
      </c>
      <c r="F2760" s="57">
        <v>48</v>
      </c>
      <c r="G2760" s="57" t="s">
        <v>5115</v>
      </c>
      <c r="H2760" s="57" t="s">
        <v>344</v>
      </c>
    </row>
    <row r="2761" spans="2:8" ht="13.5" customHeight="1">
      <c r="B2761" s="57" t="s">
        <v>5010</v>
      </c>
      <c r="D2761" s="57" t="s">
        <v>5011</v>
      </c>
      <c r="F2761" s="57">
        <v>74</v>
      </c>
      <c r="G2761" s="57" t="s">
        <v>5115</v>
      </c>
      <c r="H2761" s="57" t="s">
        <v>344</v>
      </c>
    </row>
    <row r="2762" spans="2:8" ht="13.5" customHeight="1">
      <c r="B2762" s="57" t="s">
        <v>5018</v>
      </c>
      <c r="D2762" s="57" t="s">
        <v>5019</v>
      </c>
      <c r="F2762" s="57">
        <v>79</v>
      </c>
      <c r="G2762" s="57" t="s">
        <v>5115</v>
      </c>
      <c r="H2762" s="57" t="s">
        <v>344</v>
      </c>
    </row>
    <row r="2763" spans="2:8" ht="13.5" customHeight="1">
      <c r="B2763" s="57" t="s">
        <v>4949</v>
      </c>
      <c r="D2763" s="57" t="s">
        <v>4950</v>
      </c>
      <c r="F2763" s="57">
        <v>84</v>
      </c>
      <c r="G2763" s="57" t="s">
        <v>5115</v>
      </c>
      <c r="H2763" s="57" t="s">
        <v>344</v>
      </c>
    </row>
    <row r="2764" spans="2:8" ht="13.5" customHeight="1">
      <c r="B2764" s="57" t="s">
        <v>5024</v>
      </c>
      <c r="D2764" s="57" t="s">
        <v>5025</v>
      </c>
      <c r="F2764" s="57">
        <v>84</v>
      </c>
      <c r="G2764" s="57" t="s">
        <v>5115</v>
      </c>
      <c r="H2764" s="57" t="s">
        <v>344</v>
      </c>
    </row>
    <row r="2765" spans="2:8" ht="13.5" customHeight="1">
      <c r="B2765" s="57" t="s">
        <v>4970</v>
      </c>
      <c r="D2765" s="57" t="s">
        <v>4971</v>
      </c>
      <c r="F2765" s="57">
        <v>136</v>
      </c>
      <c r="G2765" s="57" t="s">
        <v>5115</v>
      </c>
      <c r="H2765" s="57" t="s">
        <v>344</v>
      </c>
    </row>
    <row r="2766" spans="2:8" ht="13.5" customHeight="1">
      <c r="B2766" s="57" t="s">
        <v>5085</v>
      </c>
      <c r="D2766" s="57" t="s">
        <v>5086</v>
      </c>
      <c r="F2766" s="57">
        <v>145</v>
      </c>
      <c r="G2766" s="57" t="s">
        <v>5115</v>
      </c>
      <c r="H2766" s="57" t="s">
        <v>344</v>
      </c>
    </row>
    <row r="2767" spans="2:8" ht="13.5" customHeight="1">
      <c r="B2767" s="57" t="s">
        <v>4941</v>
      </c>
      <c r="D2767" s="57" t="s">
        <v>4942</v>
      </c>
      <c r="F2767" s="57">
        <v>1061</v>
      </c>
      <c r="G2767" s="57" t="s">
        <v>5115</v>
      </c>
      <c r="H2767" s="57" t="s">
        <v>344</v>
      </c>
    </row>
    <row r="2768" spans="2:8" ht="13.5" customHeight="1">
      <c r="B2768" s="57" t="s">
        <v>5040</v>
      </c>
      <c r="D2768" s="57" t="s">
        <v>5041</v>
      </c>
      <c r="F2768" s="57">
        <v>6</v>
      </c>
      <c r="G2768" s="57" t="s">
        <v>5115</v>
      </c>
      <c r="H2768" s="57" t="s">
        <v>345</v>
      </c>
    </row>
    <row r="2769" spans="2:8" ht="13.5" customHeight="1">
      <c r="B2769" s="57" t="s">
        <v>5060</v>
      </c>
      <c r="D2769" s="57" t="s">
        <v>5061</v>
      </c>
      <c r="F2769" s="57">
        <v>8</v>
      </c>
      <c r="G2769" s="57" t="s">
        <v>5115</v>
      </c>
      <c r="H2769" s="57" t="s">
        <v>345</v>
      </c>
    </row>
    <row r="2770" spans="2:8" ht="13.5" customHeight="1">
      <c r="B2770" s="57" t="s">
        <v>5054</v>
      </c>
      <c r="D2770" s="57" t="s">
        <v>5055</v>
      </c>
      <c r="F2770" s="57">
        <v>10</v>
      </c>
      <c r="G2770" s="57" t="s">
        <v>5115</v>
      </c>
      <c r="H2770" s="57" t="s">
        <v>345</v>
      </c>
    </row>
    <row r="2771" spans="2:8" ht="13.5" customHeight="1">
      <c r="B2771" s="57" t="s">
        <v>5091</v>
      </c>
      <c r="D2771" s="57" t="s">
        <v>5092</v>
      </c>
      <c r="F2771" s="57">
        <v>11</v>
      </c>
      <c r="G2771" s="57" t="s">
        <v>5115</v>
      </c>
      <c r="H2771" s="57" t="s">
        <v>345</v>
      </c>
    </row>
    <row r="2772" spans="2:8" ht="13.5" customHeight="1">
      <c r="B2772" s="57" t="s">
        <v>4996</v>
      </c>
      <c r="D2772" s="57" t="s">
        <v>4997</v>
      </c>
      <c r="F2772" s="57">
        <v>30</v>
      </c>
      <c r="G2772" s="57" t="s">
        <v>5115</v>
      </c>
      <c r="H2772" s="57" t="s">
        <v>345</v>
      </c>
    </row>
    <row r="2773" spans="2:8" ht="13.5" customHeight="1">
      <c r="B2773" s="57" t="s">
        <v>4977</v>
      </c>
      <c r="D2773" s="57" t="s">
        <v>4977</v>
      </c>
      <c r="F2773" s="57">
        <v>30</v>
      </c>
      <c r="G2773" s="57" t="s">
        <v>5115</v>
      </c>
      <c r="H2773" s="57" t="s">
        <v>345</v>
      </c>
    </row>
    <row r="2774" spans="2:8" ht="13.5" customHeight="1">
      <c r="B2774" s="57" t="s">
        <v>4989</v>
      </c>
      <c r="D2774" s="57" t="s">
        <v>4990</v>
      </c>
      <c r="F2774" s="57">
        <v>35</v>
      </c>
      <c r="G2774" s="57" t="s">
        <v>5115</v>
      </c>
      <c r="H2774" s="57" t="s">
        <v>345</v>
      </c>
    </row>
    <row r="2775" spans="2:8" ht="13.5" customHeight="1">
      <c r="B2775" s="57" t="s">
        <v>5036</v>
      </c>
      <c r="D2775" s="57" t="s">
        <v>5037</v>
      </c>
      <c r="F2775" s="57">
        <v>39</v>
      </c>
      <c r="G2775" s="57" t="s">
        <v>5115</v>
      </c>
      <c r="H2775" s="57" t="s">
        <v>345</v>
      </c>
    </row>
    <row r="2776" spans="2:8" ht="13.5" customHeight="1">
      <c r="B2776" s="57" t="s">
        <v>4951</v>
      </c>
      <c r="D2776" s="57" t="s">
        <v>4952</v>
      </c>
      <c r="F2776" s="57">
        <v>51</v>
      </c>
      <c r="G2776" s="57" t="s">
        <v>5115</v>
      </c>
      <c r="H2776" s="57" t="s">
        <v>345</v>
      </c>
    </row>
    <row r="2777" spans="2:8" ht="13.5" customHeight="1">
      <c r="B2777" s="57" t="s">
        <v>5030</v>
      </c>
      <c r="D2777" s="57" t="s">
        <v>5031</v>
      </c>
      <c r="F2777" s="57">
        <v>60</v>
      </c>
      <c r="G2777" s="57" t="s">
        <v>5115</v>
      </c>
      <c r="H2777" s="57" t="s">
        <v>345</v>
      </c>
    </row>
    <row r="2778" spans="2:8" ht="13.5" customHeight="1">
      <c r="B2778" s="57" t="s">
        <v>4945</v>
      </c>
      <c r="D2778" s="57" t="s">
        <v>4946</v>
      </c>
      <c r="F2778" s="57">
        <v>66</v>
      </c>
      <c r="G2778" s="57" t="s">
        <v>5115</v>
      </c>
      <c r="H2778" s="57" t="s">
        <v>345</v>
      </c>
    </row>
    <row r="2779" spans="2:8" ht="13.5" customHeight="1">
      <c r="B2779" s="57" t="s">
        <v>5008</v>
      </c>
      <c r="D2779" s="57" t="s">
        <v>5009</v>
      </c>
      <c r="F2779" s="57">
        <v>120</v>
      </c>
      <c r="G2779" s="57" t="s">
        <v>5115</v>
      </c>
      <c r="H2779" s="57" t="s">
        <v>345</v>
      </c>
    </row>
    <row r="2780" spans="2:8" ht="13.5" customHeight="1">
      <c r="B2780" s="57" t="s">
        <v>5032</v>
      </c>
      <c r="D2780" s="57" t="s">
        <v>5033</v>
      </c>
      <c r="F2780" s="57">
        <v>122</v>
      </c>
      <c r="G2780" s="57" t="s">
        <v>5115</v>
      </c>
      <c r="H2780" s="57" t="s">
        <v>345</v>
      </c>
    </row>
    <row r="2781" spans="2:8" ht="13.5" customHeight="1">
      <c r="B2781" s="57" t="s">
        <v>4998</v>
      </c>
      <c r="D2781" s="57" t="s">
        <v>4999</v>
      </c>
      <c r="F2781" s="57">
        <v>133</v>
      </c>
      <c r="G2781" s="57" t="s">
        <v>5115</v>
      </c>
      <c r="H2781" s="57" t="s">
        <v>345</v>
      </c>
    </row>
    <row r="2782" spans="2:8" ht="13.5" customHeight="1">
      <c r="B2782" s="57" t="s">
        <v>5002</v>
      </c>
      <c r="D2782" s="57" t="s">
        <v>5003</v>
      </c>
      <c r="F2782" s="57">
        <v>283</v>
      </c>
      <c r="G2782" s="57" t="s">
        <v>5115</v>
      </c>
      <c r="H2782" s="57" t="s">
        <v>345</v>
      </c>
    </row>
    <row r="2783" spans="2:8" ht="13.5" customHeight="1">
      <c r="B2783" s="57" t="s">
        <v>5052</v>
      </c>
      <c r="D2783" s="57" t="s">
        <v>5053</v>
      </c>
      <c r="F2783" s="57">
        <v>5</v>
      </c>
      <c r="G2783" s="57" t="s">
        <v>5115</v>
      </c>
      <c r="H2783" s="57" t="s">
        <v>919</v>
      </c>
    </row>
    <row r="2784" spans="2:8" ht="13.5" customHeight="1">
      <c r="B2784" s="57" t="s">
        <v>5093</v>
      </c>
      <c r="D2784" s="57" t="s">
        <v>5094</v>
      </c>
      <c r="F2784" s="57">
        <v>8</v>
      </c>
      <c r="G2784" s="57" t="s">
        <v>5115</v>
      </c>
      <c r="H2784" s="57" t="s">
        <v>919</v>
      </c>
    </row>
    <row r="2785" spans="2:8" ht="13.5" customHeight="1">
      <c r="B2785" s="57" t="s">
        <v>4975</v>
      </c>
      <c r="D2785" s="57" t="s">
        <v>4976</v>
      </c>
      <c r="F2785" s="57">
        <v>10</v>
      </c>
      <c r="G2785" s="57" t="s">
        <v>5115</v>
      </c>
      <c r="H2785" s="57" t="s">
        <v>919</v>
      </c>
    </row>
    <row r="2786" spans="2:8" ht="13.5" customHeight="1">
      <c r="B2786" s="57" t="s">
        <v>5043</v>
      </c>
      <c r="D2786" s="57" t="s">
        <v>5044</v>
      </c>
      <c r="F2786" s="57">
        <v>19</v>
      </c>
      <c r="G2786" s="57" t="s">
        <v>5115</v>
      </c>
      <c r="H2786" s="57" t="s">
        <v>919</v>
      </c>
    </row>
    <row r="2787" spans="2:8" ht="13.5" customHeight="1">
      <c r="B2787" s="57" t="s">
        <v>5006</v>
      </c>
      <c r="D2787" s="57" t="s">
        <v>5007</v>
      </c>
      <c r="F2787" s="57">
        <v>20</v>
      </c>
      <c r="G2787" s="57" t="s">
        <v>5115</v>
      </c>
      <c r="H2787" s="57" t="s">
        <v>919</v>
      </c>
    </row>
    <row r="2788" spans="2:8" ht="13.5" customHeight="1">
      <c r="B2788" s="57" t="s">
        <v>5004</v>
      </c>
      <c r="D2788" s="57" t="s">
        <v>5005</v>
      </c>
      <c r="F2788" s="57">
        <v>23</v>
      </c>
      <c r="G2788" s="57" t="s">
        <v>5115</v>
      </c>
      <c r="H2788" s="57" t="s">
        <v>919</v>
      </c>
    </row>
    <row r="2789" spans="2:8" ht="13.5" customHeight="1">
      <c r="B2789" s="57" t="s">
        <v>4964</v>
      </c>
      <c r="D2789" s="57" t="s">
        <v>4965</v>
      </c>
      <c r="F2789" s="57">
        <v>27</v>
      </c>
      <c r="G2789" s="57" t="s">
        <v>5115</v>
      </c>
      <c r="H2789" s="57" t="s">
        <v>919</v>
      </c>
    </row>
    <row r="2790" spans="2:8" ht="13.5" customHeight="1">
      <c r="B2790" s="57" t="s">
        <v>5038</v>
      </c>
      <c r="D2790" s="57" t="s">
        <v>5039</v>
      </c>
      <c r="F2790" s="57">
        <v>36</v>
      </c>
      <c r="G2790" s="57" t="s">
        <v>5115</v>
      </c>
      <c r="H2790" s="57" t="s">
        <v>919</v>
      </c>
    </row>
    <row r="2791" spans="2:8" ht="13.5" customHeight="1">
      <c r="B2791" s="57" t="s">
        <v>5062</v>
      </c>
      <c r="D2791" s="57" t="s">
        <v>5063</v>
      </c>
      <c r="F2791" s="57">
        <v>37</v>
      </c>
      <c r="G2791" s="57" t="s">
        <v>5115</v>
      </c>
      <c r="H2791" s="57" t="s">
        <v>919</v>
      </c>
    </row>
    <row r="2792" spans="2:8" ht="13.5" customHeight="1">
      <c r="B2792" s="57" t="s">
        <v>5026</v>
      </c>
      <c r="D2792" s="57" t="s">
        <v>5027</v>
      </c>
      <c r="F2792" s="57">
        <v>39</v>
      </c>
      <c r="G2792" s="57" t="s">
        <v>5115</v>
      </c>
      <c r="H2792" s="57" t="s">
        <v>919</v>
      </c>
    </row>
    <row r="2793" spans="2:8" ht="13.5" customHeight="1">
      <c r="B2793" s="57" t="s">
        <v>4980</v>
      </c>
      <c r="D2793" s="57" t="s">
        <v>4981</v>
      </c>
      <c r="F2793" s="57">
        <v>42</v>
      </c>
      <c r="G2793" s="57" t="s">
        <v>5115</v>
      </c>
      <c r="H2793" s="57" t="s">
        <v>919</v>
      </c>
    </row>
    <row r="2794" spans="2:8" ht="13.5" customHeight="1">
      <c r="B2794" s="57" t="s">
        <v>5022</v>
      </c>
      <c r="D2794" s="57" t="s">
        <v>5023</v>
      </c>
      <c r="F2794" s="57">
        <v>59</v>
      </c>
      <c r="G2794" s="57" t="s">
        <v>5115</v>
      </c>
      <c r="H2794" s="57" t="s">
        <v>919</v>
      </c>
    </row>
    <row r="2795" spans="2:8" ht="13.5" customHeight="1">
      <c r="B2795" s="57" t="s">
        <v>4968</v>
      </c>
      <c r="D2795" s="57" t="s">
        <v>4969</v>
      </c>
      <c r="F2795" s="57">
        <v>63</v>
      </c>
      <c r="G2795" s="57" t="s">
        <v>5115</v>
      </c>
      <c r="H2795" s="57" t="s">
        <v>919</v>
      </c>
    </row>
    <row r="2796" spans="2:8" ht="13.5" customHeight="1">
      <c r="B2796" s="57" t="s">
        <v>4985</v>
      </c>
      <c r="D2796" s="57" t="s">
        <v>4986</v>
      </c>
      <c r="F2796" s="57">
        <v>64</v>
      </c>
      <c r="G2796" s="57" t="s">
        <v>5115</v>
      </c>
      <c r="H2796" s="57" t="s">
        <v>919</v>
      </c>
    </row>
    <row r="2797" spans="2:8" ht="13.5" customHeight="1">
      <c r="B2797" s="57" t="s">
        <v>5089</v>
      </c>
      <c r="D2797" s="57" t="s">
        <v>5090</v>
      </c>
      <c r="F2797" s="57">
        <v>70</v>
      </c>
      <c r="G2797" s="57" t="s">
        <v>5115</v>
      </c>
      <c r="H2797" s="57" t="s">
        <v>919</v>
      </c>
    </row>
    <row r="2798" spans="2:8" ht="13.5" customHeight="1">
      <c r="B2798" s="57" t="s">
        <v>5034</v>
      </c>
      <c r="D2798" s="57" t="s">
        <v>5035</v>
      </c>
      <c r="F2798" s="57">
        <v>91</v>
      </c>
      <c r="G2798" s="57" t="s">
        <v>5115</v>
      </c>
      <c r="H2798" s="57" t="s">
        <v>919</v>
      </c>
    </row>
    <row r="2799" spans="2:8" ht="13.5" customHeight="1">
      <c r="B2799" s="57" t="s">
        <v>5083</v>
      </c>
      <c r="D2799" s="57" t="s">
        <v>5084</v>
      </c>
      <c r="F2799" s="57">
        <v>95</v>
      </c>
      <c r="G2799" s="57" t="s">
        <v>5115</v>
      </c>
      <c r="H2799" s="57" t="s">
        <v>919</v>
      </c>
    </row>
    <row r="2800" spans="2:8" ht="13.5" customHeight="1">
      <c r="B2800" s="57" t="s">
        <v>4939</v>
      </c>
      <c r="D2800" s="57" t="s">
        <v>4940</v>
      </c>
      <c r="F2800" s="57">
        <v>138</v>
      </c>
      <c r="G2800" s="57" t="s">
        <v>5115</v>
      </c>
      <c r="H2800" s="57" t="s">
        <v>919</v>
      </c>
    </row>
    <row r="2801" spans="2:8" ht="13.5" customHeight="1">
      <c r="B2801" s="57" t="s">
        <v>5028</v>
      </c>
      <c r="D2801" s="57" t="s">
        <v>5029</v>
      </c>
      <c r="F2801" s="57">
        <v>26</v>
      </c>
      <c r="G2801" s="57" t="s">
        <v>5115</v>
      </c>
      <c r="H2801" s="57" t="s">
        <v>918</v>
      </c>
    </row>
    <row r="2802" spans="2:8" ht="13.5" customHeight="1">
      <c r="B2802" s="57" t="s">
        <v>4970</v>
      </c>
      <c r="D2802" s="57" t="s">
        <v>4972</v>
      </c>
      <c r="F2802" s="57">
        <v>40</v>
      </c>
      <c r="G2802" s="57" t="s">
        <v>5115</v>
      </c>
      <c r="H2802" s="57" t="s">
        <v>918</v>
      </c>
    </row>
    <row r="2803" spans="2:8" ht="13.5" customHeight="1">
      <c r="B2803" s="57" t="s">
        <v>4038</v>
      </c>
      <c r="D2803" s="57" t="s">
        <v>4967</v>
      </c>
      <c r="F2803" s="57">
        <v>50</v>
      </c>
      <c r="G2803" s="57" t="s">
        <v>5115</v>
      </c>
      <c r="H2803" s="57" t="s">
        <v>918</v>
      </c>
    </row>
    <row r="2804" spans="2:8" ht="13.5" customHeight="1">
      <c r="B2804" s="57" t="s">
        <v>5104</v>
      </c>
      <c r="D2804" s="57" t="s">
        <v>5105</v>
      </c>
      <c r="F2804" s="57">
        <v>60</v>
      </c>
      <c r="G2804" s="57" t="s">
        <v>5115</v>
      </c>
      <c r="H2804" s="57" t="s">
        <v>918</v>
      </c>
    </row>
    <row r="2805" spans="2:8" ht="13.5" customHeight="1">
      <c r="B2805" s="57" t="s">
        <v>4993</v>
      </c>
      <c r="D2805" s="57" t="s">
        <v>4993</v>
      </c>
      <c r="F2805" s="57">
        <v>65</v>
      </c>
      <c r="G2805" s="57" t="s">
        <v>5115</v>
      </c>
      <c r="H2805" s="57" t="s">
        <v>918</v>
      </c>
    </row>
    <row r="2806" spans="2:8" ht="13.5" customHeight="1">
      <c r="B2806" s="57" t="s">
        <v>5014</v>
      </c>
      <c r="D2806" s="57" t="s">
        <v>5015</v>
      </c>
      <c r="F2806" s="57">
        <v>83</v>
      </c>
      <c r="G2806" s="57" t="s">
        <v>5115</v>
      </c>
      <c r="H2806" s="57" t="s">
        <v>918</v>
      </c>
    </row>
    <row r="2807" spans="2:8" ht="13.5" customHeight="1">
      <c r="B2807" s="57" t="s">
        <v>4991</v>
      </c>
      <c r="D2807" s="57" t="s">
        <v>4992</v>
      </c>
      <c r="F2807" s="57">
        <v>95</v>
      </c>
      <c r="G2807" s="57" t="s">
        <v>5115</v>
      </c>
      <c r="H2807" s="57" t="s">
        <v>918</v>
      </c>
    </row>
    <row r="2808" spans="2:8" ht="13.5" customHeight="1">
      <c r="B2808" s="57" t="s">
        <v>4947</v>
      </c>
      <c r="D2808" s="57" t="s">
        <v>4948</v>
      </c>
      <c r="F2808" s="57">
        <v>99</v>
      </c>
      <c r="G2808" s="57" t="s">
        <v>5115</v>
      </c>
      <c r="H2808" s="57" t="s">
        <v>918</v>
      </c>
    </row>
    <row r="2809" spans="2:8" ht="13.5" customHeight="1">
      <c r="B2809" s="57" t="s">
        <v>2771</v>
      </c>
      <c r="D2809" s="57" t="s">
        <v>5076</v>
      </c>
      <c r="F2809" s="57">
        <v>163</v>
      </c>
      <c r="G2809" s="57" t="s">
        <v>5115</v>
      </c>
      <c r="H2809" s="57" t="s">
        <v>918</v>
      </c>
    </row>
    <row r="2810" spans="2:8" ht="13.5" customHeight="1">
      <c r="B2810" s="57" t="s">
        <v>5081</v>
      </c>
      <c r="D2810" s="57" t="s">
        <v>5082</v>
      </c>
      <c r="F2810" s="57">
        <v>260</v>
      </c>
      <c r="G2810" s="57" t="s">
        <v>5115</v>
      </c>
      <c r="H2810" s="57" t="s">
        <v>918</v>
      </c>
    </row>
    <row r="2811" spans="2:8" ht="13.5" customHeight="1">
      <c r="B2811" s="57" t="s">
        <v>5072</v>
      </c>
      <c r="D2811" s="57" t="s">
        <v>5073</v>
      </c>
      <c r="F2811" s="57">
        <v>277</v>
      </c>
      <c r="G2811" s="57" t="s">
        <v>5115</v>
      </c>
      <c r="H2811" s="57" t="s">
        <v>918</v>
      </c>
    </row>
    <row r="2812" spans="2:8" ht="13.5" customHeight="1">
      <c r="B2812" s="57" t="s">
        <v>5020</v>
      </c>
      <c r="D2812" s="57" t="s">
        <v>5021</v>
      </c>
      <c r="F2812" s="57">
        <v>366</v>
      </c>
      <c r="G2812" s="57" t="s">
        <v>5115</v>
      </c>
      <c r="H2812" s="57" t="s">
        <v>918</v>
      </c>
    </row>
    <row r="2813" spans="2:8" ht="13.5" customHeight="1">
      <c r="B2813" s="57" t="s">
        <v>5074</v>
      </c>
      <c r="D2813" s="57" t="s">
        <v>5075</v>
      </c>
      <c r="F2813" s="57">
        <v>658</v>
      </c>
      <c r="G2813" s="57" t="s">
        <v>5115</v>
      </c>
      <c r="H2813" s="57" t="s">
        <v>918</v>
      </c>
    </row>
    <row r="2814" spans="2:8" ht="13.5" customHeight="1">
      <c r="D2814" s="57" t="s">
        <v>5095</v>
      </c>
      <c r="F2814" s="57">
        <v>782</v>
      </c>
      <c r="G2814" s="57" t="s">
        <v>5115</v>
      </c>
      <c r="H2814" s="57" t="s">
        <v>918</v>
      </c>
    </row>
    <row r="2815" spans="2:8" ht="13.5" customHeight="1">
      <c r="B2815" s="57" t="s">
        <v>5102</v>
      </c>
      <c r="D2815" s="57" t="s">
        <v>5103</v>
      </c>
      <c r="F2815" s="57">
        <v>11</v>
      </c>
      <c r="G2815" s="57" t="s">
        <v>5115</v>
      </c>
      <c r="H2815" s="57" t="s">
        <v>1114</v>
      </c>
    </row>
    <row r="2816" spans="2:8" ht="13.5" customHeight="1">
      <c r="B2816" s="57" t="s">
        <v>4982</v>
      </c>
      <c r="D2816" s="57" t="s">
        <v>5108</v>
      </c>
      <c r="F2816" s="57">
        <v>24</v>
      </c>
      <c r="G2816" s="57" t="s">
        <v>5115</v>
      </c>
      <c r="H2816" s="57" t="s">
        <v>1114</v>
      </c>
    </row>
    <row r="2817" spans="2:8" ht="13.5" customHeight="1">
      <c r="B2817" s="57" t="s">
        <v>5016</v>
      </c>
      <c r="D2817" s="57" t="s">
        <v>5017</v>
      </c>
      <c r="F2817" s="57">
        <v>39</v>
      </c>
      <c r="G2817" s="57" t="s">
        <v>5115</v>
      </c>
      <c r="H2817" s="57" t="s">
        <v>1114</v>
      </c>
    </row>
    <row r="2818" spans="2:8" ht="13.5" customHeight="1">
      <c r="B2818" s="57" t="s">
        <v>5106</v>
      </c>
      <c r="D2818" s="57" t="s">
        <v>5107</v>
      </c>
      <c r="F2818" s="57">
        <v>50</v>
      </c>
      <c r="G2818" s="57" t="s">
        <v>5115</v>
      </c>
      <c r="H2818" s="57" t="s">
        <v>1114</v>
      </c>
    </row>
    <row r="2819" spans="2:8" ht="13.5" customHeight="1">
      <c r="B2819" s="57" t="s">
        <v>4987</v>
      </c>
      <c r="D2819" s="57" t="s">
        <v>4988</v>
      </c>
      <c r="F2819" s="57">
        <v>132</v>
      </c>
      <c r="G2819" s="57" t="s">
        <v>5115</v>
      </c>
      <c r="H2819" s="57" t="s">
        <v>1114</v>
      </c>
    </row>
    <row r="2820" spans="2:8" ht="13.5" customHeight="1">
      <c r="B2820" s="57" t="s">
        <v>5069</v>
      </c>
      <c r="D2820" s="57" t="s">
        <v>5070</v>
      </c>
      <c r="E2820" s="57" t="s">
        <v>5071</v>
      </c>
      <c r="F2820" s="57">
        <v>356</v>
      </c>
      <c r="G2820" s="57" t="s">
        <v>5115</v>
      </c>
      <c r="H2820" s="57" t="s">
        <v>1114</v>
      </c>
    </row>
    <row r="2821" spans="2:8" ht="13.5" customHeight="1">
      <c r="B2821" s="57" t="s">
        <v>5069</v>
      </c>
      <c r="D2821" s="57" t="s">
        <v>5109</v>
      </c>
      <c r="F2821" s="57">
        <v>365</v>
      </c>
      <c r="G2821" s="57" t="s">
        <v>5115</v>
      </c>
      <c r="H2821" s="57" t="s">
        <v>1114</v>
      </c>
    </row>
    <row r="2822" spans="2:8" ht="13.5" customHeight="1">
      <c r="B2822" s="57" t="s">
        <v>5000</v>
      </c>
      <c r="D2822" s="57" t="s">
        <v>5001</v>
      </c>
      <c r="E2822" s="57" t="s">
        <v>2252</v>
      </c>
      <c r="F2822" s="57">
        <v>8</v>
      </c>
      <c r="G2822" s="57" t="s">
        <v>5115</v>
      </c>
      <c r="H2822" s="57" t="s">
        <v>1115</v>
      </c>
    </row>
    <row r="2823" spans="2:8" ht="13.5" customHeight="1">
      <c r="B2823" s="57" t="s">
        <v>5100</v>
      </c>
      <c r="D2823" s="57" t="s">
        <v>5101</v>
      </c>
      <c r="F2823" s="57">
        <v>10</v>
      </c>
      <c r="G2823" s="57" t="s">
        <v>5115</v>
      </c>
      <c r="H2823" s="57" t="s">
        <v>1115</v>
      </c>
    </row>
    <row r="2824" spans="2:8" ht="13.5" customHeight="1">
      <c r="B2824" s="57" t="s">
        <v>5096</v>
      </c>
      <c r="D2824" s="57" t="s">
        <v>5097</v>
      </c>
      <c r="F2824" s="57">
        <v>10</v>
      </c>
      <c r="G2824" s="57" t="s">
        <v>5115</v>
      </c>
      <c r="H2824" s="57" t="s">
        <v>1115</v>
      </c>
    </row>
    <row r="2825" spans="2:8" ht="13.5" customHeight="1">
      <c r="B2825" s="57" t="s">
        <v>5098</v>
      </c>
      <c r="D2825" s="57" t="s">
        <v>5099</v>
      </c>
      <c r="F2825" s="57">
        <v>10</v>
      </c>
      <c r="G2825" s="57" t="s">
        <v>5115</v>
      </c>
      <c r="H2825" s="57" t="s">
        <v>1115</v>
      </c>
    </row>
    <row r="2826" spans="2:8" ht="13.5" customHeight="1">
      <c r="B2826" s="57" t="s">
        <v>5012</v>
      </c>
      <c r="D2826" s="57" t="s">
        <v>5013</v>
      </c>
      <c r="F2826" s="57">
        <v>26</v>
      </c>
      <c r="G2826" s="57" t="s">
        <v>5115</v>
      </c>
      <c r="H2826" s="57" t="s">
        <v>1115</v>
      </c>
    </row>
    <row r="2827" spans="2:8" ht="13.5" customHeight="1">
      <c r="B2827" s="57" t="s">
        <v>4957</v>
      </c>
      <c r="D2827" s="57" t="s">
        <v>4958</v>
      </c>
      <c r="F2827" s="57">
        <v>47</v>
      </c>
      <c r="G2827" s="57" t="s">
        <v>5115</v>
      </c>
      <c r="H2827" s="57" t="s">
        <v>1115</v>
      </c>
    </row>
    <row r="2828" spans="2:8" ht="13.5" customHeight="1">
      <c r="B2828" s="57" t="s">
        <v>4929</v>
      </c>
      <c r="D2828" s="57" t="s">
        <v>4930</v>
      </c>
      <c r="F2828" s="57">
        <v>1</v>
      </c>
      <c r="G2828" s="57" t="s">
        <v>4938</v>
      </c>
      <c r="H2828" s="57" t="s">
        <v>363</v>
      </c>
    </row>
    <row r="2829" spans="2:8" ht="13.5" customHeight="1">
      <c r="B2829" s="57" t="s">
        <v>4925</v>
      </c>
      <c r="D2829" s="57" t="s">
        <v>4926</v>
      </c>
      <c r="F2829" s="57">
        <v>1</v>
      </c>
      <c r="G2829" s="57" t="s">
        <v>4938</v>
      </c>
      <c r="H2829" s="57" t="s">
        <v>363</v>
      </c>
    </row>
    <row r="2830" spans="2:8" ht="13.5" customHeight="1">
      <c r="B2830" s="57" t="s">
        <v>4933</v>
      </c>
      <c r="D2830" s="57" t="s">
        <v>4934</v>
      </c>
      <c r="F2830" s="57">
        <v>1</v>
      </c>
      <c r="G2830" s="57" t="s">
        <v>4938</v>
      </c>
      <c r="H2830" s="57" t="s">
        <v>363</v>
      </c>
    </row>
    <row r="2831" spans="2:8" ht="13.5" customHeight="1">
      <c r="B2831" s="57" t="s">
        <v>4927</v>
      </c>
      <c r="D2831" s="57" t="s">
        <v>4928</v>
      </c>
      <c r="F2831" s="57">
        <v>1</v>
      </c>
      <c r="G2831" s="57" t="s">
        <v>4938</v>
      </c>
      <c r="H2831" s="57" t="s">
        <v>363</v>
      </c>
    </row>
    <row r="2832" spans="2:8" ht="13.5" customHeight="1">
      <c r="B2832" s="57" t="s">
        <v>4875</v>
      </c>
      <c r="D2832" s="57" t="s">
        <v>4876</v>
      </c>
      <c r="F2832" s="57">
        <v>2</v>
      </c>
      <c r="G2832" s="57" t="s">
        <v>4938</v>
      </c>
      <c r="H2832" s="57" t="s">
        <v>363</v>
      </c>
    </row>
    <row r="2833" spans="2:8" ht="13.5" customHeight="1">
      <c r="B2833" s="57" t="s">
        <v>4899</v>
      </c>
      <c r="D2833" s="57" t="s">
        <v>1954</v>
      </c>
      <c r="F2833" s="57">
        <v>2</v>
      </c>
      <c r="G2833" s="57" t="s">
        <v>4938</v>
      </c>
      <c r="H2833" s="57" t="s">
        <v>363</v>
      </c>
    </row>
    <row r="2834" spans="2:8" ht="13.5" customHeight="1">
      <c r="B2834" s="57" t="s">
        <v>4865</v>
      </c>
      <c r="D2834" s="57" t="s">
        <v>4866</v>
      </c>
      <c r="F2834" s="57">
        <v>4</v>
      </c>
      <c r="G2834" s="57" t="s">
        <v>4938</v>
      </c>
      <c r="H2834" s="57" t="s">
        <v>363</v>
      </c>
    </row>
    <row r="2835" spans="2:8" ht="13.5" customHeight="1">
      <c r="D2835" s="57" t="s">
        <v>4936</v>
      </c>
      <c r="F2835" s="57">
        <v>4</v>
      </c>
      <c r="G2835" s="57" t="s">
        <v>4938</v>
      </c>
      <c r="H2835" s="57" t="s">
        <v>363</v>
      </c>
    </row>
    <row r="2836" spans="2:8" ht="13.5" customHeight="1">
      <c r="B2836" s="57" t="s">
        <v>4890</v>
      </c>
      <c r="D2836" s="57" t="s">
        <v>4891</v>
      </c>
      <c r="F2836" s="57">
        <v>5</v>
      </c>
      <c r="G2836" s="57" t="s">
        <v>4938</v>
      </c>
      <c r="H2836" s="57" t="s">
        <v>363</v>
      </c>
    </row>
    <row r="2837" spans="2:8" ht="13.5" customHeight="1">
      <c r="B2837" s="57" t="s">
        <v>3591</v>
      </c>
      <c r="D2837" s="57" t="s">
        <v>3592</v>
      </c>
      <c r="F2837" s="57">
        <v>5</v>
      </c>
      <c r="G2837" s="57" t="s">
        <v>4938</v>
      </c>
      <c r="H2837" s="57" t="s">
        <v>363</v>
      </c>
    </row>
    <row r="2838" spans="2:8" ht="13.5" customHeight="1">
      <c r="B2838" s="57" t="s">
        <v>4931</v>
      </c>
      <c r="D2838" s="57" t="s">
        <v>4932</v>
      </c>
      <c r="F2838" s="57">
        <v>5</v>
      </c>
      <c r="G2838" s="57" t="s">
        <v>4938</v>
      </c>
      <c r="H2838" s="57" t="s">
        <v>363</v>
      </c>
    </row>
    <row r="2839" spans="2:8" ht="13.5" customHeight="1">
      <c r="D2839" s="57" t="s">
        <v>4937</v>
      </c>
      <c r="F2839" s="57">
        <v>5</v>
      </c>
      <c r="G2839" s="57" t="s">
        <v>4938</v>
      </c>
      <c r="H2839" s="57" t="s">
        <v>363</v>
      </c>
    </row>
    <row r="2840" spans="2:8" ht="13.5" customHeight="1">
      <c r="B2840" s="57" t="s">
        <v>4259</v>
      </c>
      <c r="D2840" s="57" t="s">
        <v>4881</v>
      </c>
      <c r="F2840" s="57">
        <v>6</v>
      </c>
      <c r="G2840" s="57" t="s">
        <v>4938</v>
      </c>
      <c r="H2840" s="57" t="s">
        <v>363</v>
      </c>
    </row>
    <row r="2841" spans="2:8" ht="13.5" customHeight="1">
      <c r="B2841" s="57" t="s">
        <v>4913</v>
      </c>
      <c r="D2841" s="57" t="s">
        <v>4914</v>
      </c>
      <c r="F2841" s="57">
        <v>6</v>
      </c>
      <c r="G2841" s="57" t="s">
        <v>4938</v>
      </c>
      <c r="H2841" s="57" t="s">
        <v>363</v>
      </c>
    </row>
    <row r="2842" spans="2:8" ht="13.5" customHeight="1">
      <c r="B2842" s="57" t="s">
        <v>4915</v>
      </c>
      <c r="D2842" s="57" t="s">
        <v>4916</v>
      </c>
      <c r="F2842" s="57">
        <v>7</v>
      </c>
      <c r="G2842" s="57" t="s">
        <v>4938</v>
      </c>
      <c r="H2842" s="57" t="s">
        <v>363</v>
      </c>
    </row>
    <row r="2843" spans="2:8" ht="13.5" customHeight="1">
      <c r="B2843" s="57" t="s">
        <v>4885</v>
      </c>
      <c r="D2843" s="57" t="s">
        <v>4886</v>
      </c>
      <c r="E2843" s="57" t="s">
        <v>4887</v>
      </c>
      <c r="F2843" s="57">
        <v>7</v>
      </c>
      <c r="G2843" s="57" t="s">
        <v>4938</v>
      </c>
      <c r="H2843" s="57" t="s">
        <v>363</v>
      </c>
    </row>
    <row r="2844" spans="2:8" ht="13.5" customHeight="1">
      <c r="B2844" s="57" t="s">
        <v>4888</v>
      </c>
      <c r="D2844" s="57" t="s">
        <v>4889</v>
      </c>
      <c r="F2844" s="57">
        <v>8</v>
      </c>
      <c r="G2844" s="57" t="s">
        <v>4938</v>
      </c>
      <c r="H2844" s="57" t="s">
        <v>363</v>
      </c>
    </row>
    <row r="2845" spans="2:8" ht="13.5" customHeight="1">
      <c r="B2845" s="57" t="s">
        <v>4879</v>
      </c>
      <c r="D2845" s="57" t="s">
        <v>4880</v>
      </c>
      <c r="F2845" s="57">
        <v>8</v>
      </c>
      <c r="G2845" s="57" t="s">
        <v>4938</v>
      </c>
      <c r="H2845" s="57" t="s">
        <v>363</v>
      </c>
    </row>
    <row r="2846" spans="2:8" ht="13.5" customHeight="1">
      <c r="B2846" s="57" t="s">
        <v>4080</v>
      </c>
      <c r="D2846" s="57" t="s">
        <v>4871</v>
      </c>
      <c r="F2846" s="57">
        <v>8</v>
      </c>
      <c r="G2846" s="57" t="s">
        <v>4938</v>
      </c>
      <c r="H2846" s="57" t="s">
        <v>363</v>
      </c>
    </row>
    <row r="2847" spans="2:8" ht="13.5" customHeight="1">
      <c r="B2847" s="57" t="s">
        <v>4872</v>
      </c>
      <c r="D2847" s="57" t="s">
        <v>4873</v>
      </c>
      <c r="F2847" s="57">
        <v>8</v>
      </c>
      <c r="G2847" s="57" t="s">
        <v>4938</v>
      </c>
      <c r="H2847" s="57" t="s">
        <v>363</v>
      </c>
    </row>
    <row r="2848" spans="2:8" ht="13.5" customHeight="1">
      <c r="B2848" s="57" t="s">
        <v>4895</v>
      </c>
      <c r="D2848" s="57" t="s">
        <v>4896</v>
      </c>
      <c r="F2848" s="57">
        <v>9</v>
      </c>
      <c r="G2848" s="57" t="s">
        <v>4938</v>
      </c>
      <c r="H2848" s="57" t="s">
        <v>363</v>
      </c>
    </row>
    <row r="2849" spans="2:8" ht="13.5" customHeight="1">
      <c r="B2849" s="57" t="s">
        <v>4869</v>
      </c>
      <c r="D2849" s="57" t="s">
        <v>4870</v>
      </c>
      <c r="F2849" s="57">
        <v>10</v>
      </c>
      <c r="G2849" s="57" t="s">
        <v>4938</v>
      </c>
      <c r="H2849" s="57" t="s">
        <v>363</v>
      </c>
    </row>
    <row r="2850" spans="2:8" ht="13.5" customHeight="1">
      <c r="B2850" s="57" t="s">
        <v>4867</v>
      </c>
      <c r="D2850" s="57" t="s">
        <v>4868</v>
      </c>
      <c r="F2850" s="57">
        <v>11</v>
      </c>
      <c r="G2850" s="57" t="s">
        <v>4938</v>
      </c>
      <c r="H2850" s="57" t="s">
        <v>363</v>
      </c>
    </row>
    <row r="2851" spans="2:8" ht="13.5" customHeight="1">
      <c r="B2851" s="57" t="s">
        <v>4877</v>
      </c>
      <c r="D2851" s="57" t="s">
        <v>4878</v>
      </c>
      <c r="F2851" s="57">
        <v>11</v>
      </c>
      <c r="G2851" s="57" t="s">
        <v>4938</v>
      </c>
      <c r="H2851" s="57" t="s">
        <v>363</v>
      </c>
    </row>
    <row r="2852" spans="2:8" ht="13.5" customHeight="1">
      <c r="B2852" s="57" t="s">
        <v>4921</v>
      </c>
      <c r="D2852" s="57" t="s">
        <v>4922</v>
      </c>
      <c r="F2852" s="57">
        <v>12</v>
      </c>
      <c r="G2852" s="57" t="s">
        <v>4938</v>
      </c>
      <c r="H2852" s="57" t="s">
        <v>363</v>
      </c>
    </row>
    <row r="2853" spans="2:8" ht="13.5" customHeight="1">
      <c r="B2853" s="57" t="s">
        <v>4917</v>
      </c>
      <c r="D2853" s="57" t="s">
        <v>4918</v>
      </c>
      <c r="F2853" s="57">
        <v>13</v>
      </c>
      <c r="G2853" s="57" t="s">
        <v>4938</v>
      </c>
      <c r="H2853" s="57" t="s">
        <v>363</v>
      </c>
    </row>
    <row r="2854" spans="2:8" ht="13.5" customHeight="1">
      <c r="B2854" s="57" t="s">
        <v>4900</v>
      </c>
      <c r="D2854" s="57" t="s">
        <v>4901</v>
      </c>
      <c r="F2854" s="57">
        <v>13</v>
      </c>
      <c r="G2854" s="57" t="s">
        <v>4938</v>
      </c>
      <c r="H2854" s="57" t="s">
        <v>363</v>
      </c>
    </row>
    <row r="2855" spans="2:8" ht="13.5" customHeight="1">
      <c r="B2855" s="57" t="s">
        <v>4905</v>
      </c>
      <c r="D2855" s="57" t="s">
        <v>4906</v>
      </c>
      <c r="F2855" s="57">
        <v>13</v>
      </c>
      <c r="G2855" s="57" t="s">
        <v>4938</v>
      </c>
      <c r="H2855" s="57" t="s">
        <v>363</v>
      </c>
    </row>
    <row r="2856" spans="2:8" ht="13.5" customHeight="1">
      <c r="B2856" s="57" t="s">
        <v>243</v>
      </c>
      <c r="D2856" s="57" t="s">
        <v>4874</v>
      </c>
      <c r="F2856" s="57">
        <v>14</v>
      </c>
      <c r="G2856" s="57" t="s">
        <v>4938</v>
      </c>
      <c r="H2856" s="57" t="s">
        <v>363</v>
      </c>
    </row>
    <row r="2857" spans="2:8" ht="13.5" customHeight="1">
      <c r="B2857" s="57" t="s">
        <v>4904</v>
      </c>
      <c r="D2857" s="57" t="s">
        <v>3043</v>
      </c>
      <c r="F2857" s="57">
        <v>14</v>
      </c>
      <c r="G2857" s="57" t="s">
        <v>4938</v>
      </c>
      <c r="H2857" s="57" t="s">
        <v>363</v>
      </c>
    </row>
    <row r="2858" spans="2:8" ht="13.5" customHeight="1">
      <c r="B2858" s="57" t="s">
        <v>4923</v>
      </c>
      <c r="D2858" s="57" t="s">
        <v>4924</v>
      </c>
      <c r="F2858" s="57">
        <v>17</v>
      </c>
      <c r="G2858" s="57" t="s">
        <v>4938</v>
      </c>
      <c r="H2858" s="57" t="s">
        <v>363</v>
      </c>
    </row>
    <row r="2859" spans="2:8" ht="13.5" customHeight="1">
      <c r="B2859" s="57" t="s">
        <v>4892</v>
      </c>
      <c r="D2859" s="57" t="s">
        <v>4893</v>
      </c>
      <c r="E2859" s="57" t="s">
        <v>4894</v>
      </c>
      <c r="F2859" s="57">
        <v>18</v>
      </c>
      <c r="G2859" s="57" t="s">
        <v>4938</v>
      </c>
      <c r="H2859" s="57" t="s">
        <v>363</v>
      </c>
    </row>
    <row r="2860" spans="2:8" ht="13.5" customHeight="1">
      <c r="B2860" s="57" t="s">
        <v>4911</v>
      </c>
      <c r="D2860" s="57" t="s">
        <v>4912</v>
      </c>
      <c r="F2860" s="57">
        <v>18</v>
      </c>
      <c r="G2860" s="57" t="s">
        <v>4938</v>
      </c>
      <c r="H2860" s="57" t="s">
        <v>363</v>
      </c>
    </row>
    <row r="2861" spans="2:8" ht="13.5" customHeight="1">
      <c r="B2861" s="57" t="s">
        <v>4883</v>
      </c>
      <c r="D2861" s="57" t="s">
        <v>4884</v>
      </c>
      <c r="F2861" s="57">
        <v>18</v>
      </c>
      <c r="G2861" s="57" t="s">
        <v>4938</v>
      </c>
      <c r="H2861" s="57" t="s">
        <v>363</v>
      </c>
    </row>
    <row r="2862" spans="2:8" ht="13.5" customHeight="1">
      <c r="B2862" s="57" t="s">
        <v>4907</v>
      </c>
      <c r="D2862" s="57" t="s">
        <v>4908</v>
      </c>
      <c r="F2862" s="57">
        <v>24</v>
      </c>
      <c r="G2862" s="57" t="s">
        <v>4938</v>
      </c>
      <c r="H2862" s="57" t="s">
        <v>363</v>
      </c>
    </row>
    <row r="2863" spans="2:8" ht="13.5" customHeight="1">
      <c r="B2863" s="57" t="s">
        <v>4897</v>
      </c>
      <c r="D2863" s="57" t="s">
        <v>4898</v>
      </c>
      <c r="F2863" s="57">
        <v>24</v>
      </c>
      <c r="G2863" s="57" t="s">
        <v>4938</v>
      </c>
      <c r="H2863" s="57" t="s">
        <v>363</v>
      </c>
    </row>
    <row r="2864" spans="2:8" ht="13.5" customHeight="1">
      <c r="B2864" s="57" t="s">
        <v>4902</v>
      </c>
      <c r="D2864" s="57" t="s">
        <v>4903</v>
      </c>
      <c r="F2864" s="57">
        <v>25</v>
      </c>
      <c r="G2864" s="57" t="s">
        <v>4938</v>
      </c>
      <c r="H2864" s="57" t="s">
        <v>363</v>
      </c>
    </row>
    <row r="2865" spans="2:8" ht="13.5" customHeight="1">
      <c r="B2865" s="57" t="s">
        <v>4909</v>
      </c>
      <c r="D2865" s="57" t="s">
        <v>4910</v>
      </c>
      <c r="F2865" s="57">
        <v>29</v>
      </c>
      <c r="G2865" s="57" t="s">
        <v>4938</v>
      </c>
      <c r="H2865" s="57" t="s">
        <v>363</v>
      </c>
    </row>
    <row r="2866" spans="2:8" ht="13.5" customHeight="1">
      <c r="B2866" s="57" t="s">
        <v>4919</v>
      </c>
      <c r="D2866" s="57" t="s">
        <v>4920</v>
      </c>
      <c r="F2866" s="57">
        <v>30</v>
      </c>
      <c r="G2866" s="57" t="s">
        <v>4938</v>
      </c>
      <c r="H2866" s="57" t="s">
        <v>363</v>
      </c>
    </row>
    <row r="2867" spans="2:8" ht="13.5" customHeight="1">
      <c r="B2867" s="57" t="s">
        <v>376</v>
      </c>
      <c r="D2867" s="57" t="s">
        <v>4864</v>
      </c>
      <c r="F2867" s="57">
        <v>33</v>
      </c>
      <c r="G2867" s="57" t="s">
        <v>4938</v>
      </c>
      <c r="H2867" s="57" t="s">
        <v>363</v>
      </c>
    </row>
    <row r="2868" spans="2:8" ht="13.5" customHeight="1">
      <c r="B2868" s="57" t="s">
        <v>2990</v>
      </c>
      <c r="D2868" s="57" t="s">
        <v>4935</v>
      </c>
      <c r="F2868" s="57">
        <v>90</v>
      </c>
      <c r="G2868" s="57" t="s">
        <v>4938</v>
      </c>
      <c r="H2868" s="57" t="s">
        <v>363</v>
      </c>
    </row>
    <row r="2869" spans="2:8" ht="13.5" customHeight="1">
      <c r="B2869" s="57" t="s">
        <v>5121</v>
      </c>
      <c r="D2869" s="57" t="s">
        <v>5122</v>
      </c>
      <c r="F2869" s="57">
        <v>1</v>
      </c>
      <c r="G2869" s="57" t="s">
        <v>5189</v>
      </c>
      <c r="H2869" s="57" t="s">
        <v>343</v>
      </c>
    </row>
    <row r="2870" spans="2:8" ht="13.5" customHeight="1">
      <c r="B2870" s="57" t="s">
        <v>5161</v>
      </c>
      <c r="D2870" s="57" t="s">
        <v>5162</v>
      </c>
      <c r="F2870" s="57">
        <v>1</v>
      </c>
      <c r="G2870" s="57" t="s">
        <v>5189</v>
      </c>
      <c r="H2870" s="57" t="s">
        <v>343</v>
      </c>
    </row>
    <row r="2871" spans="2:8" ht="13.5" customHeight="1">
      <c r="B2871" s="57" t="s">
        <v>5165</v>
      </c>
      <c r="D2871" s="57" t="s">
        <v>5166</v>
      </c>
      <c r="F2871" s="57">
        <v>2</v>
      </c>
      <c r="G2871" s="57" t="s">
        <v>5189</v>
      </c>
      <c r="H2871" s="57" t="s">
        <v>343</v>
      </c>
    </row>
    <row r="2872" spans="2:8" ht="13.5" customHeight="1">
      <c r="B2872" s="57" t="s">
        <v>5168</v>
      </c>
      <c r="D2872" s="57" t="s">
        <v>5169</v>
      </c>
      <c r="F2872" s="57">
        <v>2</v>
      </c>
      <c r="G2872" s="57" t="s">
        <v>5189</v>
      </c>
      <c r="H2872" s="57" t="s">
        <v>343</v>
      </c>
    </row>
    <row r="2873" spans="2:8" ht="13.5" customHeight="1">
      <c r="D2873" s="57" t="s">
        <v>3768</v>
      </c>
      <c r="F2873" s="57">
        <v>2</v>
      </c>
      <c r="G2873" s="57" t="s">
        <v>5189</v>
      </c>
      <c r="H2873" s="57" t="s">
        <v>343</v>
      </c>
    </row>
    <row r="2874" spans="2:8" ht="13.5" customHeight="1">
      <c r="B2874" s="57" t="s">
        <v>5176</v>
      </c>
      <c r="D2874" s="57" t="s">
        <v>5177</v>
      </c>
      <c r="F2874" s="57">
        <v>2</v>
      </c>
      <c r="G2874" s="57" t="s">
        <v>5189</v>
      </c>
      <c r="H2874" s="57" t="s">
        <v>343</v>
      </c>
    </row>
    <row r="2875" spans="2:8" ht="13.5" customHeight="1">
      <c r="B2875" s="57" t="s">
        <v>5163</v>
      </c>
      <c r="D2875" s="57" t="s">
        <v>5164</v>
      </c>
      <c r="F2875" s="57">
        <v>7</v>
      </c>
      <c r="G2875" s="57" t="s">
        <v>5189</v>
      </c>
      <c r="H2875" s="57" t="s">
        <v>343</v>
      </c>
    </row>
    <row r="2876" spans="2:8" ht="13.5" customHeight="1">
      <c r="B2876" s="57" t="s">
        <v>5116</v>
      </c>
      <c r="D2876" s="57" t="s">
        <v>5117</v>
      </c>
      <c r="F2876" s="57">
        <v>10</v>
      </c>
      <c r="G2876" s="57" t="s">
        <v>5189</v>
      </c>
      <c r="H2876" s="57" t="s">
        <v>343</v>
      </c>
    </row>
    <row r="2877" spans="2:8" ht="13.5" customHeight="1">
      <c r="D2877" s="57" t="s">
        <v>5182</v>
      </c>
      <c r="F2877" s="57">
        <v>10</v>
      </c>
      <c r="G2877" s="57" t="s">
        <v>5189</v>
      </c>
      <c r="H2877" s="57" t="s">
        <v>343</v>
      </c>
    </row>
    <row r="2878" spans="2:8" ht="13.5" customHeight="1">
      <c r="B2878" s="57" t="s">
        <v>5147</v>
      </c>
      <c r="D2878" s="57" t="s">
        <v>5148</v>
      </c>
      <c r="F2878" s="57">
        <v>10</v>
      </c>
      <c r="G2878" s="57" t="s">
        <v>5189</v>
      </c>
      <c r="H2878" s="57" t="s">
        <v>343</v>
      </c>
    </row>
    <row r="2879" spans="2:8" ht="13.5" customHeight="1">
      <c r="B2879" s="57" t="s">
        <v>5157</v>
      </c>
      <c r="D2879" s="57" t="s">
        <v>5158</v>
      </c>
      <c r="F2879" s="57">
        <v>10</v>
      </c>
      <c r="G2879" s="57" t="s">
        <v>5189</v>
      </c>
      <c r="H2879" s="57" t="s">
        <v>343</v>
      </c>
    </row>
    <row r="2880" spans="2:8" ht="13.5" customHeight="1">
      <c r="B2880" s="57" t="s">
        <v>5185</v>
      </c>
      <c r="D2880" s="57" t="s">
        <v>264</v>
      </c>
      <c r="F2880" s="57">
        <v>10</v>
      </c>
      <c r="G2880" s="57" t="s">
        <v>5189</v>
      </c>
      <c r="H2880" s="57" t="s">
        <v>343</v>
      </c>
    </row>
    <row r="2881" spans="2:8" ht="13.5" customHeight="1">
      <c r="B2881" s="57" t="s">
        <v>5179</v>
      </c>
      <c r="D2881" s="57" t="s">
        <v>5180</v>
      </c>
      <c r="F2881" s="57">
        <v>10</v>
      </c>
      <c r="G2881" s="57" t="s">
        <v>5189</v>
      </c>
      <c r="H2881" s="57" t="s">
        <v>343</v>
      </c>
    </row>
    <row r="2882" spans="2:8" ht="13.5" customHeight="1">
      <c r="B2882" s="57" t="s">
        <v>828</v>
      </c>
      <c r="D2882" s="57" t="s">
        <v>4626</v>
      </c>
      <c r="F2882" s="57">
        <v>12</v>
      </c>
      <c r="G2882" s="57" t="s">
        <v>5189</v>
      </c>
      <c r="H2882" s="57" t="s">
        <v>343</v>
      </c>
    </row>
    <row r="2883" spans="2:8" ht="13.5" customHeight="1">
      <c r="B2883" s="57" t="s">
        <v>5132</v>
      </c>
      <c r="D2883" s="57" t="s">
        <v>5133</v>
      </c>
      <c r="F2883" s="57">
        <v>14</v>
      </c>
      <c r="G2883" s="57" t="s">
        <v>5189</v>
      </c>
      <c r="H2883" s="57" t="s">
        <v>343</v>
      </c>
    </row>
    <row r="2884" spans="2:8" ht="13.5" customHeight="1">
      <c r="B2884" s="57" t="s">
        <v>5170</v>
      </c>
      <c r="D2884" s="57" t="s">
        <v>5171</v>
      </c>
      <c r="F2884" s="57">
        <v>15</v>
      </c>
      <c r="G2884" s="57" t="s">
        <v>5189</v>
      </c>
      <c r="H2884" s="57" t="s">
        <v>343</v>
      </c>
    </row>
    <row r="2885" spans="2:8" ht="13.5" customHeight="1">
      <c r="B2885" s="57" t="s">
        <v>5181</v>
      </c>
      <c r="D2885" s="57" t="s">
        <v>286</v>
      </c>
      <c r="F2885" s="57">
        <v>30</v>
      </c>
      <c r="G2885" s="57" t="s">
        <v>5189</v>
      </c>
      <c r="H2885" s="57" t="s">
        <v>343</v>
      </c>
    </row>
    <row r="2886" spans="2:8" ht="13.5" customHeight="1">
      <c r="B2886" s="57" t="s">
        <v>5135</v>
      </c>
      <c r="D2886" s="57" t="s">
        <v>5136</v>
      </c>
      <c r="F2886" s="57">
        <v>65</v>
      </c>
      <c r="G2886" s="57" t="s">
        <v>5189</v>
      </c>
      <c r="H2886" s="57" t="s">
        <v>343</v>
      </c>
    </row>
    <row r="2887" spans="2:8" ht="13.5" customHeight="1">
      <c r="B2887" s="57" t="s">
        <v>5186</v>
      </c>
      <c r="D2887" s="57" t="s">
        <v>320</v>
      </c>
      <c r="F2887" s="57">
        <v>115</v>
      </c>
      <c r="G2887" s="57" t="s">
        <v>5189</v>
      </c>
      <c r="H2887" s="57" t="s">
        <v>343</v>
      </c>
    </row>
    <row r="2888" spans="2:8" ht="13.5" customHeight="1">
      <c r="B2888" s="57" t="s">
        <v>5150</v>
      </c>
      <c r="D2888" s="57" t="s">
        <v>5151</v>
      </c>
      <c r="F2888" s="57">
        <v>1</v>
      </c>
      <c r="G2888" s="57" t="s">
        <v>5189</v>
      </c>
      <c r="H2888" s="57" t="s">
        <v>344</v>
      </c>
    </row>
    <row r="2889" spans="2:8" ht="13.5" customHeight="1">
      <c r="B2889" s="57" t="s">
        <v>5155</v>
      </c>
      <c r="D2889" s="57" t="s">
        <v>5156</v>
      </c>
      <c r="F2889" s="57">
        <v>1</v>
      </c>
      <c r="G2889" s="57" t="s">
        <v>5189</v>
      </c>
      <c r="H2889" s="57" t="s">
        <v>344</v>
      </c>
    </row>
    <row r="2890" spans="2:8" ht="13.5" customHeight="1">
      <c r="B2890" s="57" t="s">
        <v>5139</v>
      </c>
      <c r="D2890" s="57" t="s">
        <v>5140</v>
      </c>
      <c r="F2890" s="57">
        <v>2</v>
      </c>
      <c r="G2890" s="57" t="s">
        <v>5189</v>
      </c>
      <c r="H2890" s="57" t="s">
        <v>344</v>
      </c>
    </row>
    <row r="2891" spans="2:8" ht="13.5" customHeight="1">
      <c r="B2891" s="57" t="s">
        <v>5159</v>
      </c>
      <c r="D2891" s="57" t="s">
        <v>5160</v>
      </c>
      <c r="F2891" s="57">
        <v>2</v>
      </c>
      <c r="G2891" s="57" t="s">
        <v>5189</v>
      </c>
      <c r="H2891" s="57" t="s">
        <v>344</v>
      </c>
    </row>
    <row r="2892" spans="2:8" ht="13.5" customHeight="1">
      <c r="D2892" s="57" t="s">
        <v>5184</v>
      </c>
      <c r="F2892" s="57">
        <v>4</v>
      </c>
      <c r="G2892" s="57" t="s">
        <v>5189</v>
      </c>
      <c r="H2892" s="57" t="s">
        <v>344</v>
      </c>
    </row>
    <row r="2893" spans="2:8" ht="13.5" customHeight="1">
      <c r="B2893" s="57" t="s">
        <v>5143</v>
      </c>
      <c r="D2893" s="57" t="s">
        <v>5144</v>
      </c>
      <c r="F2893" s="57">
        <v>5</v>
      </c>
      <c r="G2893" s="57" t="s">
        <v>5189</v>
      </c>
      <c r="H2893" s="57" t="s">
        <v>344</v>
      </c>
    </row>
    <row r="2894" spans="2:8" ht="13.5" customHeight="1">
      <c r="B2894" s="57" t="s">
        <v>5118</v>
      </c>
      <c r="D2894" s="57" t="s">
        <v>5119</v>
      </c>
      <c r="F2894" s="57">
        <v>7</v>
      </c>
      <c r="G2894" s="57" t="s">
        <v>5189</v>
      </c>
      <c r="H2894" s="57" t="s">
        <v>344</v>
      </c>
    </row>
    <row r="2895" spans="2:8" ht="13.5" customHeight="1">
      <c r="B2895" s="57" t="s">
        <v>5123</v>
      </c>
      <c r="D2895" s="57" t="s">
        <v>5124</v>
      </c>
      <c r="F2895" s="57">
        <v>7</v>
      </c>
      <c r="G2895" s="57" t="s">
        <v>5189</v>
      </c>
      <c r="H2895" s="57" t="s">
        <v>344</v>
      </c>
    </row>
    <row r="2896" spans="2:8" ht="13.5" customHeight="1">
      <c r="B2896" s="57" t="s">
        <v>5145</v>
      </c>
      <c r="D2896" s="57" t="s">
        <v>5146</v>
      </c>
      <c r="F2896" s="57">
        <v>7</v>
      </c>
      <c r="G2896" s="57" t="s">
        <v>5189</v>
      </c>
      <c r="H2896" s="57" t="s">
        <v>344</v>
      </c>
    </row>
    <row r="2897" spans="2:8" ht="13.5" customHeight="1">
      <c r="B2897" s="57" t="s">
        <v>5134</v>
      </c>
      <c r="D2897" s="57" t="s">
        <v>217</v>
      </c>
      <c r="F2897" s="57">
        <v>10</v>
      </c>
      <c r="G2897" s="57" t="s">
        <v>5189</v>
      </c>
      <c r="H2897" s="57" t="s">
        <v>344</v>
      </c>
    </row>
    <row r="2898" spans="2:8" ht="13.5" customHeight="1">
      <c r="D2898" s="57" t="s">
        <v>282</v>
      </c>
      <c r="F2898" s="57">
        <v>10</v>
      </c>
      <c r="G2898" s="57" t="s">
        <v>5189</v>
      </c>
      <c r="H2898" s="57" t="s">
        <v>344</v>
      </c>
    </row>
    <row r="2899" spans="2:8" ht="13.5" customHeight="1">
      <c r="B2899" s="57" t="s">
        <v>5174</v>
      </c>
      <c r="D2899" s="57" t="s">
        <v>5175</v>
      </c>
      <c r="F2899" s="57">
        <v>10</v>
      </c>
      <c r="G2899" s="57" t="s">
        <v>5189</v>
      </c>
      <c r="H2899" s="57" t="s">
        <v>344</v>
      </c>
    </row>
    <row r="2900" spans="2:8" ht="13.5" customHeight="1">
      <c r="B2900" s="57" t="s">
        <v>5183</v>
      </c>
      <c r="D2900" s="57" t="s">
        <v>871</v>
      </c>
      <c r="F2900" s="57">
        <v>17</v>
      </c>
      <c r="G2900" s="57" t="s">
        <v>5189</v>
      </c>
      <c r="H2900" s="57" t="s">
        <v>344</v>
      </c>
    </row>
    <row r="2901" spans="2:8" ht="13.5" customHeight="1">
      <c r="B2901" s="57" t="s">
        <v>5141</v>
      </c>
      <c r="D2901" s="57" t="s">
        <v>5142</v>
      </c>
      <c r="F2901" s="57">
        <v>20</v>
      </c>
      <c r="G2901" s="57" t="s">
        <v>5189</v>
      </c>
      <c r="H2901" s="57" t="s">
        <v>344</v>
      </c>
    </row>
    <row r="2902" spans="2:8" ht="13.5" customHeight="1">
      <c r="B2902" s="57" t="s">
        <v>5149</v>
      </c>
      <c r="D2902" s="57" t="s">
        <v>3592</v>
      </c>
      <c r="F2902" s="57">
        <v>40</v>
      </c>
      <c r="G2902" s="57" t="s">
        <v>5189</v>
      </c>
      <c r="H2902" s="57" t="s">
        <v>344</v>
      </c>
    </row>
    <row r="2903" spans="2:8" ht="13.5" customHeight="1">
      <c r="B2903" s="57" t="s">
        <v>5137</v>
      </c>
      <c r="D2903" s="57" t="s">
        <v>5138</v>
      </c>
      <c r="F2903" s="57">
        <v>51</v>
      </c>
      <c r="G2903" s="57" t="s">
        <v>5189</v>
      </c>
      <c r="H2903" s="57" t="s">
        <v>344</v>
      </c>
    </row>
    <row r="2904" spans="2:8" ht="13.5" customHeight="1">
      <c r="B2904" s="57" t="s">
        <v>5152</v>
      </c>
      <c r="D2904" s="57" t="s">
        <v>5153</v>
      </c>
      <c r="F2904" s="57">
        <v>2</v>
      </c>
      <c r="G2904" s="57" t="s">
        <v>5189</v>
      </c>
      <c r="H2904" s="57" t="s">
        <v>345</v>
      </c>
    </row>
    <row r="2905" spans="2:8" ht="13.5" customHeight="1">
      <c r="B2905" s="57" t="s">
        <v>5154</v>
      </c>
      <c r="D2905" s="57" t="s">
        <v>5154</v>
      </c>
      <c r="F2905" s="57">
        <v>2</v>
      </c>
      <c r="G2905" s="57" t="s">
        <v>5189</v>
      </c>
      <c r="H2905" s="57" t="s">
        <v>345</v>
      </c>
    </row>
    <row r="2906" spans="2:8" ht="13.5" customHeight="1">
      <c r="B2906" s="57" t="s">
        <v>5130</v>
      </c>
      <c r="D2906" s="57" t="s">
        <v>5131</v>
      </c>
      <c r="F2906" s="57">
        <v>3</v>
      </c>
      <c r="G2906" s="57" t="s">
        <v>5189</v>
      </c>
      <c r="H2906" s="57" t="s">
        <v>345</v>
      </c>
    </row>
    <row r="2907" spans="2:8" ht="13.5" customHeight="1">
      <c r="B2907" s="57" t="s">
        <v>5187</v>
      </c>
      <c r="D2907" s="57" t="s">
        <v>5188</v>
      </c>
      <c r="F2907" s="57">
        <v>14</v>
      </c>
      <c r="G2907" s="57" t="s">
        <v>5189</v>
      </c>
      <c r="H2907" s="57" t="s">
        <v>345</v>
      </c>
    </row>
    <row r="2908" spans="2:8" ht="13.5" customHeight="1">
      <c r="B2908" s="57" t="s">
        <v>5127</v>
      </c>
      <c r="D2908" s="57" t="s">
        <v>5127</v>
      </c>
      <c r="F2908" s="57">
        <v>15</v>
      </c>
      <c r="G2908" s="57" t="s">
        <v>5189</v>
      </c>
      <c r="H2908" s="57" t="s">
        <v>345</v>
      </c>
    </row>
    <row r="2909" spans="2:8" ht="13.5" customHeight="1">
      <c r="B2909" s="57" t="s">
        <v>5178</v>
      </c>
      <c r="D2909" s="57" t="s">
        <v>5178</v>
      </c>
      <c r="F2909" s="57">
        <v>15</v>
      </c>
      <c r="G2909" s="57" t="s">
        <v>5189</v>
      </c>
      <c r="H2909" s="57" t="s">
        <v>345</v>
      </c>
    </row>
    <row r="2910" spans="2:8" ht="13.5" customHeight="1">
      <c r="B2910" s="57" t="s">
        <v>5128</v>
      </c>
      <c r="D2910" s="57" t="s">
        <v>5129</v>
      </c>
      <c r="F2910" s="57">
        <v>33</v>
      </c>
      <c r="G2910" s="57" t="s">
        <v>5189</v>
      </c>
      <c r="H2910" s="57" t="s">
        <v>345</v>
      </c>
    </row>
    <row r="2911" spans="2:8" ht="13.5" customHeight="1">
      <c r="B2911" s="57" t="s">
        <v>5125</v>
      </c>
      <c r="D2911" s="57" t="s">
        <v>5126</v>
      </c>
      <c r="F2911" s="57">
        <v>46</v>
      </c>
      <c r="G2911" s="57" t="s">
        <v>5189</v>
      </c>
      <c r="H2911" s="57" t="s">
        <v>345</v>
      </c>
    </row>
    <row r="2912" spans="2:8" ht="13.5" customHeight="1">
      <c r="B2912" s="57" t="s">
        <v>5172</v>
      </c>
      <c r="D2912" s="57" t="s">
        <v>5173</v>
      </c>
      <c r="F2912" s="57">
        <v>50</v>
      </c>
      <c r="G2912" s="57" t="s">
        <v>5189</v>
      </c>
      <c r="H2912" s="57" t="s">
        <v>345</v>
      </c>
    </row>
    <row r="2913" spans="2:8" ht="13.5" customHeight="1">
      <c r="D2913" s="57" t="s">
        <v>5192</v>
      </c>
      <c r="F2913" s="57">
        <v>5</v>
      </c>
      <c r="G2913" s="57" t="s">
        <v>5194</v>
      </c>
      <c r="H2913" s="57" t="s">
        <v>363</v>
      </c>
    </row>
    <row r="2914" spans="2:8" ht="13.5" customHeight="1">
      <c r="D2914" s="57" t="s">
        <v>5193</v>
      </c>
      <c r="F2914" s="57">
        <v>15</v>
      </c>
      <c r="G2914" s="57" t="s">
        <v>5194</v>
      </c>
      <c r="H2914" s="57" t="s">
        <v>363</v>
      </c>
    </row>
    <row r="2915" spans="2:8" ht="13.5" customHeight="1">
      <c r="B2915" s="57" t="s">
        <v>5190</v>
      </c>
      <c r="D2915" s="57" t="s">
        <v>5191</v>
      </c>
      <c r="F2915" s="57">
        <v>25</v>
      </c>
      <c r="G2915" s="57" t="s">
        <v>5194</v>
      </c>
      <c r="H2915" s="57" t="s">
        <v>363</v>
      </c>
    </row>
    <row r="2916" spans="2:8" ht="13.5" customHeight="1">
      <c r="B2916" s="57" t="s">
        <v>5218</v>
      </c>
      <c r="D2916" s="57" t="s">
        <v>5220</v>
      </c>
      <c r="F2916" s="57">
        <v>9</v>
      </c>
      <c r="G2916" s="57" t="s">
        <v>5249</v>
      </c>
      <c r="H2916" s="57" t="s">
        <v>343</v>
      </c>
    </row>
    <row r="2917" spans="2:8" ht="13.5" customHeight="1">
      <c r="B2917" s="57" t="s">
        <v>5230</v>
      </c>
      <c r="D2917" s="57" t="s">
        <v>5241</v>
      </c>
      <c r="F2917" s="57">
        <v>37</v>
      </c>
      <c r="G2917" s="57" t="s">
        <v>5249</v>
      </c>
      <c r="H2917" s="57" t="s">
        <v>343</v>
      </c>
    </row>
    <row r="2918" spans="2:8" ht="13.5" customHeight="1">
      <c r="B2918" s="57" t="s">
        <v>5226</v>
      </c>
      <c r="D2918" s="57" t="s">
        <v>5227</v>
      </c>
      <c r="E2918" s="57" t="s">
        <v>5227</v>
      </c>
      <c r="F2918" s="57">
        <v>43</v>
      </c>
      <c r="G2918" s="57" t="s">
        <v>5249</v>
      </c>
      <c r="H2918" s="57" t="s">
        <v>343</v>
      </c>
    </row>
    <row r="2919" spans="2:8" ht="13.5" customHeight="1">
      <c r="B2919" s="57" t="s">
        <v>304</v>
      </c>
      <c r="D2919" s="57" t="s">
        <v>5223</v>
      </c>
      <c r="F2919" s="57">
        <v>136</v>
      </c>
      <c r="G2919" s="57" t="s">
        <v>5249</v>
      </c>
      <c r="H2919" s="57" t="s">
        <v>343</v>
      </c>
    </row>
    <row r="2920" spans="2:8" ht="13.5" customHeight="1">
      <c r="B2920" s="57" t="s">
        <v>4674</v>
      </c>
      <c r="D2920" s="57" t="s">
        <v>4675</v>
      </c>
      <c r="F2920" s="57">
        <v>280</v>
      </c>
      <c r="G2920" s="57" t="s">
        <v>5249</v>
      </c>
      <c r="H2920" s="57" t="s">
        <v>343</v>
      </c>
    </row>
    <row r="2921" spans="2:8" ht="13.5" customHeight="1">
      <c r="B2921" s="57" t="s">
        <v>5211</v>
      </c>
      <c r="D2921" s="57" t="s">
        <v>4216</v>
      </c>
      <c r="F2921" s="57">
        <v>679</v>
      </c>
      <c r="G2921" s="57" t="s">
        <v>5249</v>
      </c>
      <c r="H2921" s="57" t="s">
        <v>343</v>
      </c>
    </row>
    <row r="2922" spans="2:8" ht="13.5" customHeight="1">
      <c r="B2922" s="57" t="s">
        <v>5230</v>
      </c>
      <c r="D2922" s="57" t="s">
        <v>5231</v>
      </c>
      <c r="E2922" s="57" t="s">
        <v>5232</v>
      </c>
      <c r="F2922" s="57">
        <v>8249</v>
      </c>
      <c r="G2922" s="57" t="s">
        <v>5249</v>
      </c>
      <c r="H2922" s="57" t="s">
        <v>343</v>
      </c>
    </row>
    <row r="2923" spans="2:8" ht="13.5" customHeight="1">
      <c r="B2923" s="57" t="s">
        <v>5209</v>
      </c>
      <c r="D2923" s="57" t="s">
        <v>5210</v>
      </c>
      <c r="F2923" s="57">
        <v>104</v>
      </c>
      <c r="G2923" s="57" t="s">
        <v>5249</v>
      </c>
      <c r="H2923" s="57" t="s">
        <v>344</v>
      </c>
    </row>
    <row r="2924" spans="2:8" ht="13.5" customHeight="1">
      <c r="B2924" s="57" t="s">
        <v>5202</v>
      </c>
      <c r="D2924" s="57" t="s">
        <v>5203</v>
      </c>
      <c r="F2924" s="57">
        <v>1901</v>
      </c>
      <c r="G2924" s="57" t="s">
        <v>5249</v>
      </c>
      <c r="H2924" s="57" t="s">
        <v>344</v>
      </c>
    </row>
    <row r="2925" spans="2:8" ht="13.5" customHeight="1">
      <c r="B2925" s="57" t="s">
        <v>269</v>
      </c>
      <c r="D2925" s="57" t="s">
        <v>4429</v>
      </c>
      <c r="F2925" s="57">
        <v>2918</v>
      </c>
      <c r="G2925" s="57" t="s">
        <v>5249</v>
      </c>
      <c r="H2925" s="57" t="s">
        <v>345</v>
      </c>
    </row>
    <row r="2926" spans="2:8" ht="13.5" customHeight="1">
      <c r="B2926" s="57" t="s">
        <v>5205</v>
      </c>
      <c r="D2926" s="57" t="s">
        <v>5206</v>
      </c>
      <c r="F2926" s="57">
        <v>3151</v>
      </c>
      <c r="G2926" s="57" t="s">
        <v>5249</v>
      </c>
      <c r="H2926" s="57" t="s">
        <v>345</v>
      </c>
    </row>
    <row r="2927" spans="2:8" ht="13.5" customHeight="1">
      <c r="B2927" s="57" t="s">
        <v>5198</v>
      </c>
      <c r="D2927" s="57" t="s">
        <v>5199</v>
      </c>
      <c r="F2927" s="57">
        <v>6</v>
      </c>
      <c r="G2927" s="57" t="s">
        <v>5249</v>
      </c>
      <c r="H2927" s="57" t="s">
        <v>919</v>
      </c>
    </row>
    <row r="2928" spans="2:8" ht="13.5" customHeight="1">
      <c r="B2928" s="57" t="s">
        <v>5239</v>
      </c>
      <c r="D2928" s="57" t="s">
        <v>5240</v>
      </c>
      <c r="F2928" s="57">
        <v>24</v>
      </c>
      <c r="G2928" s="57" t="s">
        <v>5249</v>
      </c>
      <c r="H2928" s="57" t="s">
        <v>919</v>
      </c>
    </row>
    <row r="2929" spans="2:8" ht="13.5" customHeight="1">
      <c r="B2929" s="57" t="s">
        <v>5224</v>
      </c>
      <c r="D2929" s="57" t="s">
        <v>5225</v>
      </c>
      <c r="F2929" s="57">
        <v>291</v>
      </c>
      <c r="G2929" s="57" t="s">
        <v>5249</v>
      </c>
      <c r="H2929" s="57" t="s">
        <v>919</v>
      </c>
    </row>
    <row r="2930" spans="2:8" ht="13.5" customHeight="1">
      <c r="B2930" s="57" t="s">
        <v>3590</v>
      </c>
      <c r="D2930" s="57" t="s">
        <v>5217</v>
      </c>
      <c r="F2930" s="57">
        <v>337</v>
      </c>
      <c r="G2930" s="57" t="s">
        <v>5249</v>
      </c>
      <c r="H2930" s="57" t="s">
        <v>919</v>
      </c>
    </row>
    <row r="2931" spans="2:8" ht="13.5" customHeight="1">
      <c r="B2931" s="57" t="s">
        <v>5221</v>
      </c>
      <c r="D2931" s="57" t="s">
        <v>5222</v>
      </c>
      <c r="F2931" s="57">
        <v>505</v>
      </c>
      <c r="G2931" s="57" t="s">
        <v>5249</v>
      </c>
      <c r="H2931" s="57" t="s">
        <v>919</v>
      </c>
    </row>
    <row r="2932" spans="2:8" ht="13.5" customHeight="1">
      <c r="B2932" s="57" t="s">
        <v>5204</v>
      </c>
      <c r="D2932" s="57" t="s">
        <v>1424</v>
      </c>
      <c r="F2932" s="57">
        <v>689</v>
      </c>
      <c r="G2932" s="57" t="s">
        <v>5249</v>
      </c>
      <c r="H2932" s="57" t="s">
        <v>919</v>
      </c>
    </row>
    <row r="2933" spans="2:8" ht="13.5" customHeight="1">
      <c r="B2933" s="57" t="s">
        <v>5207</v>
      </c>
      <c r="D2933" s="57" t="s">
        <v>5208</v>
      </c>
      <c r="F2933" s="57">
        <v>917</v>
      </c>
      <c r="G2933" s="57" t="s">
        <v>5249</v>
      </c>
      <c r="H2933" s="57" t="s">
        <v>919</v>
      </c>
    </row>
    <row r="2934" spans="2:8" ht="13.5" customHeight="1">
      <c r="D2934" s="57" t="s">
        <v>5247</v>
      </c>
      <c r="F2934" s="57">
        <v>2</v>
      </c>
      <c r="G2934" s="57" t="s">
        <v>5249</v>
      </c>
      <c r="H2934" s="57" t="s">
        <v>5248</v>
      </c>
    </row>
    <row r="2935" spans="2:8" ht="13.5" customHeight="1">
      <c r="B2935" s="57" t="s">
        <v>5238</v>
      </c>
      <c r="D2935" s="57" t="s">
        <v>5238</v>
      </c>
      <c r="F2935" s="57">
        <v>2</v>
      </c>
      <c r="G2935" s="57" t="s">
        <v>5249</v>
      </c>
      <c r="H2935" s="57" t="s">
        <v>5248</v>
      </c>
    </row>
    <row r="2936" spans="2:8" ht="13.5" customHeight="1">
      <c r="B2936" s="57" t="s">
        <v>5245</v>
      </c>
      <c r="D2936" s="57" t="s">
        <v>5246</v>
      </c>
      <c r="F2936" s="57">
        <v>4</v>
      </c>
      <c r="G2936" s="57" t="s">
        <v>5249</v>
      </c>
      <c r="H2936" s="57" t="s">
        <v>5248</v>
      </c>
    </row>
    <row r="2937" spans="2:8" ht="13.5" customHeight="1">
      <c r="B2937" s="57" t="s">
        <v>5243</v>
      </c>
      <c r="D2937" s="57" t="s">
        <v>5243</v>
      </c>
      <c r="F2937" s="57">
        <v>4</v>
      </c>
      <c r="G2937" s="57" t="s">
        <v>5249</v>
      </c>
      <c r="H2937" s="57" t="s">
        <v>5248</v>
      </c>
    </row>
    <row r="2938" spans="2:8" ht="13.5" customHeight="1">
      <c r="D2938" s="57" t="s">
        <v>5244</v>
      </c>
      <c r="F2938" s="57">
        <v>20</v>
      </c>
      <c r="G2938" s="57" t="s">
        <v>5249</v>
      </c>
      <c r="H2938" s="57" t="s">
        <v>5248</v>
      </c>
    </row>
    <row r="2939" spans="2:8" ht="13.5" customHeight="1">
      <c r="B2939" s="57" t="s">
        <v>5212</v>
      </c>
      <c r="D2939" s="57" t="s">
        <v>5213</v>
      </c>
      <c r="F2939" s="57">
        <v>60</v>
      </c>
      <c r="G2939" s="57" t="s">
        <v>5249</v>
      </c>
      <c r="H2939" s="57" t="s">
        <v>5248</v>
      </c>
    </row>
    <row r="2940" spans="2:8" ht="13.5" customHeight="1">
      <c r="B2940" s="57" t="s">
        <v>5228</v>
      </c>
      <c r="D2940" s="57" t="s">
        <v>5229</v>
      </c>
      <c r="F2940" s="57">
        <v>79</v>
      </c>
      <c r="G2940" s="57" t="s">
        <v>5249</v>
      </c>
      <c r="H2940" s="57" t="s">
        <v>5248</v>
      </c>
    </row>
    <row r="2941" spans="2:8" ht="13.5" customHeight="1">
      <c r="B2941" s="57" t="s">
        <v>5214</v>
      </c>
      <c r="D2941" s="57" t="s">
        <v>5215</v>
      </c>
      <c r="F2941" s="57">
        <v>133</v>
      </c>
      <c r="G2941" s="57" t="s">
        <v>5249</v>
      </c>
      <c r="H2941" s="57" t="s">
        <v>5248</v>
      </c>
    </row>
    <row r="2942" spans="2:8" ht="13.5" customHeight="1">
      <c r="B2942" s="60" t="s">
        <v>8329</v>
      </c>
      <c r="D2942" s="57" t="s">
        <v>5242</v>
      </c>
      <c r="F2942" s="57">
        <v>176</v>
      </c>
      <c r="G2942" s="57" t="s">
        <v>5249</v>
      </c>
      <c r="H2942" s="57" t="s">
        <v>5248</v>
      </c>
    </row>
    <row r="2943" spans="2:8" ht="13.5" customHeight="1">
      <c r="B2943" s="57" t="s">
        <v>5233</v>
      </c>
      <c r="D2943" s="57" t="s">
        <v>5234</v>
      </c>
      <c r="E2943" s="57" t="s">
        <v>5235</v>
      </c>
      <c r="F2943" s="57">
        <v>230</v>
      </c>
      <c r="G2943" s="57" t="s">
        <v>5249</v>
      </c>
      <c r="H2943" s="57" t="s">
        <v>5248</v>
      </c>
    </row>
    <row r="2944" spans="2:8" ht="13.5" customHeight="1">
      <c r="B2944" s="57" t="s">
        <v>5200</v>
      </c>
      <c r="D2944" s="57" t="s">
        <v>5201</v>
      </c>
      <c r="F2944" s="57">
        <v>966</v>
      </c>
      <c r="G2944" s="57" t="s">
        <v>5249</v>
      </c>
      <c r="H2944" s="57" t="s">
        <v>5248</v>
      </c>
    </row>
    <row r="2945" spans="2:9" ht="13.5" customHeight="1">
      <c r="B2945" s="57" t="s">
        <v>5236</v>
      </c>
      <c r="D2945" s="57" t="s">
        <v>5237</v>
      </c>
      <c r="F2945" s="57">
        <v>1063</v>
      </c>
      <c r="G2945" s="57" t="s">
        <v>5249</v>
      </c>
      <c r="H2945" s="57" t="s">
        <v>5248</v>
      </c>
      <c r="I2945" s="60" t="s">
        <v>8328</v>
      </c>
    </row>
    <row r="2946" spans="2:9" ht="13.5" customHeight="1">
      <c r="B2946" s="57" t="s">
        <v>5195</v>
      </c>
      <c r="D2946" s="57" t="s">
        <v>5196</v>
      </c>
      <c r="E2946" s="57" t="s">
        <v>5197</v>
      </c>
      <c r="F2946" s="57">
        <v>10014</v>
      </c>
      <c r="G2946" s="57" t="s">
        <v>5249</v>
      </c>
      <c r="H2946" s="57" t="s">
        <v>5248</v>
      </c>
    </row>
    <row r="2947" spans="2:9" ht="13.5" customHeight="1">
      <c r="B2947" s="62" t="s">
        <v>8360</v>
      </c>
      <c r="C2947" s="65" t="s">
        <v>8361</v>
      </c>
      <c r="D2947" s="65" t="s">
        <v>604</v>
      </c>
      <c r="E2947" s="65"/>
      <c r="F2947" s="57">
        <v>2</v>
      </c>
      <c r="G2947" s="57" t="s">
        <v>8454</v>
      </c>
      <c r="H2947" s="57" t="s">
        <v>343</v>
      </c>
    </row>
    <row r="2948" spans="2:9" ht="13.5" customHeight="1">
      <c r="B2948" s="96" t="s">
        <v>8067</v>
      </c>
      <c r="C2948" s="65" t="s">
        <v>8413</v>
      </c>
      <c r="D2948" s="65" t="s">
        <v>8414</v>
      </c>
      <c r="E2948" s="65"/>
      <c r="F2948" s="57">
        <v>7</v>
      </c>
      <c r="G2948" s="57" t="s">
        <v>8454</v>
      </c>
      <c r="H2948" s="57" t="s">
        <v>343</v>
      </c>
    </row>
    <row r="2949" spans="2:9" ht="13.5" customHeight="1">
      <c r="B2949" s="62" t="s">
        <v>8362</v>
      </c>
      <c r="C2949" s="65" t="s">
        <v>8363</v>
      </c>
      <c r="D2949" s="65" t="s">
        <v>8364</v>
      </c>
      <c r="E2949" s="65"/>
      <c r="F2949" s="57">
        <v>10</v>
      </c>
      <c r="G2949" s="57" t="s">
        <v>8454</v>
      </c>
      <c r="H2949" s="57" t="s">
        <v>343</v>
      </c>
    </row>
    <row r="2950" spans="2:9" ht="13.5" customHeight="1">
      <c r="B2950" s="62" t="s">
        <v>8423</v>
      </c>
      <c r="C2950" s="65" t="s">
        <v>8424</v>
      </c>
      <c r="D2950" s="85" t="s">
        <v>8425</v>
      </c>
      <c r="E2950" s="60" t="s">
        <v>8455</v>
      </c>
      <c r="F2950" s="57">
        <v>13</v>
      </c>
      <c r="G2950" s="57" t="s">
        <v>8454</v>
      </c>
      <c r="H2950" s="57" t="s">
        <v>343</v>
      </c>
    </row>
    <row r="2951" spans="2:9" ht="13.5" customHeight="1">
      <c r="B2951" s="62" t="s">
        <v>8368</v>
      </c>
      <c r="C2951" s="65" t="s">
        <v>8331</v>
      </c>
      <c r="D2951" s="65" t="s">
        <v>749</v>
      </c>
      <c r="E2951" s="65"/>
      <c r="F2951" s="57">
        <v>17</v>
      </c>
      <c r="G2951" s="57" t="s">
        <v>8454</v>
      </c>
      <c r="H2951" s="57" t="s">
        <v>343</v>
      </c>
    </row>
    <row r="2952" spans="2:9" ht="13.5" customHeight="1">
      <c r="B2952" s="62" t="s">
        <v>8404</v>
      </c>
      <c r="C2952" s="65" t="s">
        <v>8405</v>
      </c>
      <c r="D2952" s="62" t="s">
        <v>8406</v>
      </c>
      <c r="E2952" s="62"/>
      <c r="F2952" s="57">
        <v>20</v>
      </c>
      <c r="G2952" s="57" t="s">
        <v>8454</v>
      </c>
      <c r="H2952" s="57" t="s">
        <v>343</v>
      </c>
    </row>
    <row r="2953" spans="2:9" ht="13.5" customHeight="1">
      <c r="B2953" s="62" t="s">
        <v>8341</v>
      </c>
      <c r="C2953" s="65" t="s">
        <v>8338</v>
      </c>
      <c r="D2953" s="97" t="s">
        <v>8342</v>
      </c>
      <c r="E2953" s="97"/>
      <c r="F2953" s="57">
        <v>21</v>
      </c>
      <c r="G2953" s="57" t="s">
        <v>8454</v>
      </c>
      <c r="H2953" s="57" t="s">
        <v>343</v>
      </c>
    </row>
    <row r="2954" spans="2:9" ht="13.5" customHeight="1">
      <c r="B2954" s="62" t="s">
        <v>8443</v>
      </c>
      <c r="C2954" s="65" t="s">
        <v>8444</v>
      </c>
      <c r="D2954" s="85" t="s">
        <v>8445</v>
      </c>
      <c r="E2954" s="85"/>
      <c r="F2954" s="57">
        <v>24</v>
      </c>
      <c r="G2954" s="57" t="s">
        <v>8454</v>
      </c>
      <c r="H2954" s="57" t="s">
        <v>343</v>
      </c>
    </row>
    <row r="2955" spans="2:9" ht="13.5" customHeight="1">
      <c r="B2955" s="62" t="s">
        <v>8349</v>
      </c>
      <c r="C2955" s="65" t="s">
        <v>8350</v>
      </c>
      <c r="D2955" s="65" t="s">
        <v>8351</v>
      </c>
      <c r="E2955" s="65"/>
      <c r="F2955" s="57">
        <v>26</v>
      </c>
      <c r="G2955" s="57" t="s">
        <v>8454</v>
      </c>
      <c r="H2955" s="57" t="s">
        <v>343</v>
      </c>
    </row>
    <row r="2956" spans="2:9" ht="13.5" customHeight="1">
      <c r="B2956" s="62" t="s">
        <v>8346</v>
      </c>
      <c r="C2956" s="65" t="s">
        <v>8347</v>
      </c>
      <c r="D2956" s="65" t="s">
        <v>8348</v>
      </c>
      <c r="E2956" s="65"/>
      <c r="F2956" s="57">
        <v>35</v>
      </c>
      <c r="G2956" s="57" t="s">
        <v>8454</v>
      </c>
      <c r="H2956" s="57" t="s">
        <v>343</v>
      </c>
    </row>
    <row r="2957" spans="2:9" ht="13.5" customHeight="1">
      <c r="B2957" s="62" t="s">
        <v>8381</v>
      </c>
      <c r="C2957" s="65" t="s">
        <v>8331</v>
      </c>
      <c r="D2957" s="65" t="s">
        <v>2891</v>
      </c>
      <c r="E2957" s="65"/>
      <c r="F2957" s="57">
        <v>37</v>
      </c>
      <c r="G2957" s="57" t="s">
        <v>8454</v>
      </c>
      <c r="H2957" s="57" t="s">
        <v>343</v>
      </c>
    </row>
    <row r="2958" spans="2:9" ht="13.5" customHeight="1">
      <c r="B2958" s="62" t="s">
        <v>8337</v>
      </c>
      <c r="C2958" s="65" t="s">
        <v>8338</v>
      </c>
      <c r="D2958" s="65" t="s">
        <v>238</v>
      </c>
      <c r="E2958" s="65"/>
      <c r="F2958" s="57">
        <v>41</v>
      </c>
      <c r="G2958" s="57" t="s">
        <v>8454</v>
      </c>
      <c r="H2958" s="57" t="s">
        <v>343</v>
      </c>
    </row>
    <row r="2959" spans="2:9" ht="13.5" customHeight="1">
      <c r="B2959" s="62" t="s">
        <v>8343</v>
      </c>
      <c r="C2959" s="65" t="s">
        <v>8344</v>
      </c>
      <c r="D2959" s="65" t="s">
        <v>8345</v>
      </c>
      <c r="E2959" s="65"/>
      <c r="F2959" s="57">
        <v>43</v>
      </c>
      <c r="G2959" s="57" t="s">
        <v>8454</v>
      </c>
      <c r="H2959" s="57" t="s">
        <v>343</v>
      </c>
    </row>
    <row r="2960" spans="2:9" ht="13.5" customHeight="1">
      <c r="B2960" s="62" t="s">
        <v>8374</v>
      </c>
      <c r="C2960" s="65" t="s">
        <v>8331</v>
      </c>
      <c r="D2960" s="65" t="s">
        <v>5285</v>
      </c>
      <c r="E2960" s="65"/>
      <c r="F2960" s="57">
        <v>80</v>
      </c>
      <c r="G2960" s="57" t="s">
        <v>8454</v>
      </c>
      <c r="H2960" s="57" t="s">
        <v>343</v>
      </c>
    </row>
    <row r="2961" spans="2:8" ht="13.5" customHeight="1">
      <c r="B2961" s="62" t="s">
        <v>376</v>
      </c>
      <c r="C2961" s="65" t="s">
        <v>8339</v>
      </c>
      <c r="D2961" s="65" t="s">
        <v>8340</v>
      </c>
      <c r="E2961" s="65"/>
      <c r="F2961" s="57">
        <v>86</v>
      </c>
      <c r="G2961" s="57" t="s">
        <v>8454</v>
      </c>
      <c r="H2961" s="57" t="s">
        <v>343</v>
      </c>
    </row>
    <row r="2962" spans="2:8" ht="13.5" customHeight="1">
      <c r="B2962" s="62" t="s">
        <v>8410</v>
      </c>
      <c r="C2962" s="65" t="s">
        <v>8411</v>
      </c>
      <c r="D2962" s="65" t="s">
        <v>8412</v>
      </c>
      <c r="E2962" s="65"/>
      <c r="F2962" s="57">
        <v>94</v>
      </c>
      <c r="G2962" s="57" t="s">
        <v>8454</v>
      </c>
      <c r="H2962" s="57" t="s">
        <v>343</v>
      </c>
    </row>
    <row r="2963" spans="2:8" ht="13.5" customHeight="1">
      <c r="B2963" s="62" t="s">
        <v>8375</v>
      </c>
      <c r="C2963" s="65" t="s">
        <v>8331</v>
      </c>
      <c r="D2963" s="65" t="s">
        <v>892</v>
      </c>
      <c r="E2963" s="65"/>
      <c r="F2963" s="57">
        <v>97</v>
      </c>
      <c r="G2963" s="57" t="s">
        <v>8454</v>
      </c>
      <c r="H2963" s="57" t="s">
        <v>343</v>
      </c>
    </row>
    <row r="2964" spans="2:8" ht="13.5" customHeight="1">
      <c r="B2964" s="58" t="s">
        <v>8449</v>
      </c>
      <c r="D2964" s="58" t="s">
        <v>8449</v>
      </c>
      <c r="E2964" s="58"/>
      <c r="F2964" s="57">
        <v>1</v>
      </c>
      <c r="G2964" s="57" t="s">
        <v>8454</v>
      </c>
      <c r="H2964" s="57" t="s">
        <v>344</v>
      </c>
    </row>
    <row r="2965" spans="2:8" ht="13.5" customHeight="1">
      <c r="B2965" s="58" t="s">
        <v>8450</v>
      </c>
      <c r="D2965" s="58" t="s">
        <v>8450</v>
      </c>
      <c r="E2965" s="58"/>
      <c r="F2965" s="57">
        <v>3</v>
      </c>
      <c r="G2965" s="57" t="s">
        <v>8454</v>
      </c>
      <c r="H2965" s="57" t="s">
        <v>344</v>
      </c>
    </row>
    <row r="2966" spans="2:8" ht="13.5" customHeight="1">
      <c r="B2966" s="62" t="s">
        <v>8389</v>
      </c>
      <c r="C2966" s="65" t="s">
        <v>8390</v>
      </c>
      <c r="D2966" s="65" t="s">
        <v>1013</v>
      </c>
      <c r="E2966" s="65"/>
      <c r="F2966" s="57">
        <v>5</v>
      </c>
      <c r="G2966" s="57" t="s">
        <v>8454</v>
      </c>
      <c r="H2966" s="57" t="s">
        <v>344</v>
      </c>
    </row>
    <row r="2967" spans="2:8" ht="13.5" customHeight="1">
      <c r="B2967" s="62" t="s">
        <v>8432</v>
      </c>
      <c r="C2967" s="65"/>
      <c r="D2967" s="62" t="s">
        <v>5448</v>
      </c>
      <c r="E2967" s="62"/>
      <c r="F2967" s="57">
        <v>5</v>
      </c>
      <c r="G2967" s="57" t="s">
        <v>8454</v>
      </c>
      <c r="H2967" s="57" t="s">
        <v>344</v>
      </c>
    </row>
    <row r="2968" spans="2:8" ht="13.5" customHeight="1">
      <c r="B2968" s="62" t="s">
        <v>8418</v>
      </c>
      <c r="C2968" s="65" t="s">
        <v>8338</v>
      </c>
      <c r="D2968" s="65" t="s">
        <v>8419</v>
      </c>
      <c r="E2968" s="65"/>
      <c r="F2968" s="57">
        <v>8</v>
      </c>
      <c r="G2968" s="57" t="s">
        <v>8454</v>
      </c>
      <c r="H2968" s="57" t="s">
        <v>344</v>
      </c>
    </row>
    <row r="2969" spans="2:8" ht="13.5" customHeight="1">
      <c r="B2969" s="58" t="s">
        <v>8451</v>
      </c>
      <c r="D2969" s="58" t="s">
        <v>8451</v>
      </c>
      <c r="E2969" s="58"/>
      <c r="F2969" s="57">
        <v>8</v>
      </c>
      <c r="G2969" s="57" t="s">
        <v>8454</v>
      </c>
      <c r="H2969" s="57" t="s">
        <v>344</v>
      </c>
    </row>
    <row r="2970" spans="2:8" ht="13.5" customHeight="1">
      <c r="B2970" s="62" t="s">
        <v>8420</v>
      </c>
      <c r="C2970" s="65" t="s">
        <v>8421</v>
      </c>
      <c r="D2970" s="65" t="s">
        <v>8422</v>
      </c>
      <c r="E2970" s="65"/>
      <c r="F2970" s="57">
        <v>9</v>
      </c>
      <c r="G2970" s="57" t="s">
        <v>8454</v>
      </c>
      <c r="H2970" s="57" t="s">
        <v>344</v>
      </c>
    </row>
    <row r="2971" spans="2:8" ht="13.5" customHeight="1">
      <c r="B2971" s="62" t="s">
        <v>8446</v>
      </c>
      <c r="C2971" s="65" t="s">
        <v>8447</v>
      </c>
      <c r="D2971" s="65" t="s">
        <v>8448</v>
      </c>
      <c r="E2971" s="65"/>
      <c r="F2971" s="57">
        <v>12</v>
      </c>
      <c r="G2971" s="57" t="s">
        <v>8454</v>
      </c>
      <c r="H2971" s="57" t="s">
        <v>344</v>
      </c>
    </row>
    <row r="2972" spans="2:8" ht="13.5" customHeight="1">
      <c r="B2972" s="62" t="s">
        <v>8440</v>
      </c>
      <c r="C2972" s="65" t="s">
        <v>8441</v>
      </c>
      <c r="D2972" s="85" t="s">
        <v>8442</v>
      </c>
      <c r="E2972" s="85"/>
      <c r="F2972" s="57">
        <v>14</v>
      </c>
      <c r="G2972" s="57" t="s">
        <v>8454</v>
      </c>
      <c r="H2972" s="57" t="s">
        <v>344</v>
      </c>
    </row>
    <row r="2973" spans="2:8" ht="13.5" customHeight="1">
      <c r="B2973" s="62" t="s">
        <v>8352</v>
      </c>
      <c r="C2973" s="65" t="s">
        <v>8353</v>
      </c>
      <c r="D2973" s="65" t="s">
        <v>2998</v>
      </c>
      <c r="E2973" s="65"/>
      <c r="F2973" s="57">
        <v>18</v>
      </c>
      <c r="G2973" s="57" t="s">
        <v>8454</v>
      </c>
      <c r="H2973" s="57" t="s">
        <v>344</v>
      </c>
    </row>
    <row r="2974" spans="2:8" ht="13.5" customHeight="1">
      <c r="B2974" s="62" t="s">
        <v>8357</v>
      </c>
      <c r="C2974" s="65" t="s">
        <v>8358</v>
      </c>
      <c r="D2974" s="65" t="s">
        <v>8359</v>
      </c>
      <c r="E2974" s="65"/>
      <c r="F2974" s="57">
        <v>19</v>
      </c>
      <c r="G2974" s="57" t="s">
        <v>8454</v>
      </c>
      <c r="H2974" s="57" t="s">
        <v>344</v>
      </c>
    </row>
    <row r="2975" spans="2:8" ht="13.5" customHeight="1">
      <c r="B2975" s="62" t="s">
        <v>8354</v>
      </c>
      <c r="C2975" s="65" t="s">
        <v>8355</v>
      </c>
      <c r="D2975" s="65" t="s">
        <v>8356</v>
      </c>
      <c r="E2975" s="65"/>
      <c r="F2975" s="57">
        <v>21</v>
      </c>
      <c r="G2975" s="57" t="s">
        <v>8454</v>
      </c>
      <c r="H2975" s="57" t="s">
        <v>344</v>
      </c>
    </row>
    <row r="2976" spans="2:8" ht="13.5" customHeight="1">
      <c r="B2976" s="62" t="s">
        <v>8371</v>
      </c>
      <c r="C2976" s="65" t="s">
        <v>8331</v>
      </c>
      <c r="D2976" s="65" t="s">
        <v>1391</v>
      </c>
      <c r="E2976" s="65"/>
      <c r="F2976" s="57">
        <v>31</v>
      </c>
      <c r="G2976" s="57" t="s">
        <v>8454</v>
      </c>
      <c r="H2976" s="57" t="s">
        <v>344</v>
      </c>
    </row>
    <row r="2977" spans="2:8" ht="13.5" customHeight="1">
      <c r="B2977" s="62" t="s">
        <v>8369</v>
      </c>
      <c r="C2977" s="65" t="s">
        <v>8331</v>
      </c>
      <c r="D2977" s="65" t="s">
        <v>8370</v>
      </c>
      <c r="E2977" s="65"/>
      <c r="F2977" s="57">
        <v>37</v>
      </c>
      <c r="G2977" s="57" t="s">
        <v>8454</v>
      </c>
      <c r="H2977" s="57" t="s">
        <v>344</v>
      </c>
    </row>
    <row r="2978" spans="2:8" ht="13.5" customHeight="1">
      <c r="B2978" s="62" t="s">
        <v>8391</v>
      </c>
      <c r="C2978" s="65" t="s">
        <v>8331</v>
      </c>
      <c r="D2978" s="65" t="s">
        <v>741</v>
      </c>
      <c r="E2978" s="65"/>
      <c r="F2978" s="57">
        <v>38</v>
      </c>
      <c r="G2978" s="57" t="s">
        <v>8454</v>
      </c>
      <c r="H2978" s="57" t="s">
        <v>344</v>
      </c>
    </row>
    <row r="2979" spans="2:8" ht="13.5" customHeight="1">
      <c r="B2979" s="62" t="s">
        <v>8373</v>
      </c>
      <c r="C2979" s="65" t="s">
        <v>8331</v>
      </c>
      <c r="D2979" s="65" t="s">
        <v>4429</v>
      </c>
      <c r="E2979" s="65"/>
      <c r="F2979" s="57">
        <v>49</v>
      </c>
      <c r="G2979" s="57" t="s">
        <v>8454</v>
      </c>
      <c r="H2979" s="57" t="s">
        <v>344</v>
      </c>
    </row>
    <row r="2980" spans="2:8" ht="13.5" customHeight="1">
      <c r="B2980" s="62" t="s">
        <v>8382</v>
      </c>
      <c r="C2980" s="65" t="s">
        <v>8383</v>
      </c>
      <c r="D2980" s="65" t="s">
        <v>8384</v>
      </c>
      <c r="E2980" s="65"/>
      <c r="F2980" s="57">
        <v>56</v>
      </c>
      <c r="G2980" s="57" t="s">
        <v>8454</v>
      </c>
      <c r="H2980" s="57" t="s">
        <v>344</v>
      </c>
    </row>
    <row r="2981" spans="2:8" ht="13.5" customHeight="1">
      <c r="B2981" s="62" t="s">
        <v>8372</v>
      </c>
      <c r="C2981" s="65" t="s">
        <v>8331</v>
      </c>
      <c r="D2981" s="65" t="s">
        <v>4906</v>
      </c>
      <c r="E2981" s="65"/>
      <c r="F2981" s="57">
        <v>72</v>
      </c>
      <c r="G2981" s="57" t="s">
        <v>8454</v>
      </c>
      <c r="H2981" s="57" t="s">
        <v>344</v>
      </c>
    </row>
    <row r="2982" spans="2:8" ht="13.5" customHeight="1">
      <c r="B2982" s="98" t="s">
        <v>8365</v>
      </c>
      <c r="C2982" s="67" t="s">
        <v>8366</v>
      </c>
      <c r="D2982" s="67" t="s">
        <v>1029</v>
      </c>
      <c r="E2982" s="99" t="s">
        <v>8367</v>
      </c>
      <c r="F2982" s="57">
        <v>2</v>
      </c>
      <c r="G2982" s="57" t="s">
        <v>8454</v>
      </c>
      <c r="H2982" s="57" t="s">
        <v>345</v>
      </c>
    </row>
    <row r="2983" spans="2:8" ht="13.5" customHeight="1">
      <c r="B2983" s="62" t="s">
        <v>8376</v>
      </c>
      <c r="C2983" s="65" t="s">
        <v>8331</v>
      </c>
      <c r="D2983" s="65" t="s">
        <v>8377</v>
      </c>
      <c r="E2983" s="65"/>
      <c r="F2983" s="57">
        <v>2</v>
      </c>
      <c r="G2983" s="57" t="s">
        <v>8454</v>
      </c>
      <c r="H2983" s="57" t="s">
        <v>345</v>
      </c>
    </row>
    <row r="2984" spans="2:8" ht="13.5" customHeight="1">
      <c r="B2984" s="62" t="s">
        <v>8433</v>
      </c>
      <c r="C2984" s="65"/>
      <c r="D2984" s="62" t="s">
        <v>8434</v>
      </c>
      <c r="E2984" s="62"/>
      <c r="F2984" s="57">
        <v>3</v>
      </c>
      <c r="G2984" s="57" t="s">
        <v>8454</v>
      </c>
      <c r="H2984" s="57" t="s">
        <v>345</v>
      </c>
    </row>
    <row r="2985" spans="2:8" ht="13.5" customHeight="1">
      <c r="B2985" s="62" t="s">
        <v>8426</v>
      </c>
      <c r="C2985" s="65" t="s">
        <v>8427</v>
      </c>
      <c r="D2985" s="85" t="s">
        <v>8428</v>
      </c>
      <c r="E2985" s="85"/>
      <c r="F2985" s="57">
        <v>5</v>
      </c>
      <c r="G2985" s="57" t="s">
        <v>8454</v>
      </c>
      <c r="H2985" s="57" t="s">
        <v>345</v>
      </c>
    </row>
    <row r="2986" spans="2:8" ht="13.5" customHeight="1">
      <c r="B2986" s="62" t="s">
        <v>8415</v>
      </c>
      <c r="C2986" s="65" t="s">
        <v>8416</v>
      </c>
      <c r="D2986" s="65" t="s">
        <v>8417</v>
      </c>
      <c r="E2986" s="65"/>
      <c r="F2986" s="57">
        <v>7</v>
      </c>
      <c r="G2986" s="57" t="s">
        <v>8454</v>
      </c>
      <c r="H2986" s="57" t="s">
        <v>345</v>
      </c>
    </row>
    <row r="2987" spans="2:8" ht="13.5" customHeight="1">
      <c r="B2987" s="62" t="s">
        <v>8334</v>
      </c>
      <c r="C2987" s="65" t="s">
        <v>8331</v>
      </c>
      <c r="D2987" s="65" t="s">
        <v>8335</v>
      </c>
      <c r="E2987" s="100" t="s">
        <v>8336</v>
      </c>
      <c r="F2987" s="57">
        <v>8</v>
      </c>
      <c r="G2987" s="57" t="s">
        <v>8454</v>
      </c>
      <c r="H2987" s="57" t="s">
        <v>345</v>
      </c>
    </row>
    <row r="2988" spans="2:8" ht="13.5" customHeight="1">
      <c r="B2988" s="62" t="s">
        <v>8385</v>
      </c>
      <c r="C2988" s="65" t="s">
        <v>8386</v>
      </c>
      <c r="D2988" s="65" t="s">
        <v>8387</v>
      </c>
      <c r="E2988" s="57" t="s">
        <v>8388</v>
      </c>
      <c r="F2988" s="57">
        <v>9</v>
      </c>
      <c r="G2988" s="57" t="s">
        <v>8454</v>
      </c>
      <c r="H2988" s="57" t="s">
        <v>345</v>
      </c>
    </row>
    <row r="2989" spans="2:8" ht="13.5" customHeight="1">
      <c r="B2989" s="62" t="s">
        <v>8407</v>
      </c>
      <c r="C2989" s="65" t="s">
        <v>8408</v>
      </c>
      <c r="D2989" s="65" t="s">
        <v>8409</v>
      </c>
      <c r="E2989" s="65"/>
      <c r="F2989" s="57">
        <v>9</v>
      </c>
      <c r="G2989" s="57" t="s">
        <v>8454</v>
      </c>
      <c r="H2989" s="57" t="s">
        <v>345</v>
      </c>
    </row>
    <row r="2990" spans="2:8" ht="13.5" customHeight="1">
      <c r="B2990" s="69" t="s">
        <v>8452</v>
      </c>
      <c r="D2990" s="69" t="s">
        <v>8452</v>
      </c>
      <c r="E2990" s="69"/>
      <c r="F2990" s="57">
        <v>9</v>
      </c>
      <c r="G2990" s="57" t="s">
        <v>8454</v>
      </c>
      <c r="H2990" s="57" t="s">
        <v>345</v>
      </c>
    </row>
    <row r="2991" spans="2:8" ht="13.5" customHeight="1">
      <c r="B2991" s="62" t="s">
        <v>8392</v>
      </c>
      <c r="C2991" s="65" t="s">
        <v>8393</v>
      </c>
      <c r="D2991" s="65" t="s">
        <v>8394</v>
      </c>
      <c r="E2991" s="65"/>
      <c r="F2991" s="57">
        <v>10</v>
      </c>
      <c r="G2991" s="57" t="s">
        <v>8454</v>
      </c>
      <c r="H2991" s="57" t="s">
        <v>345</v>
      </c>
    </row>
    <row r="2992" spans="2:8" ht="13.5" customHeight="1">
      <c r="B2992" s="62" t="s">
        <v>8395</v>
      </c>
      <c r="C2992" s="65" t="s">
        <v>8396</v>
      </c>
      <c r="D2992" s="65" t="s">
        <v>8397</v>
      </c>
      <c r="E2992" s="65"/>
      <c r="F2992" s="57">
        <v>10</v>
      </c>
      <c r="G2992" s="57" t="s">
        <v>8454</v>
      </c>
      <c r="H2992" s="57" t="s">
        <v>345</v>
      </c>
    </row>
    <row r="2993" spans="2:8" ht="13.5" customHeight="1">
      <c r="B2993" s="62" t="s">
        <v>8435</v>
      </c>
      <c r="C2993" s="65" t="s">
        <v>8436</v>
      </c>
      <c r="D2993" s="65" t="s">
        <v>8437</v>
      </c>
      <c r="E2993" s="65"/>
      <c r="F2993" s="57">
        <v>10</v>
      </c>
      <c r="G2993" s="57" t="s">
        <v>8454</v>
      </c>
      <c r="H2993" s="57" t="s">
        <v>345</v>
      </c>
    </row>
    <row r="2994" spans="2:8" ht="13.5" customHeight="1">
      <c r="B2994" s="62" t="s">
        <v>8438</v>
      </c>
      <c r="C2994" s="65" t="s">
        <v>8416</v>
      </c>
      <c r="D2994" s="65" t="s">
        <v>8439</v>
      </c>
      <c r="E2994" s="65"/>
      <c r="F2994" s="57">
        <v>10</v>
      </c>
      <c r="G2994" s="57" t="s">
        <v>8454</v>
      </c>
      <c r="H2994" s="57" t="s">
        <v>345</v>
      </c>
    </row>
    <row r="2995" spans="2:8" ht="13.5" customHeight="1">
      <c r="B2995" s="62" t="s">
        <v>8398</v>
      </c>
      <c r="C2995" s="65" t="s">
        <v>8399</v>
      </c>
      <c r="D2995" s="65" t="s">
        <v>8400</v>
      </c>
      <c r="E2995" s="65"/>
      <c r="F2995" s="57">
        <v>15</v>
      </c>
      <c r="G2995" s="57" t="s">
        <v>8454</v>
      </c>
      <c r="H2995" s="57" t="s">
        <v>345</v>
      </c>
    </row>
    <row r="2996" spans="2:8" ht="13.5" customHeight="1">
      <c r="B2996" s="69" t="s">
        <v>8453</v>
      </c>
      <c r="D2996" s="69" t="s">
        <v>8453</v>
      </c>
      <c r="E2996" s="69"/>
      <c r="F2996" s="57">
        <v>19</v>
      </c>
      <c r="G2996" s="57" t="s">
        <v>8454</v>
      </c>
      <c r="H2996" s="57" t="s">
        <v>345</v>
      </c>
    </row>
    <row r="2997" spans="2:8" ht="13.5" customHeight="1">
      <c r="B2997" s="62" t="s">
        <v>8330</v>
      </c>
      <c r="C2997" s="65" t="s">
        <v>8331</v>
      </c>
      <c r="D2997" s="65" t="s">
        <v>8332</v>
      </c>
      <c r="E2997" s="100" t="s">
        <v>8333</v>
      </c>
      <c r="F2997" s="57">
        <v>20</v>
      </c>
      <c r="G2997" s="57" t="s">
        <v>8454</v>
      </c>
      <c r="H2997" s="57" t="s">
        <v>345</v>
      </c>
    </row>
    <row r="2998" spans="2:8" ht="13.5" customHeight="1">
      <c r="B2998" s="62" t="s">
        <v>8378</v>
      </c>
      <c r="C2998" s="65" t="s">
        <v>8379</v>
      </c>
      <c r="D2998" s="65" t="s">
        <v>8380</v>
      </c>
      <c r="E2998" s="65"/>
      <c r="F2998" s="57">
        <v>20</v>
      </c>
      <c r="G2998" s="57" t="s">
        <v>8454</v>
      </c>
      <c r="H2998" s="57" t="s">
        <v>345</v>
      </c>
    </row>
    <row r="2999" spans="2:8" ht="13.5" customHeight="1">
      <c r="B2999" s="61" t="s">
        <v>8401</v>
      </c>
      <c r="C2999" s="65" t="s">
        <v>8402</v>
      </c>
      <c r="D2999" s="101" t="s">
        <v>8403</v>
      </c>
      <c r="E2999" s="101"/>
      <c r="F2999" s="57">
        <v>20</v>
      </c>
      <c r="G2999" s="57" t="s">
        <v>8454</v>
      </c>
      <c r="H2999" s="57" t="s">
        <v>345</v>
      </c>
    </row>
    <row r="3000" spans="2:8" ht="13.5" customHeight="1">
      <c r="B3000" s="62" t="s">
        <v>8429</v>
      </c>
      <c r="C3000" s="65" t="s">
        <v>8430</v>
      </c>
      <c r="D3000" s="85" t="s">
        <v>8431</v>
      </c>
      <c r="E3000" s="85"/>
      <c r="F3000" s="57">
        <v>54</v>
      </c>
      <c r="G3000" s="57" t="s">
        <v>8454</v>
      </c>
      <c r="H3000" s="57" t="s">
        <v>345</v>
      </c>
    </row>
    <row r="3001" spans="2:8" ht="13.5" customHeight="1">
      <c r="B3001" s="57" t="s">
        <v>5469</v>
      </c>
      <c r="D3001" s="57" t="s">
        <v>5470</v>
      </c>
      <c r="F3001" s="57">
        <v>1</v>
      </c>
      <c r="G3001" s="57" t="s">
        <v>5531</v>
      </c>
      <c r="H3001" s="57" t="s">
        <v>1116</v>
      </c>
    </row>
    <row r="3002" spans="2:8" ht="13.5" customHeight="1">
      <c r="B3002" s="57" t="s">
        <v>5300</v>
      </c>
      <c r="D3002" s="57" t="s">
        <v>5300</v>
      </c>
      <c r="F3002" s="57">
        <v>1</v>
      </c>
      <c r="G3002" s="57" t="s">
        <v>5531</v>
      </c>
      <c r="H3002" s="57" t="s">
        <v>1116</v>
      </c>
    </row>
    <row r="3003" spans="2:8" ht="13.5" customHeight="1">
      <c r="B3003" s="57" t="s">
        <v>5416</v>
      </c>
      <c r="D3003" s="57" t="s">
        <v>5416</v>
      </c>
      <c r="F3003" s="57">
        <v>3</v>
      </c>
      <c r="G3003" s="57" t="s">
        <v>5531</v>
      </c>
      <c r="H3003" s="57" t="s">
        <v>1116</v>
      </c>
    </row>
    <row r="3004" spans="2:8" ht="13.5" customHeight="1">
      <c r="B3004" s="57" t="s">
        <v>5418</v>
      </c>
      <c r="D3004" s="57" t="s">
        <v>5418</v>
      </c>
      <c r="F3004" s="57">
        <v>4</v>
      </c>
      <c r="G3004" s="57" t="s">
        <v>5531</v>
      </c>
      <c r="H3004" s="57" t="s">
        <v>1116</v>
      </c>
    </row>
    <row r="3005" spans="2:8" ht="13.5" customHeight="1">
      <c r="D3005" s="57" t="s">
        <v>5419</v>
      </c>
      <c r="F3005" s="57">
        <v>4</v>
      </c>
      <c r="G3005" s="57" t="s">
        <v>5531</v>
      </c>
      <c r="H3005" s="57" t="s">
        <v>1116</v>
      </c>
    </row>
    <row r="3006" spans="2:8" ht="13.5" customHeight="1">
      <c r="B3006" s="57" t="s">
        <v>5362</v>
      </c>
      <c r="D3006" s="57" t="s">
        <v>5362</v>
      </c>
      <c r="F3006" s="57">
        <v>5</v>
      </c>
      <c r="G3006" s="57" t="s">
        <v>5531</v>
      </c>
      <c r="H3006" s="57" t="s">
        <v>1116</v>
      </c>
    </row>
    <row r="3007" spans="2:8" ht="13.5" customHeight="1">
      <c r="B3007" s="57" t="s">
        <v>5417</v>
      </c>
      <c r="D3007" s="57" t="s">
        <v>5417</v>
      </c>
      <c r="F3007" s="57">
        <v>6</v>
      </c>
      <c r="G3007" s="57" t="s">
        <v>5531</v>
      </c>
      <c r="H3007" s="57" t="s">
        <v>1116</v>
      </c>
    </row>
    <row r="3008" spans="2:8" ht="13.5" customHeight="1">
      <c r="B3008" s="57" t="s">
        <v>5396</v>
      </c>
      <c r="D3008" s="57" t="s">
        <v>5397</v>
      </c>
      <c r="F3008" s="57">
        <v>6</v>
      </c>
      <c r="G3008" s="57" t="s">
        <v>5531</v>
      </c>
      <c r="H3008" s="57" t="s">
        <v>1116</v>
      </c>
    </row>
    <row r="3009" spans="2:8" ht="13.5" customHeight="1">
      <c r="B3009" s="57" t="s">
        <v>5356</v>
      </c>
      <c r="D3009" s="57" t="s">
        <v>600</v>
      </c>
      <c r="F3009" s="57">
        <v>7</v>
      </c>
      <c r="G3009" s="57" t="s">
        <v>5531</v>
      </c>
      <c r="H3009" s="57" t="s">
        <v>1116</v>
      </c>
    </row>
    <row r="3010" spans="2:8" ht="13.5" customHeight="1">
      <c r="B3010" s="57" t="s">
        <v>5398</v>
      </c>
      <c r="D3010" s="57" t="s">
        <v>5399</v>
      </c>
      <c r="F3010" s="57">
        <v>7</v>
      </c>
      <c r="G3010" s="57" t="s">
        <v>5531</v>
      </c>
      <c r="H3010" s="57" t="s">
        <v>1116</v>
      </c>
    </row>
    <row r="3011" spans="2:8" ht="13.5" customHeight="1">
      <c r="B3011" s="57" t="s">
        <v>5352</v>
      </c>
      <c r="D3011" s="57" t="s">
        <v>5353</v>
      </c>
      <c r="F3011" s="57">
        <v>10</v>
      </c>
      <c r="G3011" s="57" t="s">
        <v>5531</v>
      </c>
      <c r="H3011" s="57" t="s">
        <v>1116</v>
      </c>
    </row>
    <row r="3012" spans="2:8" ht="13.5" customHeight="1">
      <c r="B3012" s="57" t="s">
        <v>5376</v>
      </c>
      <c r="D3012" s="57" t="s">
        <v>5377</v>
      </c>
      <c r="F3012" s="57">
        <v>11</v>
      </c>
      <c r="G3012" s="57" t="s">
        <v>5531</v>
      </c>
      <c r="H3012" s="57" t="s">
        <v>1116</v>
      </c>
    </row>
    <row r="3013" spans="2:8" ht="13.5" customHeight="1">
      <c r="B3013" s="57" t="s">
        <v>5350</v>
      </c>
      <c r="D3013" s="57" t="s">
        <v>5351</v>
      </c>
      <c r="F3013" s="57">
        <v>23</v>
      </c>
      <c r="G3013" s="57" t="s">
        <v>5531</v>
      </c>
      <c r="H3013" s="57" t="s">
        <v>1116</v>
      </c>
    </row>
    <row r="3014" spans="2:8" ht="13.5" customHeight="1">
      <c r="B3014" s="57" t="s">
        <v>5352</v>
      </c>
      <c r="D3014" s="57" t="s">
        <v>5354</v>
      </c>
      <c r="F3014" s="57">
        <v>58</v>
      </c>
      <c r="G3014" s="57" t="s">
        <v>5531</v>
      </c>
      <c r="H3014" s="57" t="s">
        <v>1116</v>
      </c>
    </row>
    <row r="3015" spans="2:8" ht="13.5" customHeight="1">
      <c r="B3015" s="142" t="s">
        <v>8867</v>
      </c>
      <c r="D3015" s="142" t="s">
        <v>8867</v>
      </c>
      <c r="E3015" s="142"/>
      <c r="F3015" s="57">
        <v>1</v>
      </c>
      <c r="G3015" s="57" t="s">
        <v>5531</v>
      </c>
      <c r="H3015" s="121" t="s">
        <v>343</v>
      </c>
    </row>
    <row r="3016" spans="2:8" ht="13.5" customHeight="1">
      <c r="B3016" s="142" t="s">
        <v>8897</v>
      </c>
      <c r="D3016" s="142" t="s">
        <v>8882</v>
      </c>
      <c r="E3016" s="142"/>
      <c r="F3016" s="57">
        <v>1</v>
      </c>
      <c r="G3016" s="57" t="s">
        <v>5531</v>
      </c>
      <c r="H3016" s="121" t="s">
        <v>343</v>
      </c>
    </row>
    <row r="3017" spans="2:8" ht="13.5" customHeight="1">
      <c r="B3017" s="57" t="s">
        <v>5262</v>
      </c>
      <c r="D3017" s="57" t="s">
        <v>3232</v>
      </c>
      <c r="F3017" s="57">
        <v>3</v>
      </c>
      <c r="G3017" s="57" t="s">
        <v>5531</v>
      </c>
      <c r="H3017" s="57" t="s">
        <v>343</v>
      </c>
    </row>
    <row r="3018" spans="2:8" ht="13.5" customHeight="1">
      <c r="B3018" s="145" t="s">
        <v>8886</v>
      </c>
      <c r="D3018" s="145" t="s">
        <v>2959</v>
      </c>
      <c r="E3018" s="142"/>
      <c r="F3018" s="57">
        <v>3</v>
      </c>
      <c r="G3018" s="57" t="s">
        <v>5531</v>
      </c>
      <c r="H3018" s="121" t="s">
        <v>343</v>
      </c>
    </row>
    <row r="3019" spans="2:8" ht="13.5" customHeight="1">
      <c r="B3019" s="142" t="s">
        <v>8889</v>
      </c>
      <c r="D3019" s="182" t="s">
        <v>8876</v>
      </c>
      <c r="E3019" s="142"/>
      <c r="F3019" s="57">
        <v>3</v>
      </c>
      <c r="G3019" s="57" t="s">
        <v>5531</v>
      </c>
      <c r="H3019" s="121" t="s">
        <v>343</v>
      </c>
    </row>
    <row r="3020" spans="2:8" ht="13.5" customHeight="1">
      <c r="B3020" s="142" t="s">
        <v>8892</v>
      </c>
      <c r="D3020" s="142" t="s">
        <v>1063</v>
      </c>
      <c r="E3020" s="142"/>
      <c r="F3020" s="57">
        <v>3</v>
      </c>
      <c r="G3020" s="57" t="s">
        <v>5531</v>
      </c>
      <c r="H3020" s="121" t="s">
        <v>343</v>
      </c>
    </row>
    <row r="3021" spans="2:8" ht="13.5" customHeight="1">
      <c r="B3021" s="57" t="s">
        <v>5404</v>
      </c>
      <c r="D3021" s="57" t="s">
        <v>5405</v>
      </c>
      <c r="F3021" s="57">
        <v>5</v>
      </c>
      <c r="G3021" s="57" t="s">
        <v>5531</v>
      </c>
      <c r="H3021" s="57" t="s">
        <v>343</v>
      </c>
    </row>
    <row r="3022" spans="2:8" ht="13.5" customHeight="1">
      <c r="B3022" s="57" t="s">
        <v>5526</v>
      </c>
      <c r="D3022" s="57" t="s">
        <v>5527</v>
      </c>
      <c r="F3022" s="57">
        <v>5</v>
      </c>
      <c r="G3022" s="57" t="s">
        <v>5531</v>
      </c>
      <c r="H3022" s="57" t="s">
        <v>343</v>
      </c>
    </row>
    <row r="3023" spans="2:8" ht="13.5" customHeight="1">
      <c r="B3023" s="142" t="s">
        <v>8894</v>
      </c>
      <c r="D3023" s="142" t="s">
        <v>6522</v>
      </c>
      <c r="E3023" s="142"/>
      <c r="F3023" s="57">
        <v>6</v>
      </c>
      <c r="G3023" s="57" t="s">
        <v>5531</v>
      </c>
      <c r="H3023" s="121" t="s">
        <v>343</v>
      </c>
    </row>
    <row r="3024" spans="2:8" ht="13.5" customHeight="1">
      <c r="B3024" s="57" t="s">
        <v>3229</v>
      </c>
      <c r="D3024" s="57" t="s">
        <v>5263</v>
      </c>
      <c r="F3024" s="57">
        <v>7</v>
      </c>
      <c r="G3024" s="57" t="s">
        <v>5531</v>
      </c>
      <c r="H3024" s="57" t="s">
        <v>343</v>
      </c>
    </row>
    <row r="3025" spans="2:8" ht="13.5" customHeight="1">
      <c r="B3025" s="143" t="s">
        <v>8905</v>
      </c>
      <c r="D3025" s="57" t="s">
        <v>4954</v>
      </c>
      <c r="F3025" s="57">
        <v>10</v>
      </c>
      <c r="G3025" s="57" t="s">
        <v>5531</v>
      </c>
      <c r="H3025" s="121" t="s">
        <v>343</v>
      </c>
    </row>
    <row r="3026" spans="2:8" ht="13.5" customHeight="1">
      <c r="B3026" s="57" t="s">
        <v>3591</v>
      </c>
      <c r="D3026" s="57" t="s">
        <v>5284</v>
      </c>
      <c r="F3026" s="57">
        <v>11</v>
      </c>
      <c r="G3026" s="57" t="s">
        <v>5531</v>
      </c>
      <c r="H3026" s="57" t="s">
        <v>343</v>
      </c>
    </row>
    <row r="3027" spans="2:8" ht="13.5" customHeight="1">
      <c r="B3027" s="57" t="s">
        <v>5271</v>
      </c>
      <c r="D3027" s="57" t="s">
        <v>5272</v>
      </c>
      <c r="F3027" s="57">
        <v>12</v>
      </c>
      <c r="G3027" s="57" t="s">
        <v>5531</v>
      </c>
      <c r="H3027" s="57" t="s">
        <v>343</v>
      </c>
    </row>
    <row r="3028" spans="2:8" ht="13.5" customHeight="1">
      <c r="B3028" s="57" t="s">
        <v>5386</v>
      </c>
      <c r="D3028" s="57" t="s">
        <v>5387</v>
      </c>
      <c r="F3028" s="57">
        <v>12</v>
      </c>
      <c r="G3028" s="57" t="s">
        <v>5531</v>
      </c>
      <c r="H3028" s="57" t="s">
        <v>343</v>
      </c>
    </row>
    <row r="3029" spans="2:8" ht="13.5" customHeight="1">
      <c r="B3029" s="142" t="s">
        <v>8906</v>
      </c>
      <c r="D3029" s="181" t="s">
        <v>5403</v>
      </c>
      <c r="E3029" s="181"/>
      <c r="F3029" s="57">
        <v>13</v>
      </c>
      <c r="G3029" s="57" t="s">
        <v>5531</v>
      </c>
      <c r="H3029" s="121" t="s">
        <v>343</v>
      </c>
    </row>
    <row r="3030" spans="2:8" ht="13.5" customHeight="1">
      <c r="B3030" s="57" t="s">
        <v>5288</v>
      </c>
      <c r="D3030" s="57" t="s">
        <v>818</v>
      </c>
      <c r="F3030" s="57">
        <v>14</v>
      </c>
      <c r="G3030" s="57" t="s">
        <v>5531</v>
      </c>
      <c r="H3030" s="57" t="s">
        <v>343</v>
      </c>
    </row>
    <row r="3031" spans="2:8" ht="13.5" customHeight="1">
      <c r="B3031" s="57" t="s">
        <v>4009</v>
      </c>
      <c r="D3031" s="57" t="s">
        <v>743</v>
      </c>
      <c r="F3031" s="57">
        <v>15</v>
      </c>
      <c r="G3031" s="57" t="s">
        <v>5531</v>
      </c>
      <c r="H3031" s="57" t="s">
        <v>343</v>
      </c>
    </row>
    <row r="3032" spans="2:8" ht="13.5" customHeight="1">
      <c r="B3032" s="57" t="s">
        <v>5258</v>
      </c>
      <c r="D3032" s="57" t="s">
        <v>5390</v>
      </c>
      <c r="F3032" s="57">
        <v>16</v>
      </c>
      <c r="G3032" s="57" t="s">
        <v>5531</v>
      </c>
      <c r="H3032" s="57" t="s">
        <v>343</v>
      </c>
    </row>
    <row r="3033" spans="2:8" ht="13.5" customHeight="1">
      <c r="B3033" s="57" t="s">
        <v>5393</v>
      </c>
      <c r="D3033" s="57" t="s">
        <v>5394</v>
      </c>
      <c r="F3033" s="57">
        <v>17</v>
      </c>
      <c r="G3033" s="57" t="s">
        <v>5531</v>
      </c>
      <c r="H3033" s="57" t="s">
        <v>343</v>
      </c>
    </row>
    <row r="3034" spans="2:8" ht="13.5" customHeight="1">
      <c r="B3034" s="57" t="s">
        <v>5252</v>
      </c>
      <c r="D3034" s="57" t="s">
        <v>5253</v>
      </c>
      <c r="F3034" s="57">
        <v>21</v>
      </c>
      <c r="G3034" s="57" t="s">
        <v>5531</v>
      </c>
      <c r="H3034" s="57" t="s">
        <v>343</v>
      </c>
    </row>
    <row r="3035" spans="2:8" ht="13.5" customHeight="1">
      <c r="B3035" s="57" t="s">
        <v>5381</v>
      </c>
      <c r="D3035" s="57" t="s">
        <v>1421</v>
      </c>
      <c r="F3035" s="57">
        <v>21</v>
      </c>
      <c r="G3035" s="57" t="s">
        <v>5531</v>
      </c>
      <c r="H3035" s="57" t="s">
        <v>343</v>
      </c>
    </row>
    <row r="3036" spans="2:8" ht="13.5" customHeight="1">
      <c r="B3036" s="143" t="s">
        <v>8903</v>
      </c>
      <c r="D3036" s="57" t="s">
        <v>7813</v>
      </c>
      <c r="F3036" s="57">
        <v>30</v>
      </c>
      <c r="G3036" s="57" t="s">
        <v>5531</v>
      </c>
      <c r="H3036" s="121" t="s">
        <v>343</v>
      </c>
    </row>
    <row r="3037" spans="2:8" ht="13.5" customHeight="1">
      <c r="B3037" s="143" t="s">
        <v>8904</v>
      </c>
      <c r="D3037" s="57" t="s">
        <v>7716</v>
      </c>
      <c r="F3037" s="57">
        <v>35</v>
      </c>
      <c r="G3037" s="57" t="s">
        <v>5531</v>
      </c>
      <c r="H3037" s="121" t="s">
        <v>343</v>
      </c>
    </row>
    <row r="3038" spans="2:8" ht="13.5" customHeight="1">
      <c r="B3038" s="57" t="s">
        <v>5461</v>
      </c>
      <c r="D3038" s="57" t="s">
        <v>5462</v>
      </c>
      <c r="F3038" s="57">
        <v>41</v>
      </c>
      <c r="G3038" s="57" t="s">
        <v>5531</v>
      </c>
      <c r="H3038" s="57" t="s">
        <v>343</v>
      </c>
    </row>
    <row r="3039" spans="2:8" ht="13.5" customHeight="1">
      <c r="B3039" s="57" t="s">
        <v>1394</v>
      </c>
      <c r="D3039" s="57" t="s">
        <v>846</v>
      </c>
      <c r="F3039" s="57">
        <v>75</v>
      </c>
      <c r="G3039" s="57" t="s">
        <v>5531</v>
      </c>
      <c r="H3039" s="57" t="s">
        <v>343</v>
      </c>
    </row>
    <row r="3040" spans="2:8" ht="13.5" customHeight="1">
      <c r="B3040" s="57" t="s">
        <v>5420</v>
      </c>
      <c r="D3040" s="57" t="s">
        <v>5421</v>
      </c>
      <c r="F3040" s="57">
        <v>94</v>
      </c>
      <c r="G3040" s="57" t="s">
        <v>5531</v>
      </c>
      <c r="H3040" s="57" t="s">
        <v>343</v>
      </c>
    </row>
    <row r="3041" spans="2:8" ht="13.5" customHeight="1">
      <c r="B3041" s="57" t="s">
        <v>5315</v>
      </c>
      <c r="D3041" s="57" t="s">
        <v>5316</v>
      </c>
      <c r="F3041" s="57">
        <v>168</v>
      </c>
      <c r="G3041" s="57" t="s">
        <v>5531</v>
      </c>
      <c r="H3041" s="57" t="s">
        <v>343</v>
      </c>
    </row>
    <row r="3042" spans="2:8" ht="13.5" customHeight="1">
      <c r="B3042" s="57" t="s">
        <v>5383</v>
      </c>
      <c r="D3042" s="57" t="s">
        <v>5384</v>
      </c>
      <c r="F3042" s="57">
        <v>200</v>
      </c>
      <c r="G3042" s="57" t="s">
        <v>5531</v>
      </c>
      <c r="H3042" s="57" t="s">
        <v>343</v>
      </c>
    </row>
    <row r="3043" spans="2:8" ht="13.5" customHeight="1">
      <c r="B3043" s="190" t="s">
        <v>8908</v>
      </c>
      <c r="D3043" s="144" t="s">
        <v>5523</v>
      </c>
      <c r="E3043" s="144"/>
      <c r="F3043" s="57">
        <v>336</v>
      </c>
      <c r="G3043" s="57" t="s">
        <v>5531</v>
      </c>
      <c r="H3043" s="121" t="s">
        <v>343</v>
      </c>
    </row>
    <row r="3044" spans="2:8" ht="13.5" customHeight="1">
      <c r="B3044" s="57" t="s">
        <v>5408</v>
      </c>
      <c r="D3044" s="57" t="s">
        <v>5409</v>
      </c>
      <c r="F3044" s="57">
        <v>4</v>
      </c>
      <c r="G3044" s="57" t="s">
        <v>5531</v>
      </c>
      <c r="H3044" s="57" t="s">
        <v>344</v>
      </c>
    </row>
    <row r="3045" spans="2:8" ht="13.5" customHeight="1">
      <c r="B3045" s="57" t="s">
        <v>898</v>
      </c>
      <c r="D3045" s="57" t="s">
        <v>5355</v>
      </c>
      <c r="F3045" s="57">
        <v>7</v>
      </c>
      <c r="G3045" s="57" t="s">
        <v>5531</v>
      </c>
      <c r="H3045" s="57" t="s">
        <v>344</v>
      </c>
    </row>
    <row r="3046" spans="2:8" ht="13.5" customHeight="1">
      <c r="B3046" s="57" t="s">
        <v>5301</v>
      </c>
      <c r="D3046" s="57" t="s">
        <v>5303</v>
      </c>
      <c r="F3046" s="57">
        <v>10</v>
      </c>
      <c r="G3046" s="57" t="s">
        <v>5531</v>
      </c>
      <c r="H3046" s="57" t="s">
        <v>344</v>
      </c>
    </row>
    <row r="3047" spans="2:8" ht="13.5" customHeight="1">
      <c r="B3047" s="57" t="s">
        <v>5372</v>
      </c>
      <c r="D3047" s="57" t="s">
        <v>5373</v>
      </c>
      <c r="F3047" s="57">
        <v>12</v>
      </c>
      <c r="G3047" s="57" t="s">
        <v>5531</v>
      </c>
      <c r="H3047" s="57" t="s">
        <v>344</v>
      </c>
    </row>
    <row r="3048" spans="2:8" ht="13.5" customHeight="1">
      <c r="B3048" s="57" t="s">
        <v>5304</v>
      </c>
      <c r="D3048" s="57" t="s">
        <v>5305</v>
      </c>
      <c r="F3048" s="57">
        <v>14</v>
      </c>
      <c r="G3048" s="57" t="s">
        <v>5531</v>
      </c>
      <c r="H3048" s="57" t="s">
        <v>344</v>
      </c>
    </row>
    <row r="3049" spans="2:8" ht="13.5" customHeight="1">
      <c r="B3049" s="57" t="s">
        <v>5346</v>
      </c>
      <c r="D3049" s="57" t="s">
        <v>751</v>
      </c>
      <c r="F3049" s="57">
        <v>15</v>
      </c>
      <c r="G3049" s="57" t="s">
        <v>5531</v>
      </c>
      <c r="H3049" s="57" t="s">
        <v>344</v>
      </c>
    </row>
    <row r="3050" spans="2:8" ht="13.5" customHeight="1">
      <c r="B3050" s="57" t="s">
        <v>3393</v>
      </c>
      <c r="D3050" s="57" t="s">
        <v>5339</v>
      </c>
      <c r="F3050" s="57">
        <v>17</v>
      </c>
      <c r="G3050" s="57" t="s">
        <v>5531</v>
      </c>
      <c r="H3050" s="57" t="s">
        <v>344</v>
      </c>
    </row>
    <row r="3051" spans="2:8" ht="13.5" customHeight="1">
      <c r="B3051" s="57" t="s">
        <v>5374</v>
      </c>
      <c r="D3051" s="57" t="s">
        <v>5375</v>
      </c>
      <c r="F3051" s="57">
        <v>17</v>
      </c>
      <c r="G3051" s="57" t="s">
        <v>5531</v>
      </c>
      <c r="H3051" s="57" t="s">
        <v>344</v>
      </c>
    </row>
    <row r="3052" spans="2:8" ht="13.5" customHeight="1">
      <c r="B3052" s="57" t="s">
        <v>5333</v>
      </c>
      <c r="D3052" s="57" t="s">
        <v>5334</v>
      </c>
      <c r="F3052" s="57">
        <v>18</v>
      </c>
      <c r="G3052" s="57" t="s">
        <v>5531</v>
      </c>
      <c r="H3052" s="57" t="s">
        <v>344</v>
      </c>
    </row>
    <row r="3053" spans="2:8" ht="13.5" customHeight="1">
      <c r="B3053" s="57" t="s">
        <v>4009</v>
      </c>
      <c r="D3053" s="57" t="s">
        <v>5287</v>
      </c>
      <c r="F3053" s="57">
        <v>20</v>
      </c>
      <c r="G3053" s="57" t="s">
        <v>5531</v>
      </c>
      <c r="H3053" s="57" t="s">
        <v>344</v>
      </c>
    </row>
    <row r="3054" spans="2:8" ht="13.5" customHeight="1">
      <c r="B3054" s="57" t="s">
        <v>5331</v>
      </c>
      <c r="D3054" s="57" t="s">
        <v>5332</v>
      </c>
      <c r="F3054" s="57">
        <v>20</v>
      </c>
      <c r="G3054" s="57" t="s">
        <v>5531</v>
      </c>
      <c r="H3054" s="57" t="s">
        <v>344</v>
      </c>
    </row>
    <row r="3055" spans="2:8" ht="13.5" customHeight="1">
      <c r="B3055" s="57" t="s">
        <v>5456</v>
      </c>
      <c r="D3055" s="57" t="s">
        <v>5457</v>
      </c>
      <c r="F3055" s="57">
        <v>26</v>
      </c>
      <c r="G3055" s="57" t="s">
        <v>5531</v>
      </c>
      <c r="H3055" s="57" t="s">
        <v>344</v>
      </c>
    </row>
    <row r="3056" spans="2:8" ht="13.5" customHeight="1">
      <c r="B3056" s="57" t="s">
        <v>5337</v>
      </c>
      <c r="D3056" s="57" t="s">
        <v>5338</v>
      </c>
      <c r="F3056" s="57">
        <v>26</v>
      </c>
      <c r="G3056" s="57" t="s">
        <v>5531</v>
      </c>
      <c r="H3056" s="57" t="s">
        <v>344</v>
      </c>
    </row>
    <row r="3057" spans="2:8" ht="13.5" customHeight="1">
      <c r="B3057" s="57" t="s">
        <v>5319</v>
      </c>
      <c r="D3057" s="57" t="s">
        <v>5320</v>
      </c>
      <c r="F3057" s="57">
        <v>27</v>
      </c>
      <c r="G3057" s="57" t="s">
        <v>5531</v>
      </c>
      <c r="H3057" s="57" t="s">
        <v>344</v>
      </c>
    </row>
    <row r="3058" spans="2:8" ht="13.5" customHeight="1">
      <c r="B3058" s="57" t="s">
        <v>5340</v>
      </c>
      <c r="D3058" s="57" t="s">
        <v>5341</v>
      </c>
      <c r="F3058" s="57">
        <v>28</v>
      </c>
      <c r="G3058" s="57" t="s">
        <v>5531</v>
      </c>
      <c r="H3058" s="57" t="s">
        <v>344</v>
      </c>
    </row>
    <row r="3059" spans="2:8" ht="13.5" customHeight="1">
      <c r="B3059" s="57" t="s">
        <v>891</v>
      </c>
      <c r="D3059" s="57" t="s">
        <v>5289</v>
      </c>
      <c r="F3059" s="57">
        <v>30</v>
      </c>
      <c r="G3059" s="57" t="s">
        <v>5531</v>
      </c>
      <c r="H3059" s="57" t="s">
        <v>344</v>
      </c>
    </row>
    <row r="3060" spans="2:8" ht="13.5" customHeight="1">
      <c r="D3060" s="57" t="s">
        <v>5307</v>
      </c>
      <c r="F3060" s="57">
        <v>30</v>
      </c>
      <c r="G3060" s="57" t="s">
        <v>5531</v>
      </c>
      <c r="H3060" s="57" t="s">
        <v>344</v>
      </c>
    </row>
    <row r="3061" spans="2:8" ht="13.5" customHeight="1">
      <c r="B3061" s="57" t="s">
        <v>5342</v>
      </c>
      <c r="D3061" s="57" t="s">
        <v>5343</v>
      </c>
      <c r="F3061" s="57">
        <v>32</v>
      </c>
      <c r="G3061" s="57" t="s">
        <v>5531</v>
      </c>
      <c r="H3061" s="57" t="s">
        <v>344</v>
      </c>
    </row>
    <row r="3062" spans="2:8" ht="13.5" customHeight="1">
      <c r="B3062" s="57" t="s">
        <v>5254</v>
      </c>
      <c r="D3062" s="57" t="s">
        <v>5255</v>
      </c>
      <c r="F3062" s="57">
        <v>34</v>
      </c>
      <c r="G3062" s="57" t="s">
        <v>5531</v>
      </c>
      <c r="H3062" s="57" t="s">
        <v>344</v>
      </c>
    </row>
    <row r="3063" spans="2:8" ht="13.5" customHeight="1">
      <c r="B3063" s="57" t="s">
        <v>5256</v>
      </c>
      <c r="D3063" s="57" t="s">
        <v>5257</v>
      </c>
      <c r="F3063" s="57">
        <v>35</v>
      </c>
      <c r="G3063" s="57" t="s">
        <v>5531</v>
      </c>
      <c r="H3063" s="57" t="s">
        <v>344</v>
      </c>
    </row>
    <row r="3064" spans="2:8" ht="13.5" customHeight="1">
      <c r="B3064" s="57" t="s">
        <v>3590</v>
      </c>
      <c r="D3064" s="57" t="s">
        <v>5285</v>
      </c>
      <c r="E3064" s="57" t="s">
        <v>5286</v>
      </c>
      <c r="F3064" s="57">
        <v>88</v>
      </c>
      <c r="G3064" s="57" t="s">
        <v>5531</v>
      </c>
      <c r="H3064" s="57" t="s">
        <v>344</v>
      </c>
    </row>
    <row r="3065" spans="2:8" ht="13.5" customHeight="1">
      <c r="B3065" s="57" t="s">
        <v>5310</v>
      </c>
      <c r="D3065" s="57" t="s">
        <v>5312</v>
      </c>
      <c r="F3065" s="57">
        <v>106</v>
      </c>
      <c r="G3065" s="57" t="s">
        <v>5531</v>
      </c>
      <c r="H3065" s="57" t="s">
        <v>344</v>
      </c>
    </row>
    <row r="3066" spans="2:8" ht="13.5" customHeight="1">
      <c r="B3066" s="57" t="s">
        <v>827</v>
      </c>
      <c r="D3066" s="57" t="s">
        <v>5422</v>
      </c>
      <c r="F3066" s="57">
        <v>223</v>
      </c>
      <c r="G3066" s="57" t="s">
        <v>5531</v>
      </c>
      <c r="H3066" s="57" t="s">
        <v>344</v>
      </c>
    </row>
    <row r="3067" spans="2:8" ht="13.5" customHeight="1">
      <c r="B3067" s="57" t="s">
        <v>5348</v>
      </c>
      <c r="D3067" s="57" t="s">
        <v>5349</v>
      </c>
      <c r="F3067" s="57">
        <v>231</v>
      </c>
      <c r="G3067" s="57" t="s">
        <v>5531</v>
      </c>
      <c r="H3067" s="57" t="s">
        <v>344</v>
      </c>
    </row>
    <row r="3068" spans="2:8" ht="13.5" customHeight="1">
      <c r="B3068" s="57" t="s">
        <v>5344</v>
      </c>
      <c r="D3068" s="57" t="s">
        <v>5345</v>
      </c>
      <c r="F3068" s="57">
        <v>234</v>
      </c>
      <c r="G3068" s="57" t="s">
        <v>5531</v>
      </c>
      <c r="H3068" s="57" t="s">
        <v>344</v>
      </c>
    </row>
    <row r="3069" spans="2:8" ht="13.5" customHeight="1">
      <c r="B3069" s="57" t="s">
        <v>5346</v>
      </c>
      <c r="D3069" s="57" t="s">
        <v>5347</v>
      </c>
      <c r="F3069" s="57">
        <v>235</v>
      </c>
      <c r="G3069" s="57" t="s">
        <v>5531</v>
      </c>
      <c r="H3069" s="57" t="s">
        <v>344</v>
      </c>
    </row>
    <row r="3070" spans="2:8" ht="13.5" customHeight="1">
      <c r="B3070" s="57" t="s">
        <v>5301</v>
      </c>
      <c r="D3070" s="57" t="s">
        <v>5302</v>
      </c>
      <c r="F3070" s="57">
        <v>44</v>
      </c>
      <c r="G3070" s="57" t="s">
        <v>5531</v>
      </c>
      <c r="H3070" s="57" t="s">
        <v>5529</v>
      </c>
    </row>
    <row r="3071" spans="2:8" ht="13.5" customHeight="1">
      <c r="B3071" s="57" t="s">
        <v>5410</v>
      </c>
      <c r="D3071" s="57" t="s">
        <v>5411</v>
      </c>
      <c r="F3071" s="57">
        <v>1</v>
      </c>
      <c r="G3071" s="57" t="s">
        <v>5531</v>
      </c>
      <c r="H3071" s="57" t="s">
        <v>345</v>
      </c>
    </row>
    <row r="3072" spans="2:8" ht="13.5" customHeight="1">
      <c r="B3072" s="57" t="s">
        <v>5412</v>
      </c>
      <c r="D3072" s="57" t="s">
        <v>5413</v>
      </c>
      <c r="F3072" s="57">
        <v>1</v>
      </c>
      <c r="G3072" s="57" t="s">
        <v>5531</v>
      </c>
      <c r="H3072" s="57" t="s">
        <v>345</v>
      </c>
    </row>
    <row r="3073" spans="2:8" ht="13.5" customHeight="1">
      <c r="B3073" s="57" t="s">
        <v>5406</v>
      </c>
      <c r="D3073" s="57" t="s">
        <v>5407</v>
      </c>
      <c r="F3073" s="57">
        <v>2</v>
      </c>
      <c r="G3073" s="57" t="s">
        <v>5531</v>
      </c>
      <c r="H3073" s="57" t="s">
        <v>345</v>
      </c>
    </row>
    <row r="3074" spans="2:8" ht="13.5" customHeight="1">
      <c r="B3074" s="57" t="s">
        <v>3081</v>
      </c>
      <c r="D3074" s="57" t="s">
        <v>5361</v>
      </c>
      <c r="F3074" s="57">
        <v>4</v>
      </c>
      <c r="G3074" s="57" t="s">
        <v>5531</v>
      </c>
      <c r="H3074" s="57" t="s">
        <v>345</v>
      </c>
    </row>
    <row r="3075" spans="2:8" ht="13.5" customHeight="1">
      <c r="B3075" s="57" t="s">
        <v>5359</v>
      </c>
      <c r="D3075" s="57" t="s">
        <v>5360</v>
      </c>
      <c r="F3075" s="57">
        <v>5</v>
      </c>
      <c r="G3075" s="57" t="s">
        <v>5531</v>
      </c>
      <c r="H3075" s="57" t="s">
        <v>345</v>
      </c>
    </row>
    <row r="3076" spans="2:8" ht="13.5" customHeight="1">
      <c r="D3076" s="57" t="s">
        <v>5400</v>
      </c>
      <c r="F3076" s="57">
        <v>5</v>
      </c>
      <c r="G3076" s="57" t="s">
        <v>5531</v>
      </c>
      <c r="H3076" s="57" t="s">
        <v>345</v>
      </c>
    </row>
    <row r="3077" spans="2:8" ht="13.5" customHeight="1">
      <c r="B3077" s="57" t="s">
        <v>5325</v>
      </c>
      <c r="D3077" s="57" t="s">
        <v>5326</v>
      </c>
      <c r="F3077" s="57">
        <v>5</v>
      </c>
      <c r="G3077" s="57" t="s">
        <v>5531</v>
      </c>
      <c r="H3077" s="57" t="s">
        <v>345</v>
      </c>
    </row>
    <row r="3078" spans="2:8" ht="13.5" customHeight="1">
      <c r="B3078" s="57" t="s">
        <v>5391</v>
      </c>
      <c r="D3078" s="57" t="s">
        <v>5392</v>
      </c>
      <c r="F3078" s="57">
        <v>7</v>
      </c>
      <c r="G3078" s="57" t="s">
        <v>5531</v>
      </c>
      <c r="H3078" s="57" t="s">
        <v>345</v>
      </c>
    </row>
    <row r="3079" spans="2:8" ht="13.5" customHeight="1">
      <c r="B3079" s="57" t="s">
        <v>5327</v>
      </c>
      <c r="D3079" s="57" t="s">
        <v>5328</v>
      </c>
      <c r="F3079" s="57">
        <v>8</v>
      </c>
      <c r="G3079" s="57" t="s">
        <v>5531</v>
      </c>
      <c r="H3079" s="57" t="s">
        <v>345</v>
      </c>
    </row>
    <row r="3080" spans="2:8" ht="13.5" customHeight="1">
      <c r="B3080" s="57" t="s">
        <v>5260</v>
      </c>
      <c r="D3080" s="57" t="s">
        <v>5261</v>
      </c>
      <c r="F3080" s="57">
        <v>8</v>
      </c>
      <c r="G3080" s="57" t="s">
        <v>5531</v>
      </c>
      <c r="H3080" s="57" t="s">
        <v>345</v>
      </c>
    </row>
    <row r="3081" spans="2:8" ht="13.5" customHeight="1">
      <c r="B3081" s="57" t="s">
        <v>3325</v>
      </c>
      <c r="D3081" s="57" t="s">
        <v>5266</v>
      </c>
      <c r="F3081" s="57">
        <v>11</v>
      </c>
      <c r="G3081" s="57" t="s">
        <v>5531</v>
      </c>
      <c r="H3081" s="57" t="s">
        <v>345</v>
      </c>
    </row>
    <row r="3082" spans="2:8" ht="13.5" customHeight="1">
      <c r="B3082" s="57" t="s">
        <v>5256</v>
      </c>
      <c r="D3082" s="57" t="s">
        <v>5382</v>
      </c>
      <c r="F3082" s="57">
        <v>12</v>
      </c>
      <c r="G3082" s="57" t="s">
        <v>5531</v>
      </c>
      <c r="H3082" s="57" t="s">
        <v>345</v>
      </c>
    </row>
    <row r="3083" spans="2:8" ht="13.5" customHeight="1">
      <c r="B3083" s="57" t="s">
        <v>5357</v>
      </c>
      <c r="D3083" s="57" t="s">
        <v>5358</v>
      </c>
      <c r="F3083" s="57">
        <v>12</v>
      </c>
      <c r="G3083" s="57" t="s">
        <v>5531</v>
      </c>
      <c r="H3083" s="57" t="s">
        <v>345</v>
      </c>
    </row>
    <row r="3084" spans="2:8" ht="13.5" customHeight="1">
      <c r="B3084" s="57" t="s">
        <v>5258</v>
      </c>
      <c r="D3084" s="57" t="s">
        <v>5259</v>
      </c>
      <c r="F3084" s="57">
        <v>15</v>
      </c>
      <c r="G3084" s="57" t="s">
        <v>5531</v>
      </c>
      <c r="H3084" s="57" t="s">
        <v>345</v>
      </c>
    </row>
    <row r="3085" spans="2:8" ht="13.5" customHeight="1">
      <c r="B3085" s="57" t="s">
        <v>5401</v>
      </c>
      <c r="D3085" s="57" t="s">
        <v>5402</v>
      </c>
      <c r="F3085" s="57">
        <v>15</v>
      </c>
      <c r="G3085" s="57" t="s">
        <v>5531</v>
      </c>
      <c r="H3085" s="57" t="s">
        <v>345</v>
      </c>
    </row>
    <row r="3086" spans="2:8" ht="13.5" customHeight="1">
      <c r="B3086" s="57" t="s">
        <v>5317</v>
      </c>
      <c r="D3086" s="57" t="s">
        <v>5318</v>
      </c>
      <c r="F3086" s="57">
        <v>17</v>
      </c>
      <c r="G3086" s="57" t="s">
        <v>5531</v>
      </c>
      <c r="H3086" s="57" t="s">
        <v>345</v>
      </c>
    </row>
    <row r="3087" spans="2:8" ht="13.5" customHeight="1">
      <c r="B3087" s="57" t="s">
        <v>5335</v>
      </c>
      <c r="D3087" s="57" t="s">
        <v>5336</v>
      </c>
      <c r="F3087" s="57">
        <v>19</v>
      </c>
      <c r="G3087" s="57" t="s">
        <v>5531</v>
      </c>
      <c r="H3087" s="57" t="s">
        <v>345</v>
      </c>
    </row>
    <row r="3088" spans="2:8" ht="13.5" customHeight="1">
      <c r="B3088" s="57" t="s">
        <v>3798</v>
      </c>
      <c r="D3088" s="57" t="s">
        <v>5309</v>
      </c>
      <c r="F3088" s="57">
        <v>21</v>
      </c>
      <c r="G3088" s="57" t="s">
        <v>5531</v>
      </c>
      <c r="H3088" s="57" t="s">
        <v>345</v>
      </c>
    </row>
    <row r="3089" spans="2:8" ht="13.5" customHeight="1">
      <c r="B3089" s="57" t="s">
        <v>5329</v>
      </c>
      <c r="D3089" s="57" t="s">
        <v>5330</v>
      </c>
      <c r="F3089" s="57">
        <v>23</v>
      </c>
      <c r="G3089" s="57" t="s">
        <v>5531</v>
      </c>
      <c r="H3089" s="57" t="s">
        <v>345</v>
      </c>
    </row>
    <row r="3090" spans="2:8" ht="13.5" customHeight="1">
      <c r="B3090" s="57" t="s">
        <v>5304</v>
      </c>
      <c r="D3090" s="57" t="s">
        <v>5306</v>
      </c>
      <c r="F3090" s="57">
        <v>24</v>
      </c>
      <c r="G3090" s="57" t="s">
        <v>5531</v>
      </c>
      <c r="H3090" s="57" t="s">
        <v>345</v>
      </c>
    </row>
    <row r="3091" spans="2:8" ht="13.5" customHeight="1">
      <c r="B3091" s="57" t="s">
        <v>5321</v>
      </c>
      <c r="D3091" s="57" t="s">
        <v>5322</v>
      </c>
      <c r="F3091" s="57">
        <v>32</v>
      </c>
      <c r="G3091" s="57" t="s">
        <v>5531</v>
      </c>
      <c r="H3091" s="57" t="s">
        <v>345</v>
      </c>
    </row>
    <row r="3092" spans="2:8" ht="13.5" customHeight="1">
      <c r="B3092" s="57" t="s">
        <v>5277</v>
      </c>
      <c r="D3092" s="57" t="s">
        <v>5278</v>
      </c>
      <c r="F3092" s="57">
        <v>44</v>
      </c>
      <c r="G3092" s="57" t="s">
        <v>5531</v>
      </c>
      <c r="H3092" s="57" t="s">
        <v>345</v>
      </c>
    </row>
    <row r="3093" spans="2:8" ht="13.5" customHeight="1">
      <c r="B3093" s="57" t="s">
        <v>5250</v>
      </c>
      <c r="D3093" s="57" t="s">
        <v>5251</v>
      </c>
      <c r="F3093" s="57">
        <v>54</v>
      </c>
      <c r="G3093" s="57" t="s">
        <v>5531</v>
      </c>
      <c r="H3093" s="57" t="s">
        <v>345</v>
      </c>
    </row>
    <row r="3094" spans="2:8" ht="13.5" customHeight="1">
      <c r="B3094" s="57" t="s">
        <v>4486</v>
      </c>
      <c r="D3094" s="57" t="s">
        <v>5473</v>
      </c>
      <c r="F3094" s="57">
        <v>82</v>
      </c>
      <c r="G3094" s="57" t="s">
        <v>5531</v>
      </c>
      <c r="H3094" s="57" t="s">
        <v>345</v>
      </c>
    </row>
    <row r="3095" spans="2:8" ht="13.5" customHeight="1">
      <c r="B3095" s="57" t="s">
        <v>5281</v>
      </c>
      <c r="D3095" s="57" t="s">
        <v>5282</v>
      </c>
      <c r="F3095" s="57">
        <v>103</v>
      </c>
      <c r="G3095" s="57" t="s">
        <v>5531</v>
      </c>
      <c r="H3095" s="57" t="s">
        <v>345</v>
      </c>
    </row>
    <row r="3096" spans="2:8" ht="13.5" customHeight="1">
      <c r="B3096" s="57" t="s">
        <v>5310</v>
      </c>
      <c r="D3096" s="57" t="s">
        <v>5311</v>
      </c>
      <c r="F3096" s="57">
        <v>134</v>
      </c>
      <c r="G3096" s="57" t="s">
        <v>5531</v>
      </c>
      <c r="H3096" s="57" t="s">
        <v>345</v>
      </c>
    </row>
    <row r="3097" spans="2:8" ht="13.5" customHeight="1">
      <c r="B3097" s="57" t="s">
        <v>4674</v>
      </c>
      <c r="D3097" s="57" t="s">
        <v>5308</v>
      </c>
      <c r="F3097" s="57">
        <v>859</v>
      </c>
      <c r="G3097" s="57" t="s">
        <v>5531</v>
      </c>
      <c r="H3097" s="57" t="s">
        <v>345</v>
      </c>
    </row>
    <row r="3098" spans="2:8" ht="13.5" customHeight="1">
      <c r="B3098" s="57" t="s">
        <v>2371</v>
      </c>
      <c r="D3098" s="57">
        <v>1803442</v>
      </c>
      <c r="E3098" s="57" t="s">
        <v>5460</v>
      </c>
      <c r="F3098" s="57">
        <v>2</v>
      </c>
      <c r="G3098" s="57" t="s">
        <v>5531</v>
      </c>
      <c r="H3098" s="57" t="s">
        <v>5528</v>
      </c>
    </row>
    <row r="3099" spans="2:8" ht="13.5" customHeight="1">
      <c r="B3099" s="57" t="s">
        <v>2533</v>
      </c>
      <c r="D3099" s="57" t="s">
        <v>2534</v>
      </c>
      <c r="F3099" s="57">
        <v>2</v>
      </c>
      <c r="G3099" s="57" t="s">
        <v>5531</v>
      </c>
      <c r="H3099" s="57" t="s">
        <v>5528</v>
      </c>
    </row>
    <row r="3100" spans="2:8" ht="13.5" customHeight="1">
      <c r="D3100" s="57" t="s">
        <v>5455</v>
      </c>
      <c r="F3100" s="57">
        <v>2</v>
      </c>
      <c r="G3100" s="57" t="s">
        <v>5531</v>
      </c>
      <c r="H3100" s="57" t="s">
        <v>5528</v>
      </c>
    </row>
    <row r="3101" spans="2:8" ht="13.5" customHeight="1">
      <c r="B3101" s="57" t="s">
        <v>944</v>
      </c>
      <c r="D3101" s="57" t="s">
        <v>945</v>
      </c>
      <c r="F3101" s="57">
        <v>2</v>
      </c>
      <c r="G3101" s="57" t="s">
        <v>5531</v>
      </c>
      <c r="H3101" s="57" t="s">
        <v>5528</v>
      </c>
    </row>
    <row r="3102" spans="2:8" ht="13.5" customHeight="1">
      <c r="B3102" s="57" t="s">
        <v>5458</v>
      </c>
      <c r="D3102" s="57" t="s">
        <v>5459</v>
      </c>
      <c r="F3102" s="57">
        <v>2</v>
      </c>
      <c r="G3102" s="57" t="s">
        <v>5531</v>
      </c>
      <c r="H3102" s="57" t="s">
        <v>5528</v>
      </c>
    </row>
    <row r="3103" spans="2:8" ht="13.5" customHeight="1">
      <c r="B3103" s="57" t="s">
        <v>5467</v>
      </c>
      <c r="D3103" s="57" t="s">
        <v>5468</v>
      </c>
      <c r="F3103" s="57">
        <v>2</v>
      </c>
      <c r="G3103" s="57" t="s">
        <v>5531</v>
      </c>
      <c r="H3103" s="57" t="s">
        <v>5528</v>
      </c>
    </row>
    <row r="3104" spans="2:8" ht="13.5" customHeight="1">
      <c r="B3104" s="57" t="s">
        <v>5367</v>
      </c>
      <c r="D3104" s="57" t="s">
        <v>5368</v>
      </c>
      <c r="F3104" s="57">
        <v>6</v>
      </c>
      <c r="G3104" s="57" t="s">
        <v>5531</v>
      </c>
      <c r="H3104" s="57" t="s">
        <v>5528</v>
      </c>
    </row>
    <row r="3105" spans="2:8" ht="13.5" customHeight="1">
      <c r="B3105" s="57" t="s">
        <v>5369</v>
      </c>
      <c r="D3105" s="57" t="s">
        <v>5370</v>
      </c>
      <c r="F3105" s="57">
        <v>8</v>
      </c>
      <c r="G3105" s="57" t="s">
        <v>5531</v>
      </c>
      <c r="H3105" s="57" t="s">
        <v>5528</v>
      </c>
    </row>
    <row r="3106" spans="2:8" ht="13.5" customHeight="1">
      <c r="B3106" s="57" t="s">
        <v>5379</v>
      </c>
      <c r="D3106" s="57" t="s">
        <v>5380</v>
      </c>
      <c r="F3106" s="57">
        <v>10</v>
      </c>
      <c r="G3106" s="57" t="s">
        <v>5531</v>
      </c>
      <c r="H3106" s="57" t="s">
        <v>5528</v>
      </c>
    </row>
    <row r="3107" spans="2:8" ht="13.5" customHeight="1">
      <c r="B3107" s="57" t="s">
        <v>5367</v>
      </c>
      <c r="D3107" s="57" t="s">
        <v>5371</v>
      </c>
      <c r="F3107" s="57">
        <v>14</v>
      </c>
      <c r="G3107" s="57" t="s">
        <v>5531</v>
      </c>
      <c r="H3107" s="57" t="s">
        <v>5528</v>
      </c>
    </row>
    <row r="3108" spans="2:8" ht="13.5" customHeight="1">
      <c r="B3108" s="57" t="s">
        <v>5465</v>
      </c>
      <c r="D3108" s="57" t="s">
        <v>5466</v>
      </c>
      <c r="F3108" s="57">
        <v>16</v>
      </c>
      <c r="G3108" s="57" t="s">
        <v>5531</v>
      </c>
      <c r="H3108" s="57" t="s">
        <v>5528</v>
      </c>
    </row>
    <row r="3109" spans="2:8" ht="13.5" customHeight="1">
      <c r="B3109" s="57" t="s">
        <v>5463</v>
      </c>
      <c r="D3109" s="57" t="s">
        <v>5464</v>
      </c>
      <c r="F3109" s="57">
        <v>16</v>
      </c>
      <c r="G3109" s="57" t="s">
        <v>5531</v>
      </c>
      <c r="H3109" s="57" t="s">
        <v>5528</v>
      </c>
    </row>
    <row r="3110" spans="2:8" ht="13.5" customHeight="1">
      <c r="B3110" s="57" t="s">
        <v>5323</v>
      </c>
      <c r="D3110" s="57" t="s">
        <v>5324</v>
      </c>
      <c r="F3110" s="57">
        <v>42</v>
      </c>
      <c r="G3110" s="57" t="s">
        <v>5531</v>
      </c>
      <c r="H3110" s="57" t="s">
        <v>5528</v>
      </c>
    </row>
    <row r="3111" spans="2:8" ht="13.5" customHeight="1">
      <c r="B3111" s="57" t="s">
        <v>5423</v>
      </c>
      <c r="D3111" s="57" t="s">
        <v>5424</v>
      </c>
      <c r="F3111" s="57">
        <v>66</v>
      </c>
      <c r="G3111" s="57" t="s">
        <v>5531</v>
      </c>
      <c r="H3111" s="57" t="s">
        <v>5528</v>
      </c>
    </row>
    <row r="3112" spans="2:8" ht="13.5" customHeight="1">
      <c r="B3112" s="57" t="s">
        <v>5264</v>
      </c>
      <c r="F3112" s="57">
        <v>118</v>
      </c>
      <c r="G3112" s="57" t="s">
        <v>5531</v>
      </c>
      <c r="H3112" s="57" t="s">
        <v>5528</v>
      </c>
    </row>
    <row r="3113" spans="2:8" ht="13.5" customHeight="1">
      <c r="B3113" s="57" t="s">
        <v>5365</v>
      </c>
      <c r="D3113" s="57" t="s">
        <v>5366</v>
      </c>
      <c r="F3113" s="57">
        <v>174</v>
      </c>
      <c r="G3113" s="57" t="s">
        <v>5531</v>
      </c>
      <c r="H3113" s="57" t="s">
        <v>5528</v>
      </c>
    </row>
    <row r="3114" spans="2:8" ht="13.5" customHeight="1">
      <c r="B3114" s="57" t="s">
        <v>5437</v>
      </c>
      <c r="D3114" s="57" t="s">
        <v>5438</v>
      </c>
      <c r="F3114" s="57">
        <v>2</v>
      </c>
      <c r="G3114" s="57" t="s">
        <v>5531</v>
      </c>
      <c r="H3114" s="57" t="s">
        <v>5530</v>
      </c>
    </row>
    <row r="3115" spans="2:8" ht="13.5" customHeight="1">
      <c r="B3115" s="57" t="s">
        <v>5441</v>
      </c>
      <c r="D3115" s="57" t="s">
        <v>5442</v>
      </c>
      <c r="F3115" s="57">
        <v>2</v>
      </c>
      <c r="G3115" s="57" t="s">
        <v>5531</v>
      </c>
      <c r="H3115" s="57" t="s">
        <v>5530</v>
      </c>
    </row>
    <row r="3116" spans="2:8" ht="13.5" customHeight="1">
      <c r="B3116" s="57" t="s">
        <v>5439</v>
      </c>
      <c r="D3116" s="57" t="s">
        <v>5440</v>
      </c>
      <c r="F3116" s="57">
        <v>2</v>
      </c>
      <c r="G3116" s="57" t="s">
        <v>5531</v>
      </c>
      <c r="H3116" s="57" t="s">
        <v>5530</v>
      </c>
    </row>
    <row r="3117" spans="2:8" ht="13.5" customHeight="1">
      <c r="B3117" s="57" t="s">
        <v>5443</v>
      </c>
      <c r="D3117" s="57" t="s">
        <v>5444</v>
      </c>
      <c r="F3117" s="57">
        <v>2</v>
      </c>
      <c r="G3117" s="57" t="s">
        <v>5531</v>
      </c>
      <c r="H3117" s="57" t="s">
        <v>5530</v>
      </c>
    </row>
    <row r="3118" spans="2:8" ht="13.5" customHeight="1">
      <c r="B3118" s="57" t="s">
        <v>5433</v>
      </c>
      <c r="D3118" s="57" t="s">
        <v>5434</v>
      </c>
      <c r="F3118" s="57">
        <v>2</v>
      </c>
      <c r="G3118" s="57" t="s">
        <v>5531</v>
      </c>
      <c r="H3118" s="57" t="s">
        <v>5530</v>
      </c>
    </row>
    <row r="3119" spans="2:8" ht="13.5" customHeight="1">
      <c r="B3119" s="57" t="s">
        <v>5435</v>
      </c>
      <c r="D3119" s="57" t="s">
        <v>5436</v>
      </c>
      <c r="F3119" s="57">
        <v>3</v>
      </c>
      <c r="G3119" s="57" t="s">
        <v>5531</v>
      </c>
      <c r="H3119" s="57" t="s">
        <v>5530</v>
      </c>
    </row>
    <row r="3120" spans="2:8" ht="13.5" customHeight="1">
      <c r="B3120" s="57" t="s">
        <v>5445</v>
      </c>
      <c r="D3120" s="57" t="s">
        <v>5446</v>
      </c>
      <c r="F3120" s="57">
        <v>5</v>
      </c>
      <c r="G3120" s="57" t="s">
        <v>5531</v>
      </c>
      <c r="H3120" s="57" t="s">
        <v>5530</v>
      </c>
    </row>
    <row r="3121" spans="2:8" ht="13.5" customHeight="1">
      <c r="B3121" s="57" t="s">
        <v>5429</v>
      </c>
      <c r="D3121" s="57" t="s">
        <v>5430</v>
      </c>
      <c r="F3121" s="57">
        <v>5</v>
      </c>
      <c r="G3121" s="57" t="s">
        <v>5531</v>
      </c>
      <c r="H3121" s="57" t="s">
        <v>5530</v>
      </c>
    </row>
    <row r="3122" spans="2:8" ht="13.5" customHeight="1">
      <c r="B3122" s="57" t="s">
        <v>5451</v>
      </c>
      <c r="D3122" s="57" t="s">
        <v>5452</v>
      </c>
      <c r="F3122" s="57">
        <v>7</v>
      </c>
      <c r="G3122" s="57" t="s">
        <v>5531</v>
      </c>
      <c r="H3122" s="57" t="s">
        <v>5530</v>
      </c>
    </row>
    <row r="3123" spans="2:8" ht="13.5" customHeight="1">
      <c r="B3123" s="57" t="s">
        <v>5427</v>
      </c>
      <c r="D3123" s="57" t="s">
        <v>5428</v>
      </c>
      <c r="F3123" s="57">
        <v>8</v>
      </c>
      <c r="G3123" s="57" t="s">
        <v>5531</v>
      </c>
      <c r="H3123" s="57" t="s">
        <v>5530</v>
      </c>
    </row>
    <row r="3124" spans="2:8" ht="13.5" customHeight="1">
      <c r="B3124" s="57" t="s">
        <v>5447</v>
      </c>
      <c r="D3124" s="57" t="s">
        <v>5448</v>
      </c>
      <c r="F3124" s="57">
        <v>10</v>
      </c>
      <c r="G3124" s="57" t="s">
        <v>5531</v>
      </c>
      <c r="H3124" s="57" t="s">
        <v>5530</v>
      </c>
    </row>
    <row r="3125" spans="2:8" ht="13.5" customHeight="1">
      <c r="B3125" s="57" t="s">
        <v>5431</v>
      </c>
      <c r="D3125" s="57" t="s">
        <v>5432</v>
      </c>
      <c r="F3125" s="57">
        <v>12</v>
      </c>
      <c r="G3125" s="57" t="s">
        <v>5531</v>
      </c>
      <c r="H3125" s="57" t="s">
        <v>5530</v>
      </c>
    </row>
    <row r="3126" spans="2:8" ht="13.5" customHeight="1">
      <c r="B3126" s="57" t="s">
        <v>5453</v>
      </c>
      <c r="D3126" s="57" t="s">
        <v>5454</v>
      </c>
      <c r="F3126" s="57">
        <v>19</v>
      </c>
      <c r="G3126" s="57" t="s">
        <v>5531</v>
      </c>
      <c r="H3126" s="57" t="s">
        <v>5530</v>
      </c>
    </row>
    <row r="3127" spans="2:8" ht="13.5" customHeight="1">
      <c r="B3127" s="57" t="s">
        <v>5425</v>
      </c>
      <c r="D3127" s="57" t="s">
        <v>5426</v>
      </c>
      <c r="F3127" s="57">
        <v>23</v>
      </c>
      <c r="G3127" s="57" t="s">
        <v>5531</v>
      </c>
      <c r="H3127" s="57" t="s">
        <v>5530</v>
      </c>
    </row>
    <row r="3128" spans="2:8" ht="13.5" customHeight="1">
      <c r="B3128" s="57" t="s">
        <v>5449</v>
      </c>
      <c r="D3128" s="57" t="s">
        <v>5450</v>
      </c>
      <c r="F3128" s="57">
        <v>34</v>
      </c>
      <c r="G3128" s="57" t="s">
        <v>5531</v>
      </c>
      <c r="H3128" s="57" t="s">
        <v>5530</v>
      </c>
    </row>
    <row r="3129" spans="2:8" ht="13.5" customHeight="1">
      <c r="B3129" s="57" t="s">
        <v>5378</v>
      </c>
      <c r="D3129" s="57" t="s">
        <v>5378</v>
      </c>
      <c r="E3129" s="57" t="s">
        <v>3968</v>
      </c>
      <c r="F3129" s="57">
        <v>38</v>
      </c>
      <c r="G3129" s="57" t="s">
        <v>5531</v>
      </c>
      <c r="H3129" s="57" t="s">
        <v>5530</v>
      </c>
    </row>
    <row r="3130" spans="2:8" ht="13.5" customHeight="1">
      <c r="B3130" s="57" t="s">
        <v>5275</v>
      </c>
      <c r="D3130" s="57" t="s">
        <v>5276</v>
      </c>
      <c r="F3130" s="57">
        <v>3</v>
      </c>
      <c r="G3130" s="57" t="s">
        <v>5531</v>
      </c>
      <c r="H3130" s="57" t="s">
        <v>1114</v>
      </c>
    </row>
    <row r="3131" spans="2:8" ht="13.5" customHeight="1">
      <c r="B3131" s="57" t="s">
        <v>5298</v>
      </c>
      <c r="D3131" s="57" t="s">
        <v>5395</v>
      </c>
      <c r="F3131" s="57">
        <v>5</v>
      </c>
      <c r="G3131" s="57" t="s">
        <v>5531</v>
      </c>
      <c r="H3131" s="57" t="s">
        <v>1114</v>
      </c>
    </row>
    <row r="3132" spans="2:8" ht="13.5" customHeight="1">
      <c r="B3132" s="57" t="s">
        <v>5414</v>
      </c>
      <c r="D3132" s="57" t="s">
        <v>5415</v>
      </c>
      <c r="F3132" s="57">
        <v>5</v>
      </c>
      <c r="G3132" s="57" t="s">
        <v>5531</v>
      </c>
      <c r="H3132" s="57" t="s">
        <v>1114</v>
      </c>
    </row>
    <row r="3133" spans="2:8" ht="13.5" customHeight="1">
      <c r="B3133" s="57" t="s">
        <v>5273</v>
      </c>
      <c r="D3133" s="57" t="s">
        <v>5274</v>
      </c>
      <c r="F3133" s="57">
        <v>7</v>
      </c>
      <c r="G3133" s="57" t="s">
        <v>5531</v>
      </c>
      <c r="H3133" s="57" t="s">
        <v>1114</v>
      </c>
    </row>
    <row r="3134" spans="2:8" ht="13.5" customHeight="1">
      <c r="B3134" s="57" t="s">
        <v>324</v>
      </c>
      <c r="D3134" s="57" t="s">
        <v>5279</v>
      </c>
      <c r="F3134" s="57">
        <v>8</v>
      </c>
      <c r="G3134" s="57" t="s">
        <v>5531</v>
      </c>
      <c r="H3134" s="57" t="s">
        <v>1114</v>
      </c>
    </row>
    <row r="3135" spans="2:8" ht="13.5" customHeight="1">
      <c r="B3135" s="57" t="s">
        <v>5267</v>
      </c>
      <c r="D3135" s="57" t="s">
        <v>5268</v>
      </c>
      <c r="F3135" s="57">
        <v>10</v>
      </c>
      <c r="G3135" s="57" t="s">
        <v>5531</v>
      </c>
      <c r="H3135" s="57" t="s">
        <v>1114</v>
      </c>
    </row>
    <row r="3136" spans="2:8" ht="13.5" customHeight="1">
      <c r="B3136" s="57" t="s">
        <v>3325</v>
      </c>
      <c r="D3136" s="57" t="s">
        <v>5265</v>
      </c>
      <c r="F3136" s="57">
        <v>12</v>
      </c>
      <c r="G3136" s="57" t="s">
        <v>5531</v>
      </c>
      <c r="H3136" s="57" t="s">
        <v>1114</v>
      </c>
    </row>
    <row r="3137" spans="2:8" ht="13.5" customHeight="1">
      <c r="B3137" s="57" t="s">
        <v>5294</v>
      </c>
      <c r="D3137" s="57" t="s">
        <v>5295</v>
      </c>
      <c r="F3137" s="57">
        <v>12</v>
      </c>
      <c r="G3137" s="57" t="s">
        <v>5531</v>
      </c>
      <c r="H3137" s="57" t="s">
        <v>1114</v>
      </c>
    </row>
    <row r="3138" spans="2:8" ht="13.5" customHeight="1">
      <c r="B3138" s="57" t="s">
        <v>5269</v>
      </c>
      <c r="D3138" s="57" t="s">
        <v>5270</v>
      </c>
      <c r="F3138" s="57">
        <v>18</v>
      </c>
      <c r="G3138" s="57" t="s">
        <v>5531</v>
      </c>
      <c r="H3138" s="57" t="s">
        <v>1114</v>
      </c>
    </row>
    <row r="3139" spans="2:8" ht="13.5" customHeight="1">
      <c r="B3139" s="57" t="s">
        <v>1789</v>
      </c>
      <c r="D3139" s="57" t="s">
        <v>5385</v>
      </c>
      <c r="F3139" s="57">
        <v>20</v>
      </c>
      <c r="G3139" s="57" t="s">
        <v>5531</v>
      </c>
      <c r="H3139" s="57" t="s">
        <v>1114</v>
      </c>
    </row>
    <row r="3140" spans="2:8" ht="13.5" customHeight="1">
      <c r="B3140" s="57" t="s">
        <v>5296</v>
      </c>
      <c r="D3140" s="57" t="s">
        <v>5297</v>
      </c>
      <c r="F3140" s="57">
        <v>24</v>
      </c>
      <c r="G3140" s="57" t="s">
        <v>5531</v>
      </c>
      <c r="H3140" s="57" t="s">
        <v>1114</v>
      </c>
    </row>
    <row r="3141" spans="2:8" ht="13.5" customHeight="1">
      <c r="B3141" s="57" t="s">
        <v>5280</v>
      </c>
      <c r="D3141" s="57" t="s">
        <v>3780</v>
      </c>
      <c r="F3141" s="57">
        <v>24</v>
      </c>
      <c r="G3141" s="57" t="s">
        <v>5531</v>
      </c>
      <c r="H3141" s="57" t="s">
        <v>1114</v>
      </c>
    </row>
    <row r="3142" spans="2:8" ht="13.5" customHeight="1">
      <c r="B3142" s="57" t="s">
        <v>2961</v>
      </c>
      <c r="D3142" s="57" t="s">
        <v>2962</v>
      </c>
      <c r="F3142" s="57">
        <v>28</v>
      </c>
      <c r="G3142" s="57" t="s">
        <v>5531</v>
      </c>
      <c r="H3142" s="57" t="s">
        <v>1114</v>
      </c>
    </row>
    <row r="3143" spans="2:8" ht="13.5" customHeight="1">
      <c r="B3143" s="57" t="s">
        <v>5388</v>
      </c>
      <c r="D3143" s="57" t="s">
        <v>5389</v>
      </c>
      <c r="F3143" s="57">
        <v>28</v>
      </c>
      <c r="G3143" s="57" t="s">
        <v>5531</v>
      </c>
      <c r="H3143" s="57" t="s">
        <v>1114</v>
      </c>
    </row>
    <row r="3144" spans="2:8" ht="13.5" customHeight="1">
      <c r="B3144" s="57" t="s">
        <v>5283</v>
      </c>
      <c r="D3144" s="57" t="s">
        <v>2763</v>
      </c>
      <c r="F3144" s="57">
        <v>39</v>
      </c>
      <c r="G3144" s="57" t="s">
        <v>5531</v>
      </c>
      <c r="H3144" s="57" t="s">
        <v>1114</v>
      </c>
    </row>
    <row r="3145" spans="2:8" ht="13.5" customHeight="1">
      <c r="B3145" s="57" t="s">
        <v>5363</v>
      </c>
      <c r="D3145" s="57" t="s">
        <v>5364</v>
      </c>
      <c r="F3145" s="57">
        <v>50</v>
      </c>
      <c r="G3145" s="57" t="s">
        <v>5531</v>
      </c>
      <c r="H3145" s="57" t="s">
        <v>1114</v>
      </c>
    </row>
    <row r="3146" spans="2:8" ht="13.5" customHeight="1">
      <c r="B3146" s="57" t="s">
        <v>5290</v>
      </c>
      <c r="D3146" s="57" t="s">
        <v>5291</v>
      </c>
      <c r="F3146" s="57">
        <v>67</v>
      </c>
      <c r="G3146" s="57" t="s">
        <v>5531</v>
      </c>
      <c r="H3146" s="57" t="s">
        <v>1114</v>
      </c>
    </row>
    <row r="3147" spans="2:8" ht="13.5" customHeight="1">
      <c r="B3147" s="57" t="s">
        <v>5298</v>
      </c>
      <c r="D3147" s="57" t="s">
        <v>5299</v>
      </c>
      <c r="F3147" s="57">
        <v>71</v>
      </c>
      <c r="G3147" s="57" t="s">
        <v>5531</v>
      </c>
      <c r="H3147" s="57" t="s">
        <v>1114</v>
      </c>
    </row>
    <row r="3148" spans="2:8" ht="13.5" customHeight="1">
      <c r="B3148" s="57" t="s">
        <v>5292</v>
      </c>
      <c r="D3148" s="57" t="s">
        <v>5293</v>
      </c>
      <c r="F3148" s="57">
        <v>91</v>
      </c>
      <c r="G3148" s="57" t="s">
        <v>5531</v>
      </c>
      <c r="H3148" s="57" t="s">
        <v>1114</v>
      </c>
    </row>
    <row r="3149" spans="2:8" ht="13.5" customHeight="1">
      <c r="B3149" s="57" t="s">
        <v>269</v>
      </c>
      <c r="D3149" s="57" t="s">
        <v>270</v>
      </c>
      <c r="F3149" s="57">
        <v>125</v>
      </c>
      <c r="G3149" s="57" t="s">
        <v>5531</v>
      </c>
      <c r="H3149" s="57" t="s">
        <v>1114</v>
      </c>
    </row>
    <row r="3150" spans="2:8" ht="13.5" customHeight="1">
      <c r="B3150" s="57" t="s">
        <v>5313</v>
      </c>
      <c r="D3150" s="57" t="s">
        <v>3853</v>
      </c>
      <c r="F3150" s="57">
        <v>147</v>
      </c>
      <c r="G3150" s="57" t="s">
        <v>5531</v>
      </c>
      <c r="H3150" s="57" t="s">
        <v>1114</v>
      </c>
    </row>
    <row r="3151" spans="2:8" ht="13.5" customHeight="1">
      <c r="B3151" s="57" t="s">
        <v>5476</v>
      </c>
      <c r="D3151" s="57" t="s">
        <v>5477</v>
      </c>
      <c r="F3151" s="57">
        <v>454</v>
      </c>
      <c r="G3151" s="57" t="s">
        <v>5531</v>
      </c>
      <c r="H3151" s="57" t="s">
        <v>1355</v>
      </c>
    </row>
    <row r="3152" spans="2:8" ht="13.5" customHeight="1">
      <c r="B3152" s="57" t="s">
        <v>5471</v>
      </c>
      <c r="D3152" s="57" t="s">
        <v>5472</v>
      </c>
      <c r="F3152" s="57">
        <v>895</v>
      </c>
      <c r="G3152" s="57" t="s">
        <v>5531</v>
      </c>
      <c r="H3152" s="57" t="s">
        <v>1355</v>
      </c>
    </row>
    <row r="3153" spans="2:8" ht="13.5" customHeight="1">
      <c r="B3153" s="57" t="s">
        <v>5478</v>
      </c>
      <c r="D3153" s="57" t="s">
        <v>5479</v>
      </c>
      <c r="F3153" s="57">
        <v>913</v>
      </c>
      <c r="G3153" s="57" t="s">
        <v>5531</v>
      </c>
      <c r="H3153" s="57" t="s">
        <v>1355</v>
      </c>
    </row>
    <row r="3154" spans="2:8" ht="13.5" customHeight="1">
      <c r="B3154" s="57" t="s">
        <v>5508</v>
      </c>
      <c r="D3154" s="57" t="s">
        <v>5509</v>
      </c>
      <c r="F3154" s="57">
        <v>990</v>
      </c>
      <c r="G3154" s="57" t="s">
        <v>5531</v>
      </c>
      <c r="H3154" s="57" t="s">
        <v>1355</v>
      </c>
    </row>
    <row r="3155" spans="2:8" ht="13.5" customHeight="1">
      <c r="D3155" s="57" t="s">
        <v>5474</v>
      </c>
      <c r="F3155" s="57">
        <v>26</v>
      </c>
      <c r="G3155" s="57" t="s">
        <v>5531</v>
      </c>
      <c r="H3155" s="57" t="s">
        <v>1354</v>
      </c>
    </row>
    <row r="3156" spans="2:8" ht="13.5" customHeight="1">
      <c r="B3156" s="57" t="s">
        <v>5501</v>
      </c>
      <c r="D3156" s="57" t="s">
        <v>5502</v>
      </c>
      <c r="E3156" s="57" t="s">
        <v>5503</v>
      </c>
      <c r="F3156" s="57">
        <v>437</v>
      </c>
      <c r="G3156" s="57" t="s">
        <v>5531</v>
      </c>
      <c r="H3156" s="57" t="s">
        <v>1354</v>
      </c>
    </row>
    <row r="3157" spans="2:8" ht="13.5" customHeight="1">
      <c r="B3157" s="57" t="s">
        <v>5504</v>
      </c>
      <c r="D3157" s="57" t="s">
        <v>5505</v>
      </c>
      <c r="F3157" s="57">
        <v>475</v>
      </c>
      <c r="G3157" s="57" t="s">
        <v>5531</v>
      </c>
      <c r="H3157" s="57" t="s">
        <v>1354</v>
      </c>
    </row>
    <row r="3158" spans="2:8" ht="13.5" customHeight="1">
      <c r="B3158" s="57" t="s">
        <v>5499</v>
      </c>
      <c r="D3158" s="57" t="s">
        <v>5500</v>
      </c>
      <c r="F3158" s="57">
        <v>523</v>
      </c>
      <c r="G3158" s="57" t="s">
        <v>5531</v>
      </c>
      <c r="H3158" s="57" t="s">
        <v>1354</v>
      </c>
    </row>
    <row r="3159" spans="2:8" ht="13.5" customHeight="1">
      <c r="B3159" s="57" t="s">
        <v>5497</v>
      </c>
      <c r="D3159" s="57" t="s">
        <v>5498</v>
      </c>
      <c r="F3159" s="57">
        <v>1434</v>
      </c>
      <c r="G3159" s="57" t="s">
        <v>5531</v>
      </c>
      <c r="H3159" s="57" t="s">
        <v>1354</v>
      </c>
    </row>
    <row r="3160" spans="2:8" ht="13.5" customHeight="1">
      <c r="B3160" s="57" t="s">
        <v>5524</v>
      </c>
      <c r="D3160" s="57" t="s">
        <v>5525</v>
      </c>
      <c r="F3160" s="57">
        <v>1</v>
      </c>
      <c r="G3160" s="57" t="s">
        <v>5531</v>
      </c>
      <c r="H3160" s="57" t="s">
        <v>1356</v>
      </c>
    </row>
    <row r="3161" spans="2:8" ht="13.5" customHeight="1">
      <c r="B3161" s="57" t="s">
        <v>5480</v>
      </c>
      <c r="D3161" s="57" t="s">
        <v>5481</v>
      </c>
      <c r="F3161" s="57">
        <v>10</v>
      </c>
      <c r="G3161" s="57" t="s">
        <v>5531</v>
      </c>
      <c r="H3161" s="57" t="s">
        <v>1356</v>
      </c>
    </row>
    <row r="3162" spans="2:8" ht="13.5" customHeight="1">
      <c r="B3162" s="57" t="s">
        <v>5484</v>
      </c>
      <c r="D3162" s="57" t="s">
        <v>5485</v>
      </c>
      <c r="F3162" s="57">
        <v>13</v>
      </c>
      <c r="G3162" s="57" t="s">
        <v>5531</v>
      </c>
      <c r="H3162" s="57" t="s">
        <v>1356</v>
      </c>
    </row>
    <row r="3163" spans="2:8" ht="13.5" customHeight="1">
      <c r="B3163" s="57" t="s">
        <v>8112</v>
      </c>
      <c r="D3163" s="57" t="s">
        <v>5516</v>
      </c>
      <c r="F3163" s="57">
        <v>482</v>
      </c>
      <c r="G3163" s="57" t="s">
        <v>5531</v>
      </c>
      <c r="H3163" s="57" t="s">
        <v>1356</v>
      </c>
    </row>
    <row r="3164" spans="2:8" ht="13.5" customHeight="1">
      <c r="B3164" s="57" t="s">
        <v>5520</v>
      </c>
      <c r="D3164" s="57" t="s">
        <v>3947</v>
      </c>
      <c r="F3164" s="57">
        <v>486</v>
      </c>
      <c r="G3164" s="57" t="s">
        <v>5531</v>
      </c>
      <c r="H3164" s="57" t="s">
        <v>1356</v>
      </c>
    </row>
    <row r="3165" spans="2:8" ht="13.5" customHeight="1">
      <c r="B3165" s="57" t="s">
        <v>5506</v>
      </c>
      <c r="D3165" s="57" t="s">
        <v>5507</v>
      </c>
      <c r="F3165" s="57">
        <v>487</v>
      </c>
      <c r="G3165" s="57" t="s">
        <v>5531</v>
      </c>
      <c r="H3165" s="57" t="s">
        <v>1356</v>
      </c>
    </row>
    <row r="3166" spans="2:8" ht="13.5" customHeight="1">
      <c r="B3166" s="57" t="s">
        <v>5520</v>
      </c>
      <c r="D3166" s="57" t="s">
        <v>2978</v>
      </c>
      <c r="F3166" s="57">
        <v>490</v>
      </c>
      <c r="G3166" s="57" t="s">
        <v>5531</v>
      </c>
      <c r="H3166" s="57" t="s">
        <v>1356</v>
      </c>
    </row>
    <row r="3167" spans="2:8" ht="13.5" customHeight="1">
      <c r="B3167" s="57" t="s">
        <v>5489</v>
      </c>
      <c r="D3167" s="57" t="s">
        <v>2958</v>
      </c>
      <c r="F3167" s="57">
        <v>498</v>
      </c>
      <c r="G3167" s="57" t="s">
        <v>5531</v>
      </c>
      <c r="H3167" s="57" t="s">
        <v>1356</v>
      </c>
    </row>
    <row r="3168" spans="2:8" ht="13.5" customHeight="1">
      <c r="B3168" s="57" t="s">
        <v>5493</v>
      </c>
      <c r="D3168" s="57" t="s">
        <v>5494</v>
      </c>
      <c r="F3168" s="57">
        <v>504</v>
      </c>
      <c r="G3168" s="57" t="s">
        <v>5531</v>
      </c>
      <c r="H3168" s="57" t="s">
        <v>1356</v>
      </c>
    </row>
    <row r="3169" spans="2:8" ht="13.5" customHeight="1">
      <c r="B3169" s="57" t="s">
        <v>5495</v>
      </c>
      <c r="D3169" s="57" t="s">
        <v>5496</v>
      </c>
      <c r="F3169" s="57">
        <v>505</v>
      </c>
      <c r="G3169" s="57" t="s">
        <v>5531</v>
      </c>
      <c r="H3169" s="57" t="s">
        <v>1356</v>
      </c>
    </row>
    <row r="3170" spans="2:8" ht="13.5" customHeight="1">
      <c r="B3170" s="57" t="s">
        <v>5521</v>
      </c>
      <c r="D3170" s="57" t="s">
        <v>2972</v>
      </c>
      <c r="F3170" s="57">
        <v>595</v>
      </c>
      <c r="G3170" s="57" t="s">
        <v>5531</v>
      </c>
      <c r="H3170" s="57" t="s">
        <v>1356</v>
      </c>
    </row>
    <row r="3171" spans="2:8" ht="13.5" customHeight="1">
      <c r="B3171" s="57" t="s">
        <v>5491</v>
      </c>
      <c r="D3171" s="57" t="s">
        <v>5492</v>
      </c>
      <c r="F3171" s="57">
        <v>917</v>
      </c>
      <c r="G3171" s="57" t="s">
        <v>5531</v>
      </c>
      <c r="H3171" s="57" t="s">
        <v>1356</v>
      </c>
    </row>
    <row r="3172" spans="2:8" ht="13.5" customHeight="1">
      <c r="B3172" s="57" t="s">
        <v>5490</v>
      </c>
      <c r="D3172" s="57" t="s">
        <v>1184</v>
      </c>
      <c r="F3172" s="57">
        <v>955</v>
      </c>
      <c r="G3172" s="57" t="s">
        <v>5531</v>
      </c>
      <c r="H3172" s="57" t="s">
        <v>1356</v>
      </c>
    </row>
    <row r="3173" spans="2:8" ht="13.5" customHeight="1">
      <c r="B3173" s="57" t="s">
        <v>5514</v>
      </c>
      <c r="D3173" s="57" t="s">
        <v>4954</v>
      </c>
      <c r="F3173" s="57">
        <v>990</v>
      </c>
      <c r="G3173" s="57" t="s">
        <v>5531</v>
      </c>
      <c r="H3173" s="57" t="s">
        <v>1356</v>
      </c>
    </row>
    <row r="3174" spans="2:8" ht="13.5" customHeight="1">
      <c r="B3174" s="57" t="s">
        <v>5514</v>
      </c>
      <c r="D3174" s="57" t="s">
        <v>5518</v>
      </c>
      <c r="F3174" s="57">
        <v>997</v>
      </c>
      <c r="G3174" s="57" t="s">
        <v>5531</v>
      </c>
      <c r="H3174" s="57" t="s">
        <v>1356</v>
      </c>
    </row>
    <row r="3175" spans="2:8" ht="13.5" customHeight="1">
      <c r="B3175" s="57" t="s">
        <v>5514</v>
      </c>
      <c r="D3175" s="57" t="s">
        <v>5519</v>
      </c>
      <c r="F3175" s="57">
        <v>999</v>
      </c>
      <c r="G3175" s="57" t="s">
        <v>5531</v>
      </c>
      <c r="H3175" s="57" t="s">
        <v>1356</v>
      </c>
    </row>
    <row r="3176" spans="2:8" ht="13.5" customHeight="1">
      <c r="B3176" s="57" t="s">
        <v>5489</v>
      </c>
      <c r="D3176" s="57" t="s">
        <v>1102</v>
      </c>
      <c r="F3176" s="57">
        <v>1420</v>
      </c>
      <c r="G3176" s="57" t="s">
        <v>5531</v>
      </c>
      <c r="H3176" s="57" t="s">
        <v>1356</v>
      </c>
    </row>
    <row r="3177" spans="2:8" ht="13.5" customHeight="1">
      <c r="B3177" s="57" t="s">
        <v>5514</v>
      </c>
      <c r="D3177" s="57" t="s">
        <v>1109</v>
      </c>
      <c r="F3177" s="57">
        <v>1470</v>
      </c>
      <c r="G3177" s="57" t="s">
        <v>5531</v>
      </c>
      <c r="H3177" s="57" t="s">
        <v>1356</v>
      </c>
    </row>
    <row r="3178" spans="2:8" ht="13.5" customHeight="1">
      <c r="B3178" s="57" t="s">
        <v>5514</v>
      </c>
      <c r="D3178" s="57" t="s">
        <v>5517</v>
      </c>
      <c r="F3178" s="57">
        <v>1593</v>
      </c>
      <c r="G3178" s="57" t="s">
        <v>5531</v>
      </c>
      <c r="H3178" s="57" t="s">
        <v>1356</v>
      </c>
    </row>
    <row r="3179" spans="2:8" ht="13.5" customHeight="1">
      <c r="B3179" s="57" t="s">
        <v>5520</v>
      </c>
      <c r="D3179" s="57" t="s">
        <v>2976</v>
      </c>
      <c r="F3179" s="57">
        <v>1708</v>
      </c>
      <c r="G3179" s="57" t="s">
        <v>5531</v>
      </c>
      <c r="H3179" s="57" t="s">
        <v>1356</v>
      </c>
    </row>
    <row r="3180" spans="2:8" ht="13.5" customHeight="1">
      <c r="B3180" s="142" t="s">
        <v>8907</v>
      </c>
      <c r="D3180" s="144" t="s">
        <v>2976</v>
      </c>
      <c r="E3180" s="144"/>
      <c r="F3180" s="57">
        <v>1800</v>
      </c>
      <c r="G3180" s="57" t="s">
        <v>5531</v>
      </c>
      <c r="H3180" s="188" t="s">
        <v>1356</v>
      </c>
    </row>
    <row r="3181" spans="2:8" ht="13.5" customHeight="1">
      <c r="B3181" s="57" t="s">
        <v>5521</v>
      </c>
      <c r="D3181" s="57" t="s">
        <v>2974</v>
      </c>
      <c r="F3181" s="57">
        <v>490</v>
      </c>
      <c r="G3181" s="57" t="s">
        <v>5531</v>
      </c>
      <c r="H3181" s="57" t="s">
        <v>2287</v>
      </c>
    </row>
    <row r="3182" spans="2:8" ht="13.5" customHeight="1">
      <c r="B3182" s="57" t="s">
        <v>5486</v>
      </c>
      <c r="D3182" s="57" t="s">
        <v>5487</v>
      </c>
      <c r="F3182" s="57">
        <v>494</v>
      </c>
      <c r="G3182" s="57" t="s">
        <v>5531</v>
      </c>
      <c r="H3182" s="57" t="s">
        <v>2287</v>
      </c>
    </row>
    <row r="3183" spans="2:8" ht="13.5" customHeight="1">
      <c r="B3183" s="57" t="s">
        <v>5488</v>
      </c>
      <c r="D3183" s="57" t="s">
        <v>2962</v>
      </c>
      <c r="F3183" s="57">
        <v>499</v>
      </c>
      <c r="G3183" s="57" t="s">
        <v>5531</v>
      </c>
      <c r="H3183" s="57" t="s">
        <v>2287</v>
      </c>
    </row>
    <row r="3184" spans="2:8" ht="13.5" customHeight="1">
      <c r="B3184" s="57" t="s">
        <v>5510</v>
      </c>
      <c r="D3184" s="57" t="s">
        <v>2083</v>
      </c>
      <c r="F3184" s="57">
        <v>1509</v>
      </c>
      <c r="G3184" s="57" t="s">
        <v>5531</v>
      </c>
      <c r="H3184" s="57" t="s">
        <v>2287</v>
      </c>
    </row>
    <row r="3185" spans="2:8" ht="13.5" customHeight="1">
      <c r="B3185" s="57" t="s">
        <v>5510</v>
      </c>
      <c r="D3185" s="57" t="s">
        <v>5513</v>
      </c>
      <c r="F3185" s="57">
        <v>2500</v>
      </c>
      <c r="G3185" s="57" t="s">
        <v>5531</v>
      </c>
      <c r="H3185" s="57" t="s">
        <v>2287</v>
      </c>
    </row>
    <row r="3186" spans="2:8" ht="13.5" customHeight="1">
      <c r="B3186" s="57" t="s">
        <v>5482</v>
      </c>
      <c r="D3186" s="57" t="s">
        <v>5483</v>
      </c>
      <c r="F3186" s="57">
        <v>2805</v>
      </c>
      <c r="G3186" s="57" t="s">
        <v>5531</v>
      </c>
      <c r="H3186" s="57" t="s">
        <v>2287</v>
      </c>
    </row>
    <row r="3187" spans="2:8" ht="13.5" customHeight="1">
      <c r="B3187" s="57" t="s">
        <v>5510</v>
      </c>
      <c r="D3187" s="57" t="s">
        <v>2964</v>
      </c>
      <c r="F3187" s="57">
        <v>2847</v>
      </c>
      <c r="G3187" s="57" t="s">
        <v>5531</v>
      </c>
      <c r="H3187" s="57" t="s">
        <v>2287</v>
      </c>
    </row>
    <row r="3188" spans="2:8" ht="13.5" customHeight="1">
      <c r="B3188" s="57" t="s">
        <v>5510</v>
      </c>
      <c r="D3188" s="57" t="s">
        <v>5511</v>
      </c>
      <c r="E3188" s="57" t="s">
        <v>5512</v>
      </c>
      <c r="F3188" s="57">
        <v>2988</v>
      </c>
      <c r="G3188" s="57" t="s">
        <v>5531</v>
      </c>
      <c r="H3188" s="57" t="s">
        <v>2287</v>
      </c>
    </row>
    <row r="3189" spans="2:8" ht="13.5" customHeight="1">
      <c r="B3189" s="57" t="s">
        <v>5520</v>
      </c>
      <c r="D3189" s="57" t="s">
        <v>5522</v>
      </c>
      <c r="E3189" s="57" t="s">
        <v>1083</v>
      </c>
      <c r="F3189" s="57">
        <v>6066</v>
      </c>
      <c r="G3189" s="57" t="s">
        <v>5531</v>
      </c>
      <c r="H3189" s="57" t="s">
        <v>2287</v>
      </c>
    </row>
    <row r="3190" spans="2:8" ht="13.5" customHeight="1">
      <c r="B3190" s="57" t="s">
        <v>5520</v>
      </c>
      <c r="D3190" s="57" t="s">
        <v>4058</v>
      </c>
      <c r="F3190" s="57">
        <v>7300</v>
      </c>
      <c r="G3190" s="57" t="s">
        <v>5531</v>
      </c>
      <c r="H3190" s="57" t="s">
        <v>2287</v>
      </c>
    </row>
    <row r="3191" spans="2:8" ht="13.5" customHeight="1">
      <c r="B3191" s="57" t="s">
        <v>5514</v>
      </c>
      <c r="D3191" s="57" t="s">
        <v>5515</v>
      </c>
      <c r="F3191" s="57">
        <v>15376</v>
      </c>
      <c r="G3191" s="57" t="s">
        <v>5531</v>
      </c>
      <c r="H3191" s="57" t="s">
        <v>2287</v>
      </c>
    </row>
    <row r="3192" spans="2:8" ht="13.5" customHeight="1">
      <c r="B3192" s="57" t="s">
        <v>8143</v>
      </c>
      <c r="D3192" s="57" t="s">
        <v>8144</v>
      </c>
      <c r="F3192" s="57">
        <v>1</v>
      </c>
      <c r="G3192" s="57" t="s">
        <v>5531</v>
      </c>
      <c r="H3192" s="57" t="s">
        <v>2288</v>
      </c>
    </row>
    <row r="3193" spans="2:8" ht="13.5" customHeight="1">
      <c r="B3193" s="57" t="s">
        <v>8018</v>
      </c>
      <c r="D3193" s="57" t="s">
        <v>8019</v>
      </c>
      <c r="F3193" s="57">
        <v>2</v>
      </c>
      <c r="G3193" s="57" t="s">
        <v>5531</v>
      </c>
      <c r="H3193" s="57" t="s">
        <v>2288</v>
      </c>
    </row>
    <row r="3194" spans="2:8" ht="13.5" customHeight="1">
      <c r="B3194" s="57" t="s">
        <v>8076</v>
      </c>
      <c r="D3194" s="57" t="s">
        <v>8077</v>
      </c>
      <c r="F3194" s="57">
        <v>2</v>
      </c>
      <c r="G3194" s="57" t="s">
        <v>5531</v>
      </c>
      <c r="H3194" s="57" t="s">
        <v>2288</v>
      </c>
    </row>
    <row r="3195" spans="2:8" ht="13.5" customHeight="1">
      <c r="B3195" s="57" t="s">
        <v>8145</v>
      </c>
      <c r="D3195" s="57" t="s">
        <v>8146</v>
      </c>
      <c r="F3195" s="57">
        <v>2</v>
      </c>
      <c r="G3195" s="57" t="s">
        <v>5531</v>
      </c>
      <c r="H3195" s="57" t="s">
        <v>2288</v>
      </c>
    </row>
    <row r="3196" spans="2:8" ht="13.5" customHeight="1">
      <c r="B3196" s="57" t="s">
        <v>8068</v>
      </c>
      <c r="D3196" s="57" t="s">
        <v>8069</v>
      </c>
      <c r="F3196" s="57">
        <v>3</v>
      </c>
      <c r="G3196" s="57" t="s">
        <v>5531</v>
      </c>
      <c r="H3196" s="57" t="s">
        <v>2288</v>
      </c>
    </row>
    <row r="3197" spans="2:8" ht="13.5" customHeight="1">
      <c r="B3197" s="57" t="s">
        <v>296</v>
      </c>
      <c r="D3197" s="57" t="s">
        <v>8056</v>
      </c>
      <c r="F3197" s="57">
        <v>3</v>
      </c>
      <c r="G3197" s="57" t="s">
        <v>5531</v>
      </c>
      <c r="H3197" s="57" t="s">
        <v>2288</v>
      </c>
    </row>
    <row r="3198" spans="2:8" ht="13.5" customHeight="1">
      <c r="B3198" s="57" t="s">
        <v>8147</v>
      </c>
      <c r="D3198" s="57" t="s">
        <v>8148</v>
      </c>
      <c r="F3198" s="57">
        <v>3</v>
      </c>
      <c r="G3198" s="57" t="s">
        <v>5531</v>
      </c>
      <c r="H3198" s="57" t="s">
        <v>2288</v>
      </c>
    </row>
    <row r="3199" spans="2:8" ht="13.5" customHeight="1">
      <c r="B3199" s="57" t="s">
        <v>8044</v>
      </c>
      <c r="D3199" s="57" t="s">
        <v>8046</v>
      </c>
      <c r="F3199" s="57">
        <v>4</v>
      </c>
      <c r="G3199" s="57" t="s">
        <v>5531</v>
      </c>
      <c r="H3199" s="57" t="s">
        <v>2288</v>
      </c>
    </row>
    <row r="3200" spans="2:8" ht="13.5" customHeight="1">
      <c r="B3200" s="57" t="s">
        <v>8092</v>
      </c>
      <c r="D3200" s="57" t="s">
        <v>8093</v>
      </c>
      <c r="F3200" s="57">
        <v>4</v>
      </c>
      <c r="G3200" s="57" t="s">
        <v>5531</v>
      </c>
      <c r="H3200" s="57" t="s">
        <v>2288</v>
      </c>
    </row>
    <row r="3201" spans="2:8" ht="13.5" customHeight="1">
      <c r="B3201" s="57" t="s">
        <v>8065</v>
      </c>
      <c r="D3201" s="57" t="s">
        <v>8066</v>
      </c>
      <c r="F3201" s="57">
        <v>4</v>
      </c>
      <c r="G3201" s="57" t="s">
        <v>5531</v>
      </c>
      <c r="H3201" s="57" t="s">
        <v>2288</v>
      </c>
    </row>
    <row r="3202" spans="2:8" ht="13.5" customHeight="1">
      <c r="B3202" s="57" t="s">
        <v>304</v>
      </c>
      <c r="D3202" s="57" t="s">
        <v>8105</v>
      </c>
      <c r="F3202" s="57">
        <v>4</v>
      </c>
      <c r="G3202" s="57" t="s">
        <v>5531</v>
      </c>
      <c r="H3202" s="57" t="s">
        <v>2288</v>
      </c>
    </row>
    <row r="3203" spans="2:8" ht="13.5" customHeight="1">
      <c r="B3203" s="57" t="s">
        <v>8098</v>
      </c>
      <c r="D3203" s="57" t="s">
        <v>8099</v>
      </c>
      <c r="F3203" s="57">
        <v>4</v>
      </c>
      <c r="G3203" s="57" t="s">
        <v>5531</v>
      </c>
      <c r="H3203" s="57" t="s">
        <v>2288</v>
      </c>
    </row>
    <row r="3204" spans="2:8" ht="13.5" customHeight="1">
      <c r="B3204" s="57" t="s">
        <v>8080</v>
      </c>
      <c r="D3204" s="57" t="s">
        <v>8081</v>
      </c>
      <c r="F3204" s="57">
        <v>4</v>
      </c>
      <c r="G3204" s="57" t="s">
        <v>5531</v>
      </c>
      <c r="H3204" s="57" t="s">
        <v>2288</v>
      </c>
    </row>
    <row r="3205" spans="2:8" ht="13.5" customHeight="1">
      <c r="B3205" s="57" t="s">
        <v>8034</v>
      </c>
      <c r="D3205" s="57" t="s">
        <v>8035</v>
      </c>
      <c r="F3205" s="57">
        <v>4</v>
      </c>
      <c r="G3205" s="57" t="s">
        <v>5531</v>
      </c>
      <c r="H3205" s="57" t="s">
        <v>2288</v>
      </c>
    </row>
    <row r="3206" spans="2:8" ht="13.5" customHeight="1">
      <c r="B3206" s="57" t="s">
        <v>8042</v>
      </c>
      <c r="D3206" s="57" t="s">
        <v>8043</v>
      </c>
      <c r="F3206" s="57">
        <v>4</v>
      </c>
      <c r="G3206" s="57" t="s">
        <v>5531</v>
      </c>
      <c r="H3206" s="57" t="s">
        <v>2288</v>
      </c>
    </row>
    <row r="3207" spans="2:8" ht="13.5" customHeight="1">
      <c r="B3207" s="57" t="s">
        <v>8096</v>
      </c>
      <c r="D3207" s="57" t="s">
        <v>8097</v>
      </c>
      <c r="F3207" s="57">
        <v>5</v>
      </c>
      <c r="G3207" s="57" t="s">
        <v>5531</v>
      </c>
      <c r="H3207" s="57" t="s">
        <v>2288</v>
      </c>
    </row>
    <row r="3208" spans="2:8" ht="13.5" customHeight="1">
      <c r="B3208" s="57" t="s">
        <v>8057</v>
      </c>
      <c r="D3208" s="57" t="s">
        <v>8058</v>
      </c>
      <c r="F3208" s="57">
        <v>5</v>
      </c>
      <c r="G3208" s="57" t="s">
        <v>5531</v>
      </c>
      <c r="H3208" s="57" t="s">
        <v>2288</v>
      </c>
    </row>
    <row r="3209" spans="2:8" ht="13.5" customHeight="1">
      <c r="B3209" s="57" t="s">
        <v>5542</v>
      </c>
      <c r="D3209" s="57" t="s">
        <v>6166</v>
      </c>
      <c r="F3209" s="57">
        <v>5</v>
      </c>
      <c r="G3209" s="57" t="s">
        <v>5531</v>
      </c>
      <c r="H3209" s="57" t="s">
        <v>2288</v>
      </c>
    </row>
    <row r="3210" spans="2:8" ht="13.5" customHeight="1">
      <c r="B3210" s="57" t="s">
        <v>4850</v>
      </c>
      <c r="D3210" s="57" t="s">
        <v>8037</v>
      </c>
      <c r="F3210" s="57">
        <v>5</v>
      </c>
      <c r="G3210" s="57" t="s">
        <v>5531</v>
      </c>
      <c r="H3210" s="57" t="s">
        <v>2288</v>
      </c>
    </row>
    <row r="3211" spans="2:8" ht="13.5" customHeight="1">
      <c r="B3211" s="57" t="s">
        <v>285</v>
      </c>
      <c r="D3211" s="57" t="s">
        <v>8055</v>
      </c>
      <c r="F3211" s="57">
        <v>5</v>
      </c>
      <c r="G3211" s="57" t="s">
        <v>5531</v>
      </c>
      <c r="H3211" s="57" t="s">
        <v>2288</v>
      </c>
    </row>
    <row r="3212" spans="2:8" ht="13.5" customHeight="1">
      <c r="B3212" s="57" t="s">
        <v>8090</v>
      </c>
      <c r="D3212" s="57" t="s">
        <v>8091</v>
      </c>
      <c r="F3212" s="57">
        <v>5</v>
      </c>
      <c r="G3212" s="57" t="s">
        <v>5531</v>
      </c>
      <c r="H3212" s="57" t="s">
        <v>2288</v>
      </c>
    </row>
    <row r="3213" spans="2:8" ht="13.5" customHeight="1">
      <c r="B3213" s="57" t="s">
        <v>8103</v>
      </c>
      <c r="D3213" s="57" t="s">
        <v>8104</v>
      </c>
      <c r="F3213" s="57">
        <v>6</v>
      </c>
      <c r="G3213" s="57" t="s">
        <v>5531</v>
      </c>
      <c r="H3213" s="57" t="s">
        <v>2288</v>
      </c>
    </row>
    <row r="3214" spans="2:8" ht="13.5" customHeight="1">
      <c r="B3214" s="57" t="s">
        <v>8030</v>
      </c>
      <c r="D3214" s="57" t="s">
        <v>8031</v>
      </c>
      <c r="F3214" s="57">
        <v>6</v>
      </c>
      <c r="G3214" s="57" t="s">
        <v>5531</v>
      </c>
      <c r="H3214" s="57" t="s">
        <v>2288</v>
      </c>
    </row>
    <row r="3215" spans="2:8" ht="13.5" customHeight="1">
      <c r="B3215" s="57" t="s">
        <v>8038</v>
      </c>
      <c r="D3215" s="57" t="s">
        <v>6632</v>
      </c>
      <c r="F3215" s="57">
        <v>7</v>
      </c>
      <c r="G3215" s="57" t="s">
        <v>5531</v>
      </c>
      <c r="H3215" s="57" t="s">
        <v>2288</v>
      </c>
    </row>
    <row r="3216" spans="2:8" ht="13.5" customHeight="1">
      <c r="B3216" s="57" t="s">
        <v>8088</v>
      </c>
      <c r="D3216" s="57" t="s">
        <v>8089</v>
      </c>
      <c r="F3216" s="57">
        <v>8</v>
      </c>
      <c r="G3216" s="57" t="s">
        <v>5531</v>
      </c>
      <c r="H3216" s="57" t="s">
        <v>2288</v>
      </c>
    </row>
    <row r="3217" spans="2:8" ht="13.5" customHeight="1">
      <c r="B3217" s="57" t="s">
        <v>8027</v>
      </c>
      <c r="D3217" s="57" t="s">
        <v>8028</v>
      </c>
      <c r="F3217" s="57">
        <v>8</v>
      </c>
      <c r="G3217" s="57" t="s">
        <v>5531</v>
      </c>
      <c r="H3217" s="57" t="s">
        <v>2288</v>
      </c>
    </row>
    <row r="3218" spans="2:8" ht="13.5" customHeight="1">
      <c r="B3218" s="57" t="s">
        <v>5186</v>
      </c>
      <c r="D3218" s="57" t="s">
        <v>320</v>
      </c>
      <c r="F3218" s="57">
        <v>8</v>
      </c>
      <c r="G3218" s="57" t="s">
        <v>5531</v>
      </c>
      <c r="H3218" s="57" t="s">
        <v>2288</v>
      </c>
    </row>
    <row r="3219" spans="2:8" ht="13.5" customHeight="1">
      <c r="B3219" s="57" t="s">
        <v>8108</v>
      </c>
      <c r="D3219" s="57" t="s">
        <v>8109</v>
      </c>
      <c r="F3219" s="57">
        <v>9</v>
      </c>
      <c r="G3219" s="57" t="s">
        <v>5531</v>
      </c>
      <c r="H3219" s="57" t="s">
        <v>2288</v>
      </c>
    </row>
    <row r="3220" spans="2:8" ht="13.5" customHeight="1">
      <c r="B3220" s="57" t="s">
        <v>8078</v>
      </c>
      <c r="D3220" s="57" t="s">
        <v>8079</v>
      </c>
      <c r="F3220" s="57">
        <v>9</v>
      </c>
      <c r="G3220" s="57" t="s">
        <v>5531</v>
      </c>
      <c r="H3220" s="57" t="s">
        <v>2288</v>
      </c>
    </row>
    <row r="3221" spans="2:8" ht="13.5" customHeight="1">
      <c r="B3221" s="57" t="s">
        <v>8106</v>
      </c>
      <c r="D3221" s="57" t="s">
        <v>8107</v>
      </c>
      <c r="F3221" s="57">
        <v>10</v>
      </c>
      <c r="G3221" s="57" t="s">
        <v>5531</v>
      </c>
      <c r="H3221" s="57" t="s">
        <v>2288</v>
      </c>
    </row>
    <row r="3222" spans="2:8" ht="13.5" customHeight="1">
      <c r="B3222" s="57" t="s">
        <v>8073</v>
      </c>
      <c r="D3222" s="57" t="s">
        <v>8074</v>
      </c>
      <c r="F3222" s="57">
        <v>10</v>
      </c>
      <c r="G3222" s="57" t="s">
        <v>5531</v>
      </c>
      <c r="H3222" s="57" t="s">
        <v>2288</v>
      </c>
    </row>
    <row r="3223" spans="2:8" ht="13.5" customHeight="1">
      <c r="B3223" s="57" t="s">
        <v>8071</v>
      </c>
      <c r="D3223" s="57" t="s">
        <v>8072</v>
      </c>
      <c r="F3223" s="57">
        <v>10</v>
      </c>
      <c r="G3223" s="57" t="s">
        <v>5531</v>
      </c>
      <c r="H3223" s="57" t="s">
        <v>2288</v>
      </c>
    </row>
    <row r="3224" spans="2:8" ht="13.5" customHeight="1">
      <c r="B3224" s="57" t="s">
        <v>8070</v>
      </c>
      <c r="D3224" s="57" t="s">
        <v>5952</v>
      </c>
      <c r="F3224" s="57">
        <v>10</v>
      </c>
      <c r="G3224" s="57" t="s">
        <v>5531</v>
      </c>
      <c r="H3224" s="57" t="s">
        <v>2288</v>
      </c>
    </row>
    <row r="3225" spans="2:8" ht="13.5" customHeight="1">
      <c r="B3225" s="57" t="s">
        <v>6874</v>
      </c>
      <c r="D3225" s="57" t="s">
        <v>6875</v>
      </c>
      <c r="F3225" s="57">
        <v>10</v>
      </c>
      <c r="G3225" s="57" t="s">
        <v>5531</v>
      </c>
      <c r="H3225" s="57" t="s">
        <v>2288</v>
      </c>
    </row>
    <row r="3226" spans="2:8" ht="13.5" customHeight="1">
      <c r="B3226" s="57" t="s">
        <v>8047</v>
      </c>
      <c r="D3226" s="57" t="s">
        <v>8048</v>
      </c>
      <c r="F3226" s="57">
        <v>12</v>
      </c>
      <c r="G3226" s="57" t="s">
        <v>5531</v>
      </c>
      <c r="H3226" s="57" t="s">
        <v>2288</v>
      </c>
    </row>
    <row r="3227" spans="2:8" ht="13.5" customHeight="1">
      <c r="B3227" s="57" t="s">
        <v>8049</v>
      </c>
      <c r="D3227" s="57" t="s">
        <v>8050</v>
      </c>
      <c r="F3227" s="57">
        <v>12</v>
      </c>
      <c r="G3227" s="57" t="s">
        <v>5531</v>
      </c>
      <c r="H3227" s="57" t="s">
        <v>2288</v>
      </c>
    </row>
    <row r="3228" spans="2:8" ht="13.5" customHeight="1">
      <c r="B3228" s="57" t="s">
        <v>7560</v>
      </c>
      <c r="D3228" s="57" t="s">
        <v>8075</v>
      </c>
      <c r="F3228" s="57">
        <v>13</v>
      </c>
      <c r="G3228" s="57" t="s">
        <v>5531</v>
      </c>
      <c r="H3228" s="57" t="s">
        <v>2288</v>
      </c>
    </row>
    <row r="3229" spans="2:8" ht="13.5" customHeight="1">
      <c r="B3229" s="57" t="s">
        <v>8063</v>
      </c>
      <c r="D3229" s="57" t="s">
        <v>8064</v>
      </c>
      <c r="F3229" s="57">
        <v>14</v>
      </c>
      <c r="G3229" s="57" t="s">
        <v>5531</v>
      </c>
      <c r="H3229" s="57" t="s">
        <v>2288</v>
      </c>
    </row>
    <row r="3230" spans="2:8" ht="13.5" customHeight="1">
      <c r="B3230" s="57" t="s">
        <v>8061</v>
      </c>
      <c r="D3230" s="57" t="s">
        <v>8062</v>
      </c>
      <c r="F3230" s="57">
        <v>15</v>
      </c>
      <c r="G3230" s="57" t="s">
        <v>5531</v>
      </c>
      <c r="H3230" s="57" t="s">
        <v>2288</v>
      </c>
    </row>
    <row r="3231" spans="2:8" ht="13.5" customHeight="1">
      <c r="B3231" s="57" t="s">
        <v>8100</v>
      </c>
      <c r="D3231" s="57" t="s">
        <v>4365</v>
      </c>
      <c r="F3231" s="57">
        <v>15</v>
      </c>
      <c r="G3231" s="57" t="s">
        <v>5531</v>
      </c>
      <c r="H3231" s="57" t="s">
        <v>2288</v>
      </c>
    </row>
    <row r="3232" spans="2:8" ht="13.5" customHeight="1">
      <c r="B3232" s="57" t="s">
        <v>6113</v>
      </c>
      <c r="D3232" s="57" t="s">
        <v>8029</v>
      </c>
      <c r="F3232" s="57">
        <v>15</v>
      </c>
      <c r="G3232" s="57" t="s">
        <v>5531</v>
      </c>
      <c r="H3232" s="57" t="s">
        <v>2288</v>
      </c>
    </row>
    <row r="3233" spans="2:8" ht="13.5" customHeight="1">
      <c r="B3233" s="57" t="s">
        <v>8082</v>
      </c>
      <c r="D3233" s="57" t="s">
        <v>8083</v>
      </c>
      <c r="F3233" s="57">
        <v>16</v>
      </c>
      <c r="G3233" s="57" t="s">
        <v>5531</v>
      </c>
      <c r="H3233" s="57" t="s">
        <v>2288</v>
      </c>
    </row>
    <row r="3234" spans="2:8" ht="13.5" customHeight="1">
      <c r="B3234" s="57" t="s">
        <v>8038</v>
      </c>
      <c r="D3234" s="57" t="s">
        <v>284</v>
      </c>
      <c r="F3234" s="57">
        <v>17</v>
      </c>
      <c r="G3234" s="57" t="s">
        <v>5531</v>
      </c>
      <c r="H3234" s="57" t="s">
        <v>2288</v>
      </c>
    </row>
    <row r="3235" spans="2:8" ht="13.5" customHeight="1">
      <c r="B3235" s="57" t="s">
        <v>3553</v>
      </c>
      <c r="D3235" s="57" t="s">
        <v>7434</v>
      </c>
      <c r="F3235" s="57">
        <v>18</v>
      </c>
      <c r="G3235" s="57" t="s">
        <v>5531</v>
      </c>
      <c r="H3235" s="57" t="s">
        <v>2288</v>
      </c>
    </row>
    <row r="3236" spans="2:8" ht="13.5" customHeight="1">
      <c r="B3236" s="57" t="s">
        <v>8051</v>
      </c>
      <c r="D3236" s="57" t="s">
        <v>2809</v>
      </c>
      <c r="F3236" s="57">
        <v>20</v>
      </c>
      <c r="G3236" s="57" t="s">
        <v>5531</v>
      </c>
      <c r="H3236" s="57" t="s">
        <v>2288</v>
      </c>
    </row>
    <row r="3237" spans="2:8" ht="13.5" customHeight="1">
      <c r="B3237" s="57" t="s">
        <v>8052</v>
      </c>
      <c r="D3237" s="57" t="s">
        <v>8053</v>
      </c>
      <c r="F3237" s="57">
        <v>20</v>
      </c>
      <c r="G3237" s="57" t="s">
        <v>5531</v>
      </c>
      <c r="H3237" s="57" t="s">
        <v>2288</v>
      </c>
    </row>
    <row r="3238" spans="2:8" ht="13.5" customHeight="1">
      <c r="B3238" s="57" t="s">
        <v>8025</v>
      </c>
      <c r="D3238" s="57" t="s">
        <v>8026</v>
      </c>
      <c r="F3238" s="57">
        <v>20</v>
      </c>
      <c r="G3238" s="57" t="s">
        <v>5531</v>
      </c>
      <c r="H3238" s="57" t="s">
        <v>2288</v>
      </c>
    </row>
    <row r="3239" spans="2:8" ht="13.5" customHeight="1">
      <c r="B3239" s="57" t="s">
        <v>8110</v>
      </c>
      <c r="D3239" s="57" t="s">
        <v>3965</v>
      </c>
      <c r="F3239" s="57">
        <v>20</v>
      </c>
      <c r="G3239" s="57" t="s">
        <v>5531</v>
      </c>
      <c r="H3239" s="57" t="s">
        <v>2288</v>
      </c>
    </row>
    <row r="3240" spans="2:8" ht="13.5" customHeight="1">
      <c r="B3240" s="57" t="s">
        <v>8021</v>
      </c>
      <c r="D3240" s="57" t="s">
        <v>8022</v>
      </c>
      <c r="F3240" s="57">
        <v>20</v>
      </c>
      <c r="G3240" s="57" t="s">
        <v>5531</v>
      </c>
      <c r="H3240" s="57" t="s">
        <v>2288</v>
      </c>
    </row>
    <row r="3241" spans="2:8" ht="13.5" customHeight="1">
      <c r="B3241" s="57" t="s">
        <v>889</v>
      </c>
      <c r="D3241" s="57" t="s">
        <v>8036</v>
      </c>
      <c r="F3241" s="57">
        <v>23</v>
      </c>
      <c r="G3241" s="57" t="s">
        <v>5531</v>
      </c>
      <c r="H3241" s="57" t="s">
        <v>2288</v>
      </c>
    </row>
    <row r="3242" spans="2:8" ht="13.5" customHeight="1">
      <c r="B3242" s="57" t="s">
        <v>8094</v>
      </c>
      <c r="D3242" s="57" t="s">
        <v>8095</v>
      </c>
      <c r="F3242" s="57">
        <v>24</v>
      </c>
      <c r="G3242" s="57" t="s">
        <v>5531</v>
      </c>
      <c r="H3242" s="57" t="s">
        <v>2288</v>
      </c>
    </row>
    <row r="3243" spans="2:8" ht="13.5" customHeight="1">
      <c r="B3243" s="57" t="s">
        <v>8084</v>
      </c>
      <c r="D3243" s="57" t="s">
        <v>8085</v>
      </c>
      <c r="F3243" s="57">
        <v>24</v>
      </c>
      <c r="G3243" s="57" t="s">
        <v>5531</v>
      </c>
      <c r="H3243" s="57" t="s">
        <v>2288</v>
      </c>
    </row>
    <row r="3244" spans="2:8" ht="13.5" customHeight="1">
      <c r="B3244" s="57" t="s">
        <v>8023</v>
      </c>
      <c r="D3244" s="57" t="s">
        <v>8024</v>
      </c>
      <c r="F3244" s="57">
        <v>30</v>
      </c>
      <c r="G3244" s="57" t="s">
        <v>5531</v>
      </c>
      <c r="H3244" s="57" t="s">
        <v>2288</v>
      </c>
    </row>
    <row r="3245" spans="2:8" ht="13.5" customHeight="1">
      <c r="B3245" s="57" t="s">
        <v>8086</v>
      </c>
      <c r="D3245" s="57" t="s">
        <v>8087</v>
      </c>
      <c r="F3245" s="57">
        <v>32</v>
      </c>
      <c r="G3245" s="57" t="s">
        <v>5531</v>
      </c>
      <c r="H3245" s="57" t="s">
        <v>2288</v>
      </c>
    </row>
    <row r="3246" spans="2:8" ht="13.5" customHeight="1">
      <c r="B3246" s="57" t="s">
        <v>8041</v>
      </c>
      <c r="D3246" s="57" t="s">
        <v>743</v>
      </c>
      <c r="F3246" s="57">
        <v>37</v>
      </c>
      <c r="G3246" s="57" t="s">
        <v>5531</v>
      </c>
      <c r="H3246" s="57" t="s">
        <v>2288</v>
      </c>
    </row>
    <row r="3247" spans="2:8" ht="13.5" customHeight="1">
      <c r="B3247" s="57" t="s">
        <v>8039</v>
      </c>
      <c r="D3247" s="57" t="s">
        <v>8040</v>
      </c>
      <c r="F3247" s="57">
        <v>40</v>
      </c>
      <c r="G3247" s="57" t="s">
        <v>5531</v>
      </c>
      <c r="H3247" s="57" t="s">
        <v>2288</v>
      </c>
    </row>
    <row r="3248" spans="2:8" ht="13.5" customHeight="1">
      <c r="B3248" s="57" t="s">
        <v>4608</v>
      </c>
      <c r="D3248" s="57" t="s">
        <v>4320</v>
      </c>
      <c r="F3248" s="57">
        <v>55</v>
      </c>
      <c r="G3248" s="57" t="s">
        <v>5531</v>
      </c>
      <c r="H3248" s="57" t="s">
        <v>2288</v>
      </c>
    </row>
    <row r="3249" spans="2:8" ht="13.5" customHeight="1">
      <c r="B3249" s="57" t="s">
        <v>1559</v>
      </c>
      <c r="D3249" s="57" t="s">
        <v>1365</v>
      </c>
      <c r="F3249" s="57">
        <v>78</v>
      </c>
      <c r="G3249" s="57" t="s">
        <v>5531</v>
      </c>
      <c r="H3249" s="57" t="s">
        <v>2288</v>
      </c>
    </row>
    <row r="3250" spans="2:8" ht="13.5" customHeight="1">
      <c r="B3250" s="57" t="s">
        <v>8060</v>
      </c>
      <c r="D3250" s="57" t="s">
        <v>1100</v>
      </c>
      <c r="F3250" s="57">
        <v>82</v>
      </c>
      <c r="G3250" s="57" t="s">
        <v>5531</v>
      </c>
      <c r="H3250" s="57" t="s">
        <v>2288</v>
      </c>
    </row>
    <row r="3251" spans="2:8" ht="13.5" customHeight="1">
      <c r="B3251" s="57" t="s">
        <v>8101</v>
      </c>
      <c r="D3251" s="57" t="s">
        <v>8102</v>
      </c>
      <c r="F3251" s="57">
        <v>100</v>
      </c>
      <c r="G3251" s="57" t="s">
        <v>5531</v>
      </c>
      <c r="H3251" s="57" t="s">
        <v>2288</v>
      </c>
    </row>
    <row r="3252" spans="2:8" ht="13.5" customHeight="1">
      <c r="B3252" s="57" t="s">
        <v>8032</v>
      </c>
      <c r="D3252" s="57" t="s">
        <v>8033</v>
      </c>
      <c r="F3252" s="57">
        <v>100</v>
      </c>
      <c r="G3252" s="57" t="s">
        <v>5531</v>
      </c>
      <c r="H3252" s="57" t="s">
        <v>2288</v>
      </c>
    </row>
    <row r="3253" spans="2:8" ht="13.5" customHeight="1">
      <c r="B3253" s="57" t="s">
        <v>8111</v>
      </c>
      <c r="D3253" s="57" t="s">
        <v>1387</v>
      </c>
      <c r="F3253" s="57">
        <v>107</v>
      </c>
      <c r="G3253" s="57" t="s">
        <v>5531</v>
      </c>
      <c r="H3253" s="57" t="s">
        <v>2288</v>
      </c>
    </row>
    <row r="3254" spans="2:8" ht="13.5" customHeight="1">
      <c r="B3254" s="57" t="s">
        <v>7484</v>
      </c>
      <c r="D3254" s="57" t="s">
        <v>749</v>
      </c>
      <c r="F3254" s="57">
        <v>459</v>
      </c>
      <c r="G3254" s="57" t="s">
        <v>5531</v>
      </c>
      <c r="H3254" s="57" t="s">
        <v>2288</v>
      </c>
    </row>
    <row r="3255" spans="2:8" ht="13.5" customHeight="1">
      <c r="B3255" s="57" t="s">
        <v>8740</v>
      </c>
      <c r="D3255" s="57" t="s">
        <v>8741</v>
      </c>
      <c r="F3255" s="57">
        <v>1</v>
      </c>
      <c r="G3255" s="57" t="s">
        <v>5531</v>
      </c>
      <c r="H3255" s="57" t="s">
        <v>2289</v>
      </c>
    </row>
    <row r="3256" spans="2:8" ht="13.5" customHeight="1">
      <c r="B3256" s="57" t="s">
        <v>8750</v>
      </c>
      <c r="D3256" s="57" t="s">
        <v>8751</v>
      </c>
      <c r="F3256" s="57">
        <v>1</v>
      </c>
      <c r="G3256" s="57" t="s">
        <v>5531</v>
      </c>
      <c r="H3256" s="57" t="s">
        <v>2289</v>
      </c>
    </row>
    <row r="3257" spans="2:8" ht="13.5" customHeight="1">
      <c r="B3257" s="57" t="s">
        <v>8752</v>
      </c>
      <c r="D3257" s="57" t="s">
        <v>8753</v>
      </c>
      <c r="F3257" s="57">
        <v>1</v>
      </c>
      <c r="G3257" s="57" t="s">
        <v>5531</v>
      </c>
      <c r="H3257" s="57" t="s">
        <v>2289</v>
      </c>
    </row>
    <row r="3258" spans="2:8" ht="13.5" customHeight="1">
      <c r="B3258" s="57" t="s">
        <v>8754</v>
      </c>
      <c r="D3258" s="57" t="s">
        <v>8755</v>
      </c>
      <c r="F3258" s="57">
        <v>1</v>
      </c>
      <c r="G3258" s="57" t="s">
        <v>5531</v>
      </c>
      <c r="H3258" s="57" t="s">
        <v>2289</v>
      </c>
    </row>
    <row r="3259" spans="2:8" ht="13.5" customHeight="1">
      <c r="B3259" s="142" t="s">
        <v>8885</v>
      </c>
      <c r="D3259" s="142" t="s">
        <v>5475</v>
      </c>
      <c r="E3259" s="142"/>
      <c r="F3259" s="57">
        <v>1</v>
      </c>
      <c r="G3259" s="57" t="s">
        <v>5531</v>
      </c>
      <c r="H3259" s="121" t="s">
        <v>2289</v>
      </c>
    </row>
    <row r="3260" spans="2:8" ht="13.5" customHeight="1">
      <c r="B3260" s="142" t="s">
        <v>8872</v>
      </c>
      <c r="D3260" s="142" t="s">
        <v>8872</v>
      </c>
      <c r="E3260" s="142"/>
      <c r="F3260" s="57">
        <v>2</v>
      </c>
      <c r="G3260" s="57" t="s">
        <v>5531</v>
      </c>
      <c r="H3260" s="121" t="s">
        <v>2289</v>
      </c>
    </row>
    <row r="3261" spans="2:8" ht="13.5" customHeight="1">
      <c r="B3261" s="144" t="s">
        <v>466</v>
      </c>
      <c r="D3261" s="144" t="s">
        <v>8884</v>
      </c>
      <c r="E3261" s="144"/>
      <c r="F3261" s="57">
        <v>2</v>
      </c>
      <c r="G3261" s="57" t="s">
        <v>5531</v>
      </c>
      <c r="H3261" s="121" t="s">
        <v>2289</v>
      </c>
    </row>
    <row r="3262" spans="2:8" ht="13.5" customHeight="1">
      <c r="B3262" s="147" t="s">
        <v>7582</v>
      </c>
      <c r="C3262" s="174" t="s">
        <v>8948</v>
      </c>
      <c r="D3262" s="147" t="s">
        <v>8949</v>
      </c>
      <c r="F3262" s="76">
        <v>2</v>
      </c>
      <c r="G3262" s="57" t="s">
        <v>5531</v>
      </c>
      <c r="H3262" s="57" t="s">
        <v>2289</v>
      </c>
    </row>
    <row r="3263" spans="2:8" ht="13.5" customHeight="1">
      <c r="B3263" s="57" t="s">
        <v>8735</v>
      </c>
      <c r="D3263" s="57" t="s">
        <v>8736</v>
      </c>
      <c r="F3263" s="57">
        <v>3</v>
      </c>
      <c r="G3263" s="57" t="s">
        <v>5531</v>
      </c>
      <c r="H3263" s="57" t="s">
        <v>2289</v>
      </c>
    </row>
    <row r="3264" spans="2:8" ht="13.5" customHeight="1">
      <c r="B3264" s="57" t="s">
        <v>8742</v>
      </c>
      <c r="D3264" s="57" t="s">
        <v>8743</v>
      </c>
      <c r="F3264" s="57">
        <v>3</v>
      </c>
      <c r="G3264" s="57" t="s">
        <v>5531</v>
      </c>
      <c r="H3264" s="57" t="s">
        <v>2289</v>
      </c>
    </row>
    <row r="3265" spans="2:8" ht="13.5" customHeight="1">
      <c r="B3265" s="57" t="s">
        <v>8748</v>
      </c>
      <c r="D3265" s="57" t="s">
        <v>8749</v>
      </c>
      <c r="F3265" s="57">
        <v>3</v>
      </c>
      <c r="G3265" s="57" t="s">
        <v>5531</v>
      </c>
      <c r="H3265" s="57" t="s">
        <v>2289</v>
      </c>
    </row>
    <row r="3266" spans="2:8" ht="13.5" customHeight="1">
      <c r="B3266" s="150" t="s">
        <v>8870</v>
      </c>
      <c r="D3266" s="150" t="s">
        <v>8870</v>
      </c>
      <c r="E3266" s="142"/>
      <c r="F3266" s="57">
        <v>3</v>
      </c>
      <c r="G3266" s="57" t="s">
        <v>5531</v>
      </c>
      <c r="H3266" s="121" t="s">
        <v>2289</v>
      </c>
    </row>
    <row r="3267" spans="2:8" ht="13.5" customHeight="1">
      <c r="B3267" s="145" t="s">
        <v>8871</v>
      </c>
      <c r="D3267" s="145" t="s">
        <v>8871</v>
      </c>
      <c r="E3267" s="142"/>
      <c r="F3267" s="57">
        <v>3</v>
      </c>
      <c r="G3267" s="57" t="s">
        <v>5531</v>
      </c>
      <c r="H3267" s="121" t="s">
        <v>2289</v>
      </c>
    </row>
    <row r="3268" spans="2:8" ht="13.5" customHeight="1">
      <c r="B3268" s="145" t="s">
        <v>8887</v>
      </c>
      <c r="D3268" s="142" t="s">
        <v>8874</v>
      </c>
      <c r="E3268" s="142"/>
      <c r="F3268" s="57">
        <v>3</v>
      </c>
      <c r="G3268" s="57" t="s">
        <v>5531</v>
      </c>
      <c r="H3268" s="121" t="s">
        <v>2289</v>
      </c>
    </row>
    <row r="3269" spans="2:8" ht="13.5" customHeight="1">
      <c r="B3269" s="145" t="s">
        <v>8891</v>
      </c>
      <c r="D3269" s="142" t="s">
        <v>8878</v>
      </c>
      <c r="E3269" s="142"/>
      <c r="F3269" s="57">
        <v>3</v>
      </c>
      <c r="G3269" s="57" t="s">
        <v>5531</v>
      </c>
      <c r="H3269" s="121" t="s">
        <v>2289</v>
      </c>
    </row>
    <row r="3270" spans="2:8" ht="13.5" customHeight="1">
      <c r="B3270" s="57" t="s">
        <v>8729</v>
      </c>
      <c r="D3270" s="57" t="s">
        <v>8730</v>
      </c>
      <c r="F3270" s="57">
        <v>4</v>
      </c>
      <c r="G3270" s="57" t="s">
        <v>5531</v>
      </c>
      <c r="H3270" s="57" t="s">
        <v>2289</v>
      </c>
    </row>
    <row r="3271" spans="2:8" ht="13.5" customHeight="1">
      <c r="B3271" s="57" t="s">
        <v>8737</v>
      </c>
      <c r="D3271" s="57" t="s">
        <v>8217</v>
      </c>
      <c r="F3271" s="57">
        <v>5</v>
      </c>
      <c r="G3271" s="57" t="s">
        <v>5531</v>
      </c>
      <c r="H3271" s="57" t="s">
        <v>2289</v>
      </c>
    </row>
    <row r="3272" spans="2:8" ht="13.5" customHeight="1">
      <c r="B3272" s="57" t="s">
        <v>8744</v>
      </c>
      <c r="D3272" s="57" t="s">
        <v>8745</v>
      </c>
      <c r="F3272" s="57">
        <v>5</v>
      </c>
      <c r="G3272" s="57" t="s">
        <v>5531</v>
      </c>
      <c r="H3272" s="57" t="s">
        <v>2289</v>
      </c>
    </row>
    <row r="3273" spans="2:8" ht="13.5" customHeight="1">
      <c r="B3273" s="142" t="s">
        <v>8869</v>
      </c>
      <c r="D3273" s="150" t="s">
        <v>8869</v>
      </c>
      <c r="E3273" s="142"/>
      <c r="F3273" s="57">
        <v>5</v>
      </c>
      <c r="G3273" s="57" t="s">
        <v>5531</v>
      </c>
      <c r="H3273" s="121" t="s">
        <v>2289</v>
      </c>
    </row>
    <row r="3274" spans="2:8" ht="13.5" customHeight="1">
      <c r="B3274" s="143" t="s">
        <v>8890</v>
      </c>
      <c r="D3274" s="182" t="s">
        <v>8877</v>
      </c>
      <c r="E3274" s="142"/>
      <c r="F3274" s="57">
        <v>5</v>
      </c>
      <c r="G3274" s="57" t="s">
        <v>5531</v>
      </c>
      <c r="H3274" s="121" t="s">
        <v>2289</v>
      </c>
    </row>
    <row r="3275" spans="2:8" ht="13.5" customHeight="1">
      <c r="B3275" s="57" t="s">
        <v>8725</v>
      </c>
      <c r="D3275" s="57" t="s">
        <v>8726</v>
      </c>
      <c r="F3275" s="57">
        <v>6</v>
      </c>
      <c r="G3275" s="57" t="s">
        <v>5531</v>
      </c>
      <c r="H3275" s="57" t="s">
        <v>2289</v>
      </c>
    </row>
    <row r="3276" spans="2:8" ht="13.5" customHeight="1">
      <c r="B3276" s="142" t="s">
        <v>8873</v>
      </c>
      <c r="D3276" s="142" t="s">
        <v>8873</v>
      </c>
      <c r="E3276" s="142"/>
      <c r="F3276" s="57">
        <v>6</v>
      </c>
      <c r="G3276" s="57" t="s">
        <v>5531</v>
      </c>
      <c r="H3276" s="121" t="s">
        <v>2289</v>
      </c>
    </row>
    <row r="3277" spans="2:8" ht="13.5" customHeight="1">
      <c r="B3277" s="142" t="s">
        <v>8896</v>
      </c>
      <c r="D3277" s="142" t="s">
        <v>8881</v>
      </c>
      <c r="E3277" s="142"/>
      <c r="F3277" s="57">
        <v>6</v>
      </c>
      <c r="G3277" s="57" t="s">
        <v>5531</v>
      </c>
      <c r="H3277" s="121" t="s">
        <v>2289</v>
      </c>
    </row>
    <row r="3278" spans="2:8" ht="13.5" customHeight="1">
      <c r="B3278" s="145" t="s">
        <v>8888</v>
      </c>
      <c r="D3278" s="142" t="s">
        <v>8875</v>
      </c>
      <c r="E3278" s="142"/>
      <c r="F3278" s="57">
        <v>7</v>
      </c>
      <c r="G3278" s="57" t="s">
        <v>5531</v>
      </c>
      <c r="H3278" s="121" t="s">
        <v>2289</v>
      </c>
    </row>
    <row r="3279" spans="2:8" ht="13.5" customHeight="1">
      <c r="B3279" s="57" t="s">
        <v>8723</v>
      </c>
      <c r="D3279" s="57" t="s">
        <v>8724</v>
      </c>
      <c r="F3279" s="57">
        <v>8</v>
      </c>
      <c r="G3279" s="57" t="s">
        <v>5531</v>
      </c>
      <c r="H3279" s="57" t="s">
        <v>2289</v>
      </c>
    </row>
    <row r="3280" spans="2:8" ht="13.5" customHeight="1">
      <c r="B3280" s="57" t="s">
        <v>8746</v>
      </c>
      <c r="D3280" s="57" t="s">
        <v>8747</v>
      </c>
      <c r="F3280" s="57">
        <v>8</v>
      </c>
      <c r="G3280" s="57" t="s">
        <v>5531</v>
      </c>
      <c r="H3280" s="57" t="s">
        <v>2289</v>
      </c>
    </row>
    <row r="3281" spans="2:9" ht="13.5" customHeight="1">
      <c r="B3281" s="142" t="s">
        <v>8868</v>
      </c>
      <c r="D3281" s="142" t="s">
        <v>8868</v>
      </c>
      <c r="E3281" s="142"/>
      <c r="F3281" s="57">
        <v>8</v>
      </c>
      <c r="G3281" s="57" t="s">
        <v>5531</v>
      </c>
      <c r="H3281" s="121" t="s">
        <v>2289</v>
      </c>
    </row>
    <row r="3282" spans="2:9" ht="13.5" customHeight="1">
      <c r="B3282" s="57" t="s">
        <v>8733</v>
      </c>
      <c r="D3282" s="57" t="s">
        <v>8734</v>
      </c>
      <c r="F3282" s="57">
        <v>9</v>
      </c>
      <c r="G3282" s="57" t="s">
        <v>5531</v>
      </c>
      <c r="H3282" s="57" t="s">
        <v>2289</v>
      </c>
    </row>
    <row r="3283" spans="2:9" ht="13.5" customHeight="1">
      <c r="B3283" s="57" t="s">
        <v>8731</v>
      </c>
      <c r="D3283" s="57" t="s">
        <v>8732</v>
      </c>
      <c r="F3283" s="57">
        <v>10</v>
      </c>
      <c r="G3283" s="57" t="s">
        <v>5531</v>
      </c>
      <c r="H3283" s="57" t="s">
        <v>2289</v>
      </c>
    </row>
    <row r="3284" spans="2:9" ht="13.5" customHeight="1">
      <c r="B3284" s="57" t="s">
        <v>8738</v>
      </c>
      <c r="D3284" s="57" t="s">
        <v>8739</v>
      </c>
      <c r="F3284" s="57">
        <v>10</v>
      </c>
      <c r="G3284" s="57" t="s">
        <v>5531</v>
      </c>
      <c r="H3284" s="57" t="s">
        <v>2289</v>
      </c>
    </row>
    <row r="3285" spans="2:9" ht="13.5" customHeight="1">
      <c r="B3285" s="143" t="s">
        <v>8899</v>
      </c>
      <c r="D3285" s="57" t="s">
        <v>4547</v>
      </c>
      <c r="F3285" s="57">
        <v>12</v>
      </c>
      <c r="G3285" s="57" t="s">
        <v>5531</v>
      </c>
      <c r="H3285" s="121" t="s">
        <v>2289</v>
      </c>
    </row>
    <row r="3286" spans="2:9" ht="13.5" customHeight="1">
      <c r="B3286" s="57" t="s">
        <v>8727</v>
      </c>
      <c r="D3286" s="57" t="s">
        <v>8728</v>
      </c>
      <c r="F3286" s="57">
        <v>18</v>
      </c>
      <c r="G3286" s="57" t="s">
        <v>5531</v>
      </c>
      <c r="H3286" s="57" t="s">
        <v>2289</v>
      </c>
    </row>
    <row r="3287" spans="2:9" ht="13.5" customHeight="1">
      <c r="B3287" s="57" t="s">
        <v>8721</v>
      </c>
      <c r="D3287" s="57" t="s">
        <v>8722</v>
      </c>
      <c r="F3287" s="57">
        <v>20</v>
      </c>
      <c r="G3287" s="57" t="s">
        <v>5531</v>
      </c>
      <c r="H3287" s="57" t="s">
        <v>2289</v>
      </c>
    </row>
    <row r="3288" spans="2:9" ht="13.5" customHeight="1">
      <c r="B3288" s="142" t="s">
        <v>8895</v>
      </c>
      <c r="D3288" s="142" t="s">
        <v>8880</v>
      </c>
      <c r="E3288" s="142"/>
      <c r="F3288" s="57">
        <v>22</v>
      </c>
      <c r="G3288" s="57" t="s">
        <v>5531</v>
      </c>
      <c r="H3288" s="121" t="s">
        <v>2289</v>
      </c>
    </row>
    <row r="3289" spans="2:9" ht="13.5" customHeight="1">
      <c r="B3289" s="143" t="s">
        <v>8900</v>
      </c>
      <c r="D3289" s="57" t="s">
        <v>8910</v>
      </c>
      <c r="F3289" s="57">
        <v>22</v>
      </c>
      <c r="G3289" s="57" t="s">
        <v>5531</v>
      </c>
      <c r="H3289" s="121" t="s">
        <v>2289</v>
      </c>
    </row>
    <row r="3290" spans="2:9" ht="13.5" customHeight="1">
      <c r="B3290" s="57" t="s">
        <v>1082</v>
      </c>
      <c r="D3290" s="57" t="s">
        <v>1083</v>
      </c>
      <c r="F3290" s="57">
        <v>31</v>
      </c>
      <c r="G3290" s="57" t="s">
        <v>5531</v>
      </c>
      <c r="H3290" s="57" t="s">
        <v>2289</v>
      </c>
    </row>
    <row r="3291" spans="2:9" ht="13.5" customHeight="1">
      <c r="B3291" s="142" t="s">
        <v>8893</v>
      </c>
      <c r="D3291" s="142" t="s">
        <v>8879</v>
      </c>
      <c r="E3291" s="142"/>
      <c r="F3291" s="57">
        <v>45</v>
      </c>
      <c r="G3291" s="57" t="s">
        <v>5531</v>
      </c>
      <c r="H3291" s="121" t="s">
        <v>2289</v>
      </c>
    </row>
    <row r="3292" spans="2:9" ht="13.5" customHeight="1">
      <c r="B3292" s="143" t="s">
        <v>8902</v>
      </c>
      <c r="D3292" s="57" t="s">
        <v>4953</v>
      </c>
      <c r="F3292" s="57">
        <v>55</v>
      </c>
      <c r="G3292" s="57" t="s">
        <v>5531</v>
      </c>
      <c r="H3292" s="121" t="s">
        <v>2289</v>
      </c>
    </row>
    <row r="3293" spans="2:9" ht="13.5" customHeight="1">
      <c r="B3293" s="142" t="s">
        <v>8898</v>
      </c>
      <c r="D3293" s="142" t="s">
        <v>8883</v>
      </c>
      <c r="E3293" s="142"/>
      <c r="F3293" s="57">
        <v>83</v>
      </c>
      <c r="G3293" s="57" t="s">
        <v>5531</v>
      </c>
      <c r="H3293" s="121" t="s">
        <v>2289</v>
      </c>
    </row>
    <row r="3294" spans="2:9" ht="13.5" customHeight="1">
      <c r="B3294" s="142" t="s">
        <v>8901</v>
      </c>
      <c r="D3294" s="142" t="s">
        <v>2966</v>
      </c>
      <c r="E3294" s="142"/>
      <c r="F3294" s="57">
        <v>248</v>
      </c>
      <c r="G3294" s="57" t="s">
        <v>5531</v>
      </c>
      <c r="H3294" s="121" t="s">
        <v>2289</v>
      </c>
    </row>
    <row r="3295" spans="2:9" ht="13.5" customHeight="1">
      <c r="B3295" s="142" t="s">
        <v>8909</v>
      </c>
      <c r="D3295" s="144" t="s">
        <v>1130</v>
      </c>
      <c r="E3295" s="144"/>
      <c r="F3295" s="57">
        <v>885</v>
      </c>
      <c r="G3295" s="57" t="s">
        <v>5531</v>
      </c>
      <c r="H3295" s="121" t="s">
        <v>2289</v>
      </c>
    </row>
    <row r="3296" spans="2:9" ht="13.5" customHeight="1">
      <c r="D3296" s="57" t="s">
        <v>7900</v>
      </c>
      <c r="F3296" s="57">
        <v>1</v>
      </c>
      <c r="G3296" s="57" t="s">
        <v>7931</v>
      </c>
      <c r="H3296" s="57" t="s">
        <v>7924</v>
      </c>
      <c r="I3296" s="57" t="s">
        <v>7925</v>
      </c>
    </row>
    <row r="3297" spans="2:9" ht="13.5" customHeight="1">
      <c r="D3297" s="57" t="s">
        <v>7901</v>
      </c>
      <c r="F3297" s="57">
        <v>1</v>
      </c>
      <c r="G3297" s="57" t="s">
        <v>7931</v>
      </c>
      <c r="H3297" s="57" t="s">
        <v>7924</v>
      </c>
      <c r="I3297" s="57" t="s">
        <v>7925</v>
      </c>
    </row>
    <row r="3298" spans="2:9" ht="13.5" customHeight="1">
      <c r="D3298" s="57" t="s">
        <v>7904</v>
      </c>
      <c r="F3298" s="57">
        <v>2</v>
      </c>
      <c r="G3298" s="57" t="s">
        <v>7931</v>
      </c>
      <c r="H3298" s="57" t="s">
        <v>7924</v>
      </c>
      <c r="I3298" s="57" t="s">
        <v>7927</v>
      </c>
    </row>
    <row r="3299" spans="2:9" ht="13.5" customHeight="1">
      <c r="B3299" s="57" t="s">
        <v>7907</v>
      </c>
      <c r="D3299" s="57" t="s">
        <v>7908</v>
      </c>
      <c r="F3299" s="57">
        <v>12</v>
      </c>
      <c r="G3299" s="57" t="s">
        <v>7931</v>
      </c>
      <c r="H3299" s="57" t="s">
        <v>7924</v>
      </c>
      <c r="I3299" s="57" t="s">
        <v>5597</v>
      </c>
    </row>
    <row r="3300" spans="2:9" ht="13.5" customHeight="1">
      <c r="B3300" s="57" t="s">
        <v>7899</v>
      </c>
      <c r="D3300" s="57" t="s">
        <v>7899</v>
      </c>
      <c r="F3300" s="57">
        <v>32</v>
      </c>
      <c r="G3300" s="57" t="s">
        <v>7931</v>
      </c>
      <c r="H3300" s="57" t="s">
        <v>7924</v>
      </c>
    </row>
    <row r="3301" spans="2:9" ht="13.5" customHeight="1">
      <c r="B3301" s="57" t="s">
        <v>7902</v>
      </c>
      <c r="D3301" s="57" t="s">
        <v>7903</v>
      </c>
      <c r="F3301" s="57">
        <v>2000</v>
      </c>
      <c r="G3301" s="57" t="s">
        <v>7931</v>
      </c>
      <c r="H3301" s="57" t="s">
        <v>7924</v>
      </c>
      <c r="I3301" s="57" t="s">
        <v>7926</v>
      </c>
    </row>
    <row r="3302" spans="2:9" ht="13.5" customHeight="1">
      <c r="B3302" s="168" t="s">
        <v>8706</v>
      </c>
      <c r="C3302" s="168" t="s">
        <v>8707</v>
      </c>
      <c r="D3302" s="168" t="s">
        <v>8708</v>
      </c>
      <c r="F3302" s="57">
        <v>1</v>
      </c>
      <c r="G3302" s="57" t="s">
        <v>7931</v>
      </c>
      <c r="H3302" s="57" t="s">
        <v>8013</v>
      </c>
    </row>
    <row r="3303" spans="2:9" ht="13.5" customHeight="1">
      <c r="B3303" s="57" t="s">
        <v>7915</v>
      </c>
      <c r="D3303" s="57" t="s">
        <v>7916</v>
      </c>
      <c r="F3303" s="57">
        <v>3</v>
      </c>
      <c r="G3303" s="57" t="s">
        <v>7931</v>
      </c>
      <c r="H3303" s="57" t="s">
        <v>8013</v>
      </c>
    </row>
    <row r="3304" spans="2:9" ht="13.5" customHeight="1">
      <c r="B3304" s="57" t="s">
        <v>7909</v>
      </c>
      <c r="D3304" s="57" t="s">
        <v>7910</v>
      </c>
      <c r="F3304" s="57">
        <v>5</v>
      </c>
      <c r="G3304" s="57" t="s">
        <v>7931</v>
      </c>
      <c r="H3304" s="57" t="s">
        <v>8013</v>
      </c>
    </row>
    <row r="3305" spans="2:9" ht="13.5" customHeight="1">
      <c r="B3305" s="57" t="s">
        <v>7921</v>
      </c>
      <c r="D3305" s="57" t="s">
        <v>7922</v>
      </c>
      <c r="F3305" s="57">
        <v>5</v>
      </c>
      <c r="G3305" s="57" t="s">
        <v>7931</v>
      </c>
      <c r="H3305" s="57" t="s">
        <v>8013</v>
      </c>
    </row>
    <row r="3306" spans="2:9" ht="13.5" customHeight="1">
      <c r="B3306" s="157" t="s">
        <v>8701</v>
      </c>
      <c r="C3306" s="178" t="s">
        <v>8702</v>
      </c>
      <c r="D3306" s="157" t="s">
        <v>8703</v>
      </c>
      <c r="F3306" s="57">
        <v>8</v>
      </c>
      <c r="G3306" s="57" t="s">
        <v>7931</v>
      </c>
      <c r="H3306" s="57" t="s">
        <v>8013</v>
      </c>
    </row>
    <row r="3307" spans="2:9" ht="13.5" customHeight="1">
      <c r="B3307" s="57" t="s">
        <v>7905</v>
      </c>
      <c r="D3307" s="57" t="s">
        <v>7906</v>
      </c>
      <c r="F3307" s="57">
        <v>15</v>
      </c>
      <c r="G3307" s="57" t="s">
        <v>7931</v>
      </c>
      <c r="H3307" s="57" t="s">
        <v>8013</v>
      </c>
      <c r="I3307" s="57" t="s">
        <v>7929</v>
      </c>
    </row>
    <row r="3308" spans="2:9" ht="13.5" customHeight="1">
      <c r="B3308" s="57" t="s">
        <v>7919</v>
      </c>
      <c r="D3308" s="57" t="s">
        <v>7920</v>
      </c>
      <c r="F3308" s="57">
        <v>18</v>
      </c>
      <c r="G3308" s="57" t="s">
        <v>7931</v>
      </c>
      <c r="H3308" s="57" t="s">
        <v>8013</v>
      </c>
    </row>
    <row r="3309" spans="2:9" ht="13.5" customHeight="1">
      <c r="B3309" s="140" t="s">
        <v>8704</v>
      </c>
      <c r="C3309" s="64" t="s">
        <v>8705</v>
      </c>
      <c r="D3309" s="64">
        <v>45274400032</v>
      </c>
      <c r="F3309" s="57">
        <v>20</v>
      </c>
      <c r="G3309" s="57" t="s">
        <v>7931</v>
      </c>
      <c r="H3309" s="57" t="s">
        <v>8013</v>
      </c>
      <c r="I3309" s="120" t="s">
        <v>8709</v>
      </c>
    </row>
    <row r="3310" spans="2:9" ht="13.5" customHeight="1">
      <c r="D3310" s="57">
        <v>34120117.219999999</v>
      </c>
      <c r="F3310" s="57">
        <v>30</v>
      </c>
      <c r="G3310" s="57" t="s">
        <v>7931</v>
      </c>
      <c r="H3310" s="57" t="s">
        <v>8013</v>
      </c>
      <c r="I3310" s="57" t="s">
        <v>7928</v>
      </c>
    </row>
    <row r="3311" spans="2:9" ht="13.5" customHeight="1">
      <c r="B3311" s="57" t="s">
        <v>7917</v>
      </c>
      <c r="D3311" s="57" t="s">
        <v>7918</v>
      </c>
      <c r="F3311" s="57">
        <v>30</v>
      </c>
      <c r="G3311" s="57" t="s">
        <v>7931</v>
      </c>
      <c r="H3311" s="57" t="s">
        <v>8013</v>
      </c>
    </row>
    <row r="3312" spans="2:9" ht="13.5" customHeight="1">
      <c r="D3312" s="57" t="s">
        <v>7923</v>
      </c>
      <c r="F3312" s="57">
        <v>30</v>
      </c>
      <c r="G3312" s="57" t="s">
        <v>7931</v>
      </c>
      <c r="H3312" s="57" t="s">
        <v>8013</v>
      </c>
      <c r="I3312" s="57" t="s">
        <v>8012</v>
      </c>
    </row>
    <row r="3313" spans="2:9" ht="13.5" customHeight="1">
      <c r="B3313" s="57" t="s">
        <v>7913</v>
      </c>
      <c r="D3313" s="57" t="s">
        <v>7914</v>
      </c>
      <c r="F3313" s="57">
        <v>400</v>
      </c>
      <c r="G3313" s="57" t="s">
        <v>7931</v>
      </c>
      <c r="H3313" s="57" t="s">
        <v>8013</v>
      </c>
    </row>
    <row r="3314" spans="2:9" ht="13.5" customHeight="1">
      <c r="B3314" s="57" t="s">
        <v>7911</v>
      </c>
      <c r="D3314" s="57" t="s">
        <v>7912</v>
      </c>
      <c r="F3314" s="57">
        <v>500</v>
      </c>
      <c r="G3314" s="57" t="s">
        <v>7931</v>
      </c>
      <c r="H3314" s="57" t="s">
        <v>8013</v>
      </c>
    </row>
    <row r="3315" spans="2:9" ht="13.5" customHeight="1">
      <c r="B3315" s="97" t="s">
        <v>8927</v>
      </c>
      <c r="C3315" s="177" t="s">
        <v>8928</v>
      </c>
      <c r="D3315" s="97" t="s">
        <v>8929</v>
      </c>
      <c r="F3315" s="57">
        <v>4</v>
      </c>
      <c r="G3315" s="57" t="s">
        <v>7931</v>
      </c>
      <c r="H3315" s="57" t="s">
        <v>8938</v>
      </c>
      <c r="I3315" s="57" t="s">
        <v>8930</v>
      </c>
    </row>
    <row r="3316" spans="2:9" ht="13.5" customHeight="1">
      <c r="B3316" s="155" t="s">
        <v>8941</v>
      </c>
      <c r="C3316" s="176" t="s">
        <v>8936</v>
      </c>
      <c r="D3316" s="155" t="s">
        <v>8942</v>
      </c>
      <c r="F3316" s="76">
        <v>5</v>
      </c>
      <c r="G3316" s="57" t="s">
        <v>7931</v>
      </c>
      <c r="H3316" s="57" t="s">
        <v>8938</v>
      </c>
    </row>
    <row r="3317" spans="2:9" ht="13.5" customHeight="1">
      <c r="B3317" s="97" t="s">
        <v>8931</v>
      </c>
      <c r="C3317" s="177" t="s">
        <v>8932</v>
      </c>
      <c r="D3317" s="185" t="s">
        <v>8933</v>
      </c>
      <c r="F3317" s="57">
        <v>6</v>
      </c>
      <c r="G3317" s="57" t="s">
        <v>7931</v>
      </c>
      <c r="H3317" s="57" t="s">
        <v>8938</v>
      </c>
      <c r="I3317" s="57" t="s">
        <v>8934</v>
      </c>
    </row>
    <row r="3318" spans="2:9" ht="13.5" customHeight="1">
      <c r="B3318" s="153" t="s">
        <v>8935</v>
      </c>
      <c r="C3318" s="176" t="s">
        <v>8936</v>
      </c>
      <c r="D3318" s="153" t="s">
        <v>8937</v>
      </c>
      <c r="F3318" s="57">
        <v>12</v>
      </c>
      <c r="G3318" s="57" t="s">
        <v>7931</v>
      </c>
      <c r="H3318" s="57" t="s">
        <v>8938</v>
      </c>
      <c r="I3318" s="57" t="s">
        <v>8930</v>
      </c>
    </row>
    <row r="3319" spans="2:9" ht="13.5" customHeight="1">
      <c r="B3319" s="57" t="s">
        <v>466</v>
      </c>
      <c r="D3319" s="57" t="s">
        <v>7416</v>
      </c>
      <c r="F3319" s="57">
        <v>3</v>
      </c>
      <c r="G3319" s="57" t="s">
        <v>7552</v>
      </c>
      <c r="H3319" s="57" t="s">
        <v>1116</v>
      </c>
      <c r="I3319" s="57" t="s">
        <v>7548</v>
      </c>
    </row>
    <row r="3320" spans="2:9" ht="13.5" customHeight="1">
      <c r="B3320" s="57" t="s">
        <v>7414</v>
      </c>
      <c r="D3320" s="57" t="s">
        <v>7415</v>
      </c>
      <c r="F3320" s="57">
        <v>10</v>
      </c>
      <c r="G3320" s="57" t="s">
        <v>7552</v>
      </c>
      <c r="H3320" s="57" t="s">
        <v>1116</v>
      </c>
      <c r="I3320" s="57" t="s">
        <v>7548</v>
      </c>
    </row>
    <row r="3321" spans="2:9" ht="13.5" customHeight="1">
      <c r="B3321" s="57" t="s">
        <v>7412</v>
      </c>
      <c r="D3321" s="57" t="s">
        <v>7413</v>
      </c>
      <c r="F3321" s="57">
        <v>20</v>
      </c>
      <c r="G3321" s="57" t="s">
        <v>7552</v>
      </c>
      <c r="H3321" s="57" t="s">
        <v>1116</v>
      </c>
      <c r="I3321" s="57" t="s">
        <v>7548</v>
      </c>
    </row>
    <row r="3322" spans="2:9" ht="13.5" customHeight="1">
      <c r="B3322" s="57" t="s">
        <v>7419</v>
      </c>
      <c r="D3322" s="57" t="s">
        <v>7420</v>
      </c>
      <c r="F3322" s="57">
        <v>200</v>
      </c>
      <c r="G3322" s="57" t="s">
        <v>7552</v>
      </c>
      <c r="H3322" s="57" t="s">
        <v>1116</v>
      </c>
      <c r="I3322" s="57" t="s">
        <v>7548</v>
      </c>
    </row>
    <row r="3323" spans="2:9" ht="13.5" customHeight="1">
      <c r="B3323" s="57" t="s">
        <v>7254</v>
      </c>
      <c r="D3323" s="57" t="s">
        <v>7255</v>
      </c>
      <c r="F3323" s="57">
        <v>210</v>
      </c>
      <c r="G3323" s="57" t="s">
        <v>7552</v>
      </c>
      <c r="H3323" s="57" t="s">
        <v>1116</v>
      </c>
    </row>
    <row r="3324" spans="2:9" ht="13.5" customHeight="1">
      <c r="B3324" s="57" t="s">
        <v>4842</v>
      </c>
      <c r="D3324" s="57" t="s">
        <v>7479</v>
      </c>
      <c r="F3324" s="57">
        <v>432</v>
      </c>
      <c r="G3324" s="57" t="s">
        <v>7552</v>
      </c>
      <c r="H3324" s="57" t="s">
        <v>1116</v>
      </c>
    </row>
    <row r="3325" spans="2:9" ht="13.5" customHeight="1">
      <c r="B3325" s="57" t="s">
        <v>7402</v>
      </c>
      <c r="D3325" s="57" t="s">
        <v>1361</v>
      </c>
      <c r="F3325" s="57">
        <v>1085</v>
      </c>
      <c r="G3325" s="57" t="s">
        <v>7552</v>
      </c>
      <c r="H3325" s="57" t="s">
        <v>1116</v>
      </c>
      <c r="I3325" s="57" t="s">
        <v>7548</v>
      </c>
    </row>
    <row r="3326" spans="2:9" ht="13.5" customHeight="1">
      <c r="B3326" s="57" t="s">
        <v>1469</v>
      </c>
      <c r="D3326" s="57" t="s">
        <v>7377</v>
      </c>
      <c r="F3326" s="57">
        <v>1132</v>
      </c>
      <c r="G3326" s="57" t="s">
        <v>7552</v>
      </c>
      <c r="H3326" s="57" t="s">
        <v>1116</v>
      </c>
    </row>
    <row r="3327" spans="2:9" ht="13.5" customHeight="1">
      <c r="B3327" s="57" t="s">
        <v>376</v>
      </c>
      <c r="D3327" s="57" t="s">
        <v>7478</v>
      </c>
      <c r="F3327" s="57">
        <v>1280</v>
      </c>
      <c r="G3327" s="57" t="s">
        <v>7552</v>
      </c>
      <c r="H3327" s="57" t="s">
        <v>1116</v>
      </c>
    </row>
    <row r="3328" spans="2:9" ht="13.5" customHeight="1">
      <c r="B3328" s="57" t="s">
        <v>3590</v>
      </c>
      <c r="D3328" s="57" t="s">
        <v>5285</v>
      </c>
      <c r="F3328" s="57">
        <v>1326</v>
      </c>
      <c r="G3328" s="57" t="s">
        <v>7552</v>
      </c>
      <c r="H3328" s="57" t="s">
        <v>1116</v>
      </c>
    </row>
    <row r="3329" spans="2:9" ht="13.5" customHeight="1">
      <c r="B3329" s="57" t="s">
        <v>7239</v>
      </c>
      <c r="D3329" s="57" t="s">
        <v>3774</v>
      </c>
      <c r="F3329" s="57">
        <v>1345</v>
      </c>
      <c r="G3329" s="57" t="s">
        <v>7552</v>
      </c>
      <c r="H3329" s="57" t="s">
        <v>1116</v>
      </c>
    </row>
    <row r="3330" spans="2:9" ht="13.5" customHeight="1">
      <c r="B3330" s="57" t="s">
        <v>6643</v>
      </c>
      <c r="D3330" s="57" t="s">
        <v>6644</v>
      </c>
      <c r="F3330" s="57">
        <v>1837</v>
      </c>
      <c r="G3330" s="57" t="s">
        <v>7552</v>
      </c>
      <c r="H3330" s="57" t="s">
        <v>1116</v>
      </c>
    </row>
    <row r="3331" spans="2:9" ht="13.5" customHeight="1">
      <c r="B3331" s="57" t="s">
        <v>6641</v>
      </c>
      <c r="D3331" s="57" t="s">
        <v>6642</v>
      </c>
      <c r="F3331" s="57">
        <v>1891</v>
      </c>
      <c r="G3331" s="57" t="s">
        <v>7552</v>
      </c>
      <c r="H3331" s="57" t="s">
        <v>1116</v>
      </c>
    </row>
    <row r="3332" spans="2:9" ht="13.5" customHeight="1">
      <c r="B3332" s="57" t="s">
        <v>7481</v>
      </c>
      <c r="D3332" s="57" t="s">
        <v>2051</v>
      </c>
      <c r="F3332" s="57">
        <v>2497</v>
      </c>
      <c r="G3332" s="57" t="s">
        <v>7552</v>
      </c>
      <c r="H3332" s="57" t="s">
        <v>1116</v>
      </c>
    </row>
    <row r="3333" spans="2:9" ht="13.5" customHeight="1">
      <c r="B3333" s="57" t="s">
        <v>5221</v>
      </c>
      <c r="D3333" s="57" t="s">
        <v>6877</v>
      </c>
      <c r="F3333" s="57">
        <v>2611</v>
      </c>
      <c r="G3333" s="57" t="s">
        <v>7552</v>
      </c>
      <c r="H3333" s="57" t="s">
        <v>1116</v>
      </c>
    </row>
    <row r="3334" spans="2:9" ht="13.5" customHeight="1">
      <c r="B3334" s="57" t="s">
        <v>7408</v>
      </c>
      <c r="D3334" s="57" t="s">
        <v>7409</v>
      </c>
      <c r="F3334" s="57">
        <v>2958</v>
      </c>
      <c r="G3334" s="57" t="s">
        <v>7552</v>
      </c>
      <c r="H3334" s="57" t="s">
        <v>1116</v>
      </c>
      <c r="I3334" s="57" t="s">
        <v>7548</v>
      </c>
    </row>
    <row r="3335" spans="2:9" ht="13.5" customHeight="1">
      <c r="B3335" s="57" t="s">
        <v>6762</v>
      </c>
      <c r="D3335" s="57" t="s">
        <v>6763</v>
      </c>
      <c r="F3335" s="57">
        <v>2986</v>
      </c>
      <c r="G3335" s="57" t="s">
        <v>7552</v>
      </c>
      <c r="H3335" s="57" t="s">
        <v>1116</v>
      </c>
    </row>
    <row r="3336" spans="2:9" ht="13.5" customHeight="1">
      <c r="B3336" s="57" t="s">
        <v>4122</v>
      </c>
      <c r="D3336" s="57" t="s">
        <v>5532</v>
      </c>
      <c r="F3336" s="57">
        <v>3512</v>
      </c>
      <c r="G3336" s="57" t="s">
        <v>7552</v>
      </c>
      <c r="H3336" s="57" t="s">
        <v>1116</v>
      </c>
    </row>
    <row r="3337" spans="2:9" ht="13.5" customHeight="1">
      <c r="B3337" s="57" t="s">
        <v>7482</v>
      </c>
      <c r="D3337" s="57" t="s">
        <v>7483</v>
      </c>
      <c r="F3337" s="57">
        <v>3727</v>
      </c>
      <c r="G3337" s="57" t="s">
        <v>7552</v>
      </c>
      <c r="H3337" s="57" t="s">
        <v>1116</v>
      </c>
    </row>
    <row r="3338" spans="2:9" ht="13.5" customHeight="1">
      <c r="B3338" s="57" t="s">
        <v>6631</v>
      </c>
      <c r="D3338" s="57" t="s">
        <v>6632</v>
      </c>
      <c r="F3338" s="57">
        <v>3770</v>
      </c>
      <c r="G3338" s="57" t="s">
        <v>7552</v>
      </c>
      <c r="H3338" s="57" t="s">
        <v>1116</v>
      </c>
    </row>
    <row r="3339" spans="2:9" ht="13.5" customHeight="1">
      <c r="B3339" s="57" t="s">
        <v>6878</v>
      </c>
      <c r="D3339" s="57" t="s">
        <v>6879</v>
      </c>
      <c r="F3339" s="57">
        <v>3907</v>
      </c>
      <c r="G3339" s="57" t="s">
        <v>7552</v>
      </c>
      <c r="H3339" s="57" t="s">
        <v>1116</v>
      </c>
    </row>
    <row r="3340" spans="2:9" ht="13.5" customHeight="1">
      <c r="B3340" s="57" t="s">
        <v>3218</v>
      </c>
      <c r="D3340" s="57" t="s">
        <v>3219</v>
      </c>
      <c r="F3340" s="57">
        <v>3960</v>
      </c>
      <c r="G3340" s="57" t="s">
        <v>7552</v>
      </c>
      <c r="H3340" s="57" t="s">
        <v>1116</v>
      </c>
      <c r="I3340" s="57" t="s">
        <v>7548</v>
      </c>
    </row>
    <row r="3341" spans="2:9" ht="13.5" customHeight="1">
      <c r="B3341" s="57" t="s">
        <v>7405</v>
      </c>
      <c r="D3341" s="57" t="s">
        <v>1882</v>
      </c>
      <c r="F3341" s="57">
        <v>3961</v>
      </c>
      <c r="G3341" s="57" t="s">
        <v>7552</v>
      </c>
      <c r="H3341" s="57" t="s">
        <v>1116</v>
      </c>
      <c r="I3341" s="57" t="s">
        <v>7548</v>
      </c>
    </row>
    <row r="3342" spans="2:9" ht="13.5" customHeight="1">
      <c r="B3342" s="57" t="s">
        <v>6629</v>
      </c>
      <c r="D3342" s="57" t="s">
        <v>6630</v>
      </c>
      <c r="F3342" s="57">
        <v>3975</v>
      </c>
      <c r="G3342" s="57" t="s">
        <v>7552</v>
      </c>
      <c r="H3342" s="57" t="s">
        <v>1116</v>
      </c>
    </row>
    <row r="3343" spans="2:9" ht="13.5" customHeight="1">
      <c r="B3343" s="57" t="s">
        <v>683</v>
      </c>
      <c r="D3343" s="57" t="s">
        <v>4049</v>
      </c>
      <c r="F3343" s="57">
        <v>4450</v>
      </c>
      <c r="G3343" s="57" t="s">
        <v>7552</v>
      </c>
      <c r="H3343" s="57" t="s">
        <v>1116</v>
      </c>
    </row>
    <row r="3344" spans="2:9" ht="13.5" customHeight="1">
      <c r="B3344" s="57" t="s">
        <v>6874</v>
      </c>
      <c r="D3344" s="57" t="s">
        <v>6875</v>
      </c>
      <c r="F3344" s="57">
        <v>4579</v>
      </c>
      <c r="G3344" s="57" t="s">
        <v>7552</v>
      </c>
      <c r="H3344" s="57" t="s">
        <v>1116</v>
      </c>
    </row>
    <row r="3345" spans="2:9" ht="13.5" customHeight="1">
      <c r="B3345" s="57" t="s">
        <v>5540</v>
      </c>
      <c r="D3345" s="57" t="s">
        <v>5541</v>
      </c>
      <c r="F3345" s="57">
        <v>4715</v>
      </c>
      <c r="G3345" s="57" t="s">
        <v>7552</v>
      </c>
      <c r="H3345" s="57" t="s">
        <v>1116</v>
      </c>
    </row>
    <row r="3346" spans="2:9" ht="13.5" customHeight="1">
      <c r="B3346" s="57" t="s">
        <v>6872</v>
      </c>
      <c r="D3346" s="57" t="s">
        <v>6873</v>
      </c>
      <c r="F3346" s="57">
        <v>4925</v>
      </c>
      <c r="G3346" s="57" t="s">
        <v>7552</v>
      </c>
      <c r="H3346" s="57" t="s">
        <v>1116</v>
      </c>
    </row>
    <row r="3347" spans="2:9" ht="13.5" customHeight="1">
      <c r="B3347" s="57" t="s">
        <v>6639</v>
      </c>
      <c r="D3347" s="57" t="s">
        <v>6640</v>
      </c>
      <c r="F3347" s="57">
        <v>4976</v>
      </c>
      <c r="G3347" s="57" t="s">
        <v>7552</v>
      </c>
      <c r="H3347" s="57" t="s">
        <v>1116</v>
      </c>
    </row>
    <row r="3348" spans="2:9" ht="13.5" customHeight="1">
      <c r="B3348" s="57" t="s">
        <v>6647</v>
      </c>
      <c r="D3348" s="57" t="s">
        <v>6648</v>
      </c>
      <c r="F3348" s="57">
        <v>4976</v>
      </c>
      <c r="G3348" s="57" t="s">
        <v>7552</v>
      </c>
      <c r="H3348" s="57" t="s">
        <v>1116</v>
      </c>
    </row>
    <row r="3349" spans="2:9" ht="13.5" customHeight="1">
      <c r="B3349" s="57" t="s">
        <v>6727</v>
      </c>
      <c r="D3349" s="57" t="s">
        <v>6728</v>
      </c>
      <c r="F3349" s="57">
        <v>5082</v>
      </c>
      <c r="G3349" s="57" t="s">
        <v>7552</v>
      </c>
      <c r="H3349" s="57" t="s">
        <v>1116</v>
      </c>
    </row>
    <row r="3350" spans="2:9" ht="13.5" customHeight="1">
      <c r="B3350" s="57" t="s">
        <v>7376</v>
      </c>
      <c r="D3350" s="57" t="s">
        <v>7377</v>
      </c>
      <c r="F3350" s="57">
        <v>8475</v>
      </c>
      <c r="G3350" s="57" t="s">
        <v>7552</v>
      </c>
      <c r="H3350" s="57" t="s">
        <v>1116</v>
      </c>
    </row>
    <row r="3351" spans="2:9" ht="13.5" customHeight="1">
      <c r="B3351" s="57" t="s">
        <v>7401</v>
      </c>
      <c r="D3351" s="57" t="s">
        <v>5021</v>
      </c>
      <c r="F3351" s="57">
        <v>9317</v>
      </c>
      <c r="G3351" s="57" t="s">
        <v>7552</v>
      </c>
      <c r="H3351" s="57" t="s">
        <v>1116</v>
      </c>
      <c r="I3351" s="57" t="s">
        <v>7548</v>
      </c>
    </row>
    <row r="3352" spans="2:9" ht="13.5" customHeight="1">
      <c r="B3352" s="57" t="s">
        <v>7385</v>
      </c>
      <c r="D3352" s="57" t="s">
        <v>7386</v>
      </c>
      <c r="F3352" s="57">
        <v>9426</v>
      </c>
      <c r="G3352" s="57" t="s">
        <v>7552</v>
      </c>
      <c r="H3352" s="57" t="s">
        <v>1116</v>
      </c>
      <c r="I3352" s="57" t="s">
        <v>7548</v>
      </c>
    </row>
    <row r="3353" spans="2:9" ht="13.5" customHeight="1">
      <c r="B3353" s="57" t="s">
        <v>4271</v>
      </c>
      <c r="D3353" s="57" t="s">
        <v>7392</v>
      </c>
      <c r="F3353" s="57">
        <v>9659</v>
      </c>
      <c r="G3353" s="57" t="s">
        <v>7552</v>
      </c>
      <c r="H3353" s="57" t="s">
        <v>1116</v>
      </c>
      <c r="I3353" s="57" t="s">
        <v>7548</v>
      </c>
    </row>
    <row r="3354" spans="2:9" ht="13.5" customHeight="1">
      <c r="B3354" s="57" t="s">
        <v>5835</v>
      </c>
      <c r="D3354" s="57" t="s">
        <v>7393</v>
      </c>
      <c r="F3354" s="57">
        <v>9776</v>
      </c>
      <c r="G3354" s="57" t="s">
        <v>7552</v>
      </c>
      <c r="H3354" s="57" t="s">
        <v>1116</v>
      </c>
      <c r="I3354" s="57" t="s">
        <v>7548</v>
      </c>
    </row>
    <row r="3355" spans="2:9" ht="13.5" customHeight="1">
      <c r="B3355" s="57" t="s">
        <v>7399</v>
      </c>
      <c r="D3355" s="57" t="s">
        <v>7400</v>
      </c>
      <c r="F3355" s="57">
        <v>9812</v>
      </c>
      <c r="G3355" s="57" t="s">
        <v>7552</v>
      </c>
      <c r="H3355" s="57" t="s">
        <v>1116</v>
      </c>
      <c r="I3355" s="57" t="s">
        <v>7548</v>
      </c>
    </row>
    <row r="3356" spans="2:9" ht="13.5" customHeight="1">
      <c r="B3356" s="57" t="s">
        <v>277</v>
      </c>
      <c r="D3356" s="57" t="s">
        <v>5836</v>
      </c>
      <c r="F3356" s="57">
        <v>9855</v>
      </c>
      <c r="G3356" s="57" t="s">
        <v>7552</v>
      </c>
      <c r="H3356" s="57" t="s">
        <v>1116</v>
      </c>
      <c r="I3356" s="57" t="s">
        <v>7548</v>
      </c>
    </row>
    <row r="3357" spans="2:9" ht="13.5" customHeight="1">
      <c r="B3357" s="57" t="s">
        <v>7394</v>
      </c>
      <c r="D3357" s="57" t="s">
        <v>7395</v>
      </c>
      <c r="F3357" s="57">
        <v>9863</v>
      </c>
      <c r="G3357" s="57" t="s">
        <v>7552</v>
      </c>
      <c r="H3357" s="57" t="s">
        <v>1116</v>
      </c>
      <c r="I3357" s="57" t="s">
        <v>7548</v>
      </c>
    </row>
    <row r="3358" spans="2:9" ht="13.5" customHeight="1">
      <c r="B3358" s="57" t="s">
        <v>7390</v>
      </c>
      <c r="D3358" s="57" t="s">
        <v>7391</v>
      </c>
      <c r="F3358" s="57">
        <v>9903</v>
      </c>
      <c r="G3358" s="57" t="s">
        <v>7552</v>
      </c>
      <c r="H3358" s="57" t="s">
        <v>1116</v>
      </c>
      <c r="I3358" s="57" t="s">
        <v>7548</v>
      </c>
    </row>
    <row r="3359" spans="2:9" ht="13.5" customHeight="1">
      <c r="B3359" s="57" t="s">
        <v>7397</v>
      </c>
      <c r="D3359" s="57" t="s">
        <v>7398</v>
      </c>
      <c r="F3359" s="57">
        <v>9934</v>
      </c>
      <c r="G3359" s="57" t="s">
        <v>7552</v>
      </c>
      <c r="H3359" s="57" t="s">
        <v>1116</v>
      </c>
      <c r="I3359" s="57" t="s">
        <v>7548</v>
      </c>
    </row>
    <row r="3360" spans="2:9" ht="13.5" customHeight="1">
      <c r="B3360" s="57" t="s">
        <v>7406</v>
      </c>
      <c r="D3360" s="57" t="s">
        <v>7407</v>
      </c>
      <c r="F3360" s="57">
        <v>9945</v>
      </c>
      <c r="G3360" s="57" t="s">
        <v>7552</v>
      </c>
      <c r="H3360" s="57" t="s">
        <v>1116</v>
      </c>
      <c r="I3360" s="57" t="s">
        <v>7548</v>
      </c>
    </row>
    <row r="3361" spans="2:9" ht="13.5" customHeight="1">
      <c r="B3361" s="57" t="s">
        <v>7388</v>
      </c>
      <c r="D3361" s="57" t="s">
        <v>7389</v>
      </c>
      <c r="F3361" s="57">
        <v>9956</v>
      </c>
      <c r="G3361" s="57" t="s">
        <v>7552</v>
      </c>
      <c r="H3361" s="57" t="s">
        <v>1116</v>
      </c>
      <c r="I3361" s="57" t="s">
        <v>7548</v>
      </c>
    </row>
    <row r="3362" spans="2:9" ht="13.5" customHeight="1">
      <c r="B3362" s="57" t="s">
        <v>7403</v>
      </c>
      <c r="D3362" s="57" t="s">
        <v>7404</v>
      </c>
      <c r="F3362" s="57">
        <v>9964</v>
      </c>
      <c r="G3362" s="57" t="s">
        <v>7552</v>
      </c>
      <c r="H3362" s="57" t="s">
        <v>1116</v>
      </c>
      <c r="I3362" s="57" t="s">
        <v>7548</v>
      </c>
    </row>
    <row r="3363" spans="2:9" ht="13.5" customHeight="1">
      <c r="B3363" s="57" t="s">
        <v>6169</v>
      </c>
      <c r="D3363" s="57" t="s">
        <v>7387</v>
      </c>
      <c r="F3363" s="57">
        <v>9966</v>
      </c>
      <c r="G3363" s="57" t="s">
        <v>7552</v>
      </c>
      <c r="H3363" s="57" t="s">
        <v>1116</v>
      </c>
      <c r="I3363" s="57" t="s">
        <v>7548</v>
      </c>
    </row>
    <row r="3364" spans="2:9" ht="13.5" customHeight="1">
      <c r="B3364" s="57" t="s">
        <v>7417</v>
      </c>
      <c r="D3364" s="57" t="s">
        <v>7418</v>
      </c>
      <c r="F3364" s="57">
        <v>9976</v>
      </c>
      <c r="G3364" s="57" t="s">
        <v>7552</v>
      </c>
      <c r="H3364" s="57" t="s">
        <v>1116</v>
      </c>
      <c r="I3364" s="57" t="s">
        <v>7548</v>
      </c>
    </row>
    <row r="3365" spans="2:9" ht="13.5" customHeight="1">
      <c r="B3365" s="57" t="s">
        <v>7410</v>
      </c>
      <c r="D3365" s="57" t="s">
        <v>7411</v>
      </c>
      <c r="F3365" s="57">
        <v>9979</v>
      </c>
      <c r="G3365" s="57" t="s">
        <v>7552</v>
      </c>
      <c r="H3365" s="57" t="s">
        <v>1116</v>
      </c>
      <c r="I3365" s="57" t="s">
        <v>7548</v>
      </c>
    </row>
    <row r="3366" spans="2:9" ht="13.5" customHeight="1">
      <c r="B3366" s="57" t="s">
        <v>7396</v>
      </c>
      <c r="D3366" s="57" t="s">
        <v>4544</v>
      </c>
      <c r="F3366" s="57">
        <v>9999</v>
      </c>
      <c r="G3366" s="57" t="s">
        <v>7552</v>
      </c>
      <c r="H3366" s="57" t="s">
        <v>1116</v>
      </c>
      <c r="I3366" s="57" t="s">
        <v>7548</v>
      </c>
    </row>
    <row r="3367" spans="2:9" ht="13.5" customHeight="1">
      <c r="B3367" s="57" t="s">
        <v>7323</v>
      </c>
      <c r="D3367" s="57" t="s">
        <v>7324</v>
      </c>
      <c r="F3367" s="57">
        <v>3</v>
      </c>
      <c r="G3367" s="57" t="s">
        <v>7552</v>
      </c>
      <c r="H3367" s="57" t="s">
        <v>343</v>
      </c>
      <c r="I3367" s="57" t="s">
        <v>7547</v>
      </c>
    </row>
    <row r="3368" spans="2:9" ht="13.5" customHeight="1">
      <c r="B3368" s="57" t="s">
        <v>7325</v>
      </c>
      <c r="D3368" s="57" t="s">
        <v>7326</v>
      </c>
      <c r="F3368" s="57">
        <v>3</v>
      </c>
      <c r="G3368" s="57" t="s">
        <v>7552</v>
      </c>
      <c r="H3368" s="57" t="s">
        <v>343</v>
      </c>
      <c r="I3368" s="57" t="s">
        <v>7547</v>
      </c>
    </row>
    <row r="3369" spans="2:9" ht="13.5" customHeight="1">
      <c r="B3369" s="57" t="s">
        <v>7315</v>
      </c>
      <c r="D3369" s="57" t="s">
        <v>7316</v>
      </c>
      <c r="F3369" s="57">
        <v>3</v>
      </c>
      <c r="G3369" s="57" t="s">
        <v>7552</v>
      </c>
      <c r="H3369" s="57" t="s">
        <v>343</v>
      </c>
      <c r="I3369" s="57" t="s">
        <v>7547</v>
      </c>
    </row>
    <row r="3370" spans="2:9" ht="13.5" customHeight="1">
      <c r="B3370" s="57" t="s">
        <v>7345</v>
      </c>
      <c r="D3370" s="57" t="s">
        <v>7346</v>
      </c>
      <c r="F3370" s="57">
        <v>3</v>
      </c>
      <c r="G3370" s="57" t="s">
        <v>7552</v>
      </c>
      <c r="H3370" s="57" t="s">
        <v>343</v>
      </c>
      <c r="I3370" s="57" t="s">
        <v>7547</v>
      </c>
    </row>
    <row r="3371" spans="2:9" ht="13.5" customHeight="1">
      <c r="B3371" s="57" t="s">
        <v>7321</v>
      </c>
      <c r="D3371" s="57" t="s">
        <v>7322</v>
      </c>
      <c r="F3371" s="57">
        <v>3</v>
      </c>
      <c r="G3371" s="57" t="s">
        <v>7552</v>
      </c>
      <c r="H3371" s="57" t="s">
        <v>343</v>
      </c>
      <c r="I3371" s="57" t="s">
        <v>7547</v>
      </c>
    </row>
    <row r="3372" spans="2:9" ht="13.5" customHeight="1">
      <c r="B3372" s="57" t="s">
        <v>7327</v>
      </c>
      <c r="D3372" s="57" t="s">
        <v>7328</v>
      </c>
      <c r="F3372" s="57">
        <v>3</v>
      </c>
      <c r="G3372" s="57" t="s">
        <v>7552</v>
      </c>
      <c r="H3372" s="57" t="s">
        <v>343</v>
      </c>
      <c r="I3372" s="57" t="s">
        <v>7547</v>
      </c>
    </row>
    <row r="3373" spans="2:9" ht="13.5" customHeight="1">
      <c r="B3373" s="57" t="s">
        <v>7341</v>
      </c>
      <c r="D3373" s="57" t="s">
        <v>7342</v>
      </c>
      <c r="F3373" s="57">
        <v>3</v>
      </c>
      <c r="G3373" s="57" t="s">
        <v>7552</v>
      </c>
      <c r="H3373" s="57" t="s">
        <v>343</v>
      </c>
      <c r="I3373" s="57" t="s">
        <v>7547</v>
      </c>
    </row>
    <row r="3374" spans="2:9" ht="13.5" customHeight="1">
      <c r="B3374" s="57" t="s">
        <v>7290</v>
      </c>
      <c r="D3374" s="57" t="s">
        <v>7291</v>
      </c>
      <c r="F3374" s="57">
        <v>3</v>
      </c>
      <c r="G3374" s="57" t="s">
        <v>7552</v>
      </c>
      <c r="H3374" s="57" t="s">
        <v>343</v>
      </c>
      <c r="I3374" s="57" t="s">
        <v>7547</v>
      </c>
    </row>
    <row r="3375" spans="2:9" ht="13.5" customHeight="1">
      <c r="B3375" s="57" t="s">
        <v>7349</v>
      </c>
      <c r="D3375" s="57" t="s">
        <v>7350</v>
      </c>
      <c r="F3375" s="57">
        <v>4</v>
      </c>
      <c r="G3375" s="57" t="s">
        <v>7552</v>
      </c>
      <c r="H3375" s="57" t="s">
        <v>343</v>
      </c>
      <c r="I3375" s="57" t="s">
        <v>7547</v>
      </c>
    </row>
    <row r="3376" spans="2:9" ht="13.5" customHeight="1">
      <c r="B3376" s="57" t="s">
        <v>7343</v>
      </c>
      <c r="D3376" s="57" t="s">
        <v>7344</v>
      </c>
      <c r="F3376" s="57">
        <v>4</v>
      </c>
      <c r="G3376" s="57" t="s">
        <v>7552</v>
      </c>
      <c r="H3376" s="57" t="s">
        <v>343</v>
      </c>
      <c r="I3376" s="57" t="s">
        <v>7547</v>
      </c>
    </row>
    <row r="3377" spans="2:9" ht="13.5" customHeight="1">
      <c r="B3377" s="57" t="s">
        <v>7313</v>
      </c>
      <c r="D3377" s="57" t="s">
        <v>7314</v>
      </c>
      <c r="F3377" s="57">
        <v>4</v>
      </c>
      <c r="G3377" s="57" t="s">
        <v>7552</v>
      </c>
      <c r="H3377" s="57" t="s">
        <v>343</v>
      </c>
      <c r="I3377" s="57" t="s">
        <v>7547</v>
      </c>
    </row>
    <row r="3378" spans="2:9" ht="13.5" customHeight="1">
      <c r="B3378" s="57" t="s">
        <v>7335</v>
      </c>
      <c r="D3378" s="57" t="s">
        <v>7336</v>
      </c>
      <c r="F3378" s="57">
        <v>5</v>
      </c>
      <c r="G3378" s="57" t="s">
        <v>7552</v>
      </c>
      <c r="H3378" s="57" t="s">
        <v>343</v>
      </c>
      <c r="I3378" s="57" t="s">
        <v>7547</v>
      </c>
    </row>
    <row r="3379" spans="2:9" ht="13.5" customHeight="1">
      <c r="B3379" s="57" t="s">
        <v>7333</v>
      </c>
      <c r="D3379" s="57" t="s">
        <v>7334</v>
      </c>
      <c r="F3379" s="57">
        <v>5</v>
      </c>
      <c r="G3379" s="57" t="s">
        <v>7552</v>
      </c>
      <c r="H3379" s="57" t="s">
        <v>343</v>
      </c>
      <c r="I3379" s="57" t="s">
        <v>7547</v>
      </c>
    </row>
    <row r="3380" spans="2:9" ht="13.5" customHeight="1">
      <c r="B3380" s="57" t="s">
        <v>7319</v>
      </c>
      <c r="D3380" s="57" t="s">
        <v>7320</v>
      </c>
      <c r="F3380" s="57">
        <v>5</v>
      </c>
      <c r="G3380" s="57" t="s">
        <v>7552</v>
      </c>
      <c r="H3380" s="57" t="s">
        <v>343</v>
      </c>
      <c r="I3380" s="57" t="s">
        <v>7547</v>
      </c>
    </row>
    <row r="3381" spans="2:9" ht="13.5" customHeight="1">
      <c r="B3381" s="57" t="s">
        <v>7329</v>
      </c>
      <c r="D3381" s="57" t="s">
        <v>7330</v>
      </c>
      <c r="F3381" s="57">
        <v>5</v>
      </c>
      <c r="G3381" s="57" t="s">
        <v>7552</v>
      </c>
      <c r="H3381" s="57" t="s">
        <v>343</v>
      </c>
      <c r="I3381" s="57" t="s">
        <v>7547</v>
      </c>
    </row>
    <row r="3382" spans="2:9" ht="13.5" customHeight="1">
      <c r="B3382" s="57" t="s">
        <v>7331</v>
      </c>
      <c r="D3382" s="57" t="s">
        <v>7332</v>
      </c>
      <c r="F3382" s="57">
        <v>5</v>
      </c>
      <c r="G3382" s="57" t="s">
        <v>7552</v>
      </c>
      <c r="H3382" s="57" t="s">
        <v>343</v>
      </c>
      <c r="I3382" s="57" t="s">
        <v>7547</v>
      </c>
    </row>
    <row r="3383" spans="2:9" ht="13.5" customHeight="1">
      <c r="B3383" s="57" t="s">
        <v>7317</v>
      </c>
      <c r="D3383" s="57" t="s">
        <v>7318</v>
      </c>
      <c r="F3383" s="57">
        <v>5</v>
      </c>
      <c r="G3383" s="57" t="s">
        <v>7552</v>
      </c>
      <c r="H3383" s="57" t="s">
        <v>343</v>
      </c>
      <c r="I3383" s="57" t="s">
        <v>7547</v>
      </c>
    </row>
    <row r="3384" spans="2:9" ht="13.5" customHeight="1">
      <c r="B3384" s="57" t="s">
        <v>7311</v>
      </c>
      <c r="D3384" s="57" t="s">
        <v>7312</v>
      </c>
      <c r="F3384" s="57">
        <v>5</v>
      </c>
      <c r="G3384" s="57" t="s">
        <v>7552</v>
      </c>
      <c r="H3384" s="57" t="s">
        <v>343</v>
      </c>
      <c r="I3384" s="57" t="s">
        <v>7547</v>
      </c>
    </row>
    <row r="3385" spans="2:9" ht="13.5" customHeight="1">
      <c r="B3385" s="57" t="s">
        <v>7305</v>
      </c>
      <c r="D3385" s="57" t="s">
        <v>7306</v>
      </c>
      <c r="F3385" s="57">
        <v>7</v>
      </c>
      <c r="G3385" s="57" t="s">
        <v>7552</v>
      </c>
      <c r="H3385" s="57" t="s">
        <v>343</v>
      </c>
      <c r="I3385" s="57" t="s">
        <v>7547</v>
      </c>
    </row>
    <row r="3386" spans="2:9" ht="13.5" customHeight="1">
      <c r="B3386" s="57" t="s">
        <v>7303</v>
      </c>
      <c r="D3386" s="57" t="s">
        <v>7304</v>
      </c>
      <c r="F3386" s="57">
        <v>7</v>
      </c>
      <c r="G3386" s="57" t="s">
        <v>7552</v>
      </c>
      <c r="H3386" s="57" t="s">
        <v>343</v>
      </c>
      <c r="I3386" s="57" t="s">
        <v>7547</v>
      </c>
    </row>
    <row r="3387" spans="2:9" ht="13.5" customHeight="1">
      <c r="B3387" s="57" t="s">
        <v>7374</v>
      </c>
      <c r="D3387" s="57" t="s">
        <v>7375</v>
      </c>
      <c r="F3387" s="57">
        <v>9</v>
      </c>
      <c r="G3387" s="57" t="s">
        <v>7552</v>
      </c>
      <c r="H3387" s="57" t="s">
        <v>343</v>
      </c>
      <c r="I3387" s="57" t="s">
        <v>7547</v>
      </c>
    </row>
    <row r="3388" spans="2:9" ht="13.5" customHeight="1">
      <c r="B3388" s="57" t="s">
        <v>7307</v>
      </c>
      <c r="D3388" s="57" t="s">
        <v>7308</v>
      </c>
      <c r="F3388" s="57">
        <v>10</v>
      </c>
      <c r="G3388" s="57" t="s">
        <v>7552</v>
      </c>
      <c r="H3388" s="57" t="s">
        <v>343</v>
      </c>
      <c r="I3388" s="57" t="s">
        <v>7547</v>
      </c>
    </row>
    <row r="3389" spans="2:9" ht="13.5" customHeight="1">
      <c r="B3389" s="57" t="s">
        <v>7309</v>
      </c>
      <c r="D3389" s="57" t="s">
        <v>7310</v>
      </c>
      <c r="F3389" s="57">
        <v>10</v>
      </c>
      <c r="G3389" s="57" t="s">
        <v>7552</v>
      </c>
      <c r="H3389" s="57" t="s">
        <v>343</v>
      </c>
      <c r="I3389" s="57" t="s">
        <v>7547</v>
      </c>
    </row>
    <row r="3390" spans="2:9" ht="13.5" customHeight="1">
      <c r="B3390" s="57" t="s">
        <v>7366</v>
      </c>
      <c r="D3390" s="57" t="s">
        <v>7367</v>
      </c>
      <c r="F3390" s="57">
        <v>10</v>
      </c>
      <c r="G3390" s="57" t="s">
        <v>7552</v>
      </c>
      <c r="H3390" s="57" t="s">
        <v>343</v>
      </c>
      <c r="I3390" s="57" t="s">
        <v>7547</v>
      </c>
    </row>
    <row r="3391" spans="2:9" ht="13.5" customHeight="1">
      <c r="B3391" s="57" t="s">
        <v>7297</v>
      </c>
      <c r="D3391" s="57" t="s">
        <v>7298</v>
      </c>
      <c r="F3391" s="57">
        <v>10</v>
      </c>
      <c r="G3391" s="57" t="s">
        <v>7552</v>
      </c>
      <c r="H3391" s="57" t="s">
        <v>343</v>
      </c>
      <c r="I3391" s="57" t="s">
        <v>7547</v>
      </c>
    </row>
    <row r="3392" spans="2:9" ht="13.5" customHeight="1">
      <c r="B3392" s="57" t="s">
        <v>7337</v>
      </c>
      <c r="D3392" s="57" t="s">
        <v>7338</v>
      </c>
      <c r="F3392" s="57">
        <v>10</v>
      </c>
      <c r="G3392" s="57" t="s">
        <v>7552</v>
      </c>
      <c r="H3392" s="57" t="s">
        <v>343</v>
      </c>
      <c r="I3392" s="57" t="s">
        <v>7547</v>
      </c>
    </row>
    <row r="3393" spans="2:9" ht="13.5" customHeight="1">
      <c r="B3393" s="57" t="s">
        <v>7347</v>
      </c>
      <c r="D3393" s="57" t="s">
        <v>7348</v>
      </c>
      <c r="F3393" s="57">
        <v>10</v>
      </c>
      <c r="G3393" s="57" t="s">
        <v>7552</v>
      </c>
      <c r="H3393" s="57" t="s">
        <v>343</v>
      </c>
      <c r="I3393" s="57" t="s">
        <v>7547</v>
      </c>
    </row>
    <row r="3394" spans="2:9" ht="13.5" customHeight="1">
      <c r="B3394" s="57" t="s">
        <v>7299</v>
      </c>
      <c r="D3394" s="57" t="s">
        <v>7300</v>
      </c>
      <c r="F3394" s="57">
        <v>11</v>
      </c>
      <c r="G3394" s="57" t="s">
        <v>7552</v>
      </c>
      <c r="H3394" s="57" t="s">
        <v>343</v>
      </c>
      <c r="I3394" s="57" t="s">
        <v>7547</v>
      </c>
    </row>
    <row r="3395" spans="2:9" ht="13.5" customHeight="1">
      <c r="B3395" s="57" t="s">
        <v>7339</v>
      </c>
      <c r="D3395" s="57" t="s">
        <v>7340</v>
      </c>
      <c r="F3395" s="57">
        <v>12</v>
      </c>
      <c r="G3395" s="57" t="s">
        <v>7552</v>
      </c>
      <c r="H3395" s="57" t="s">
        <v>343</v>
      </c>
      <c r="I3395" s="57" t="s">
        <v>7547</v>
      </c>
    </row>
    <row r="3396" spans="2:9" ht="13.5" customHeight="1">
      <c r="B3396" s="57" t="s">
        <v>6421</v>
      </c>
      <c r="D3396" s="57" t="s">
        <v>7363</v>
      </c>
      <c r="F3396" s="57">
        <v>16</v>
      </c>
      <c r="G3396" s="57" t="s">
        <v>7552</v>
      </c>
      <c r="H3396" s="57" t="s">
        <v>343</v>
      </c>
      <c r="I3396" s="57" t="s">
        <v>7547</v>
      </c>
    </row>
    <row r="3397" spans="2:9" ht="13.5" customHeight="1">
      <c r="B3397" s="57" t="s">
        <v>7364</v>
      </c>
      <c r="D3397" s="57" t="s">
        <v>7365</v>
      </c>
      <c r="F3397" s="57">
        <v>17</v>
      </c>
      <c r="G3397" s="57" t="s">
        <v>7552</v>
      </c>
      <c r="H3397" s="57" t="s">
        <v>343</v>
      </c>
      <c r="I3397" s="57" t="s">
        <v>7547</v>
      </c>
    </row>
    <row r="3398" spans="2:9" ht="13.5" customHeight="1">
      <c r="B3398" s="57" t="s">
        <v>7351</v>
      </c>
      <c r="D3398" s="57" t="s">
        <v>7352</v>
      </c>
      <c r="F3398" s="57">
        <v>20</v>
      </c>
      <c r="G3398" s="57" t="s">
        <v>7552</v>
      </c>
      <c r="H3398" s="57" t="s">
        <v>343</v>
      </c>
      <c r="I3398" s="57" t="s">
        <v>7547</v>
      </c>
    </row>
    <row r="3399" spans="2:9" ht="13.5" customHeight="1">
      <c r="B3399" s="57" t="s">
        <v>7294</v>
      </c>
      <c r="D3399" s="57" t="s">
        <v>7295</v>
      </c>
      <c r="F3399" s="57">
        <v>20</v>
      </c>
      <c r="G3399" s="57" t="s">
        <v>7552</v>
      </c>
      <c r="H3399" s="57" t="s">
        <v>343</v>
      </c>
      <c r="I3399" s="57" t="s">
        <v>7547</v>
      </c>
    </row>
    <row r="3400" spans="2:9" ht="13.5" customHeight="1">
      <c r="B3400" s="57" t="s">
        <v>7296</v>
      </c>
      <c r="D3400" s="57" t="s">
        <v>3825</v>
      </c>
      <c r="F3400" s="57">
        <v>35</v>
      </c>
      <c r="G3400" s="57" t="s">
        <v>7552</v>
      </c>
      <c r="H3400" s="57" t="s">
        <v>343</v>
      </c>
      <c r="I3400" s="57" t="s">
        <v>7547</v>
      </c>
    </row>
    <row r="3401" spans="2:9" ht="13.5" customHeight="1">
      <c r="B3401" s="57" t="s">
        <v>7292</v>
      </c>
      <c r="D3401" s="57" t="s">
        <v>7293</v>
      </c>
      <c r="F3401" s="57">
        <v>42</v>
      </c>
      <c r="G3401" s="57" t="s">
        <v>7552</v>
      </c>
      <c r="H3401" s="57" t="s">
        <v>343</v>
      </c>
      <c r="I3401" s="57" t="s">
        <v>7547</v>
      </c>
    </row>
    <row r="3402" spans="2:9" ht="13.5" customHeight="1">
      <c r="B3402" s="57" t="s">
        <v>4060</v>
      </c>
      <c r="D3402" s="57" t="s">
        <v>7368</v>
      </c>
      <c r="F3402" s="57">
        <v>44</v>
      </c>
      <c r="G3402" s="57" t="s">
        <v>7552</v>
      </c>
      <c r="H3402" s="57" t="s">
        <v>343</v>
      </c>
      <c r="I3402" s="57" t="s">
        <v>7547</v>
      </c>
    </row>
    <row r="3403" spans="2:9" ht="13.5" customHeight="1">
      <c r="B3403" s="57" t="s">
        <v>7361</v>
      </c>
      <c r="D3403" s="57" t="s">
        <v>7362</v>
      </c>
      <c r="F3403" s="57">
        <v>45</v>
      </c>
      <c r="G3403" s="57" t="s">
        <v>7552</v>
      </c>
      <c r="H3403" s="57" t="s">
        <v>343</v>
      </c>
      <c r="I3403" s="57" t="s">
        <v>7547</v>
      </c>
    </row>
    <row r="3404" spans="2:9" ht="13.5" customHeight="1">
      <c r="B3404" s="57" t="s">
        <v>2717</v>
      </c>
      <c r="D3404" s="57" t="s">
        <v>685</v>
      </c>
      <c r="F3404" s="57">
        <v>46</v>
      </c>
      <c r="G3404" s="57" t="s">
        <v>7552</v>
      </c>
      <c r="H3404" s="57" t="s">
        <v>343</v>
      </c>
      <c r="I3404" s="57" t="s">
        <v>7547</v>
      </c>
    </row>
    <row r="3405" spans="2:9" ht="13.5" customHeight="1">
      <c r="B3405" s="57" t="s">
        <v>7371</v>
      </c>
      <c r="D3405" s="57" t="s">
        <v>7372</v>
      </c>
      <c r="F3405" s="57">
        <v>46</v>
      </c>
      <c r="G3405" s="57" t="s">
        <v>7552</v>
      </c>
      <c r="H3405" s="57" t="s">
        <v>343</v>
      </c>
      <c r="I3405" s="57" t="s">
        <v>7547</v>
      </c>
    </row>
    <row r="3406" spans="2:9" ht="13.5" customHeight="1">
      <c r="B3406" s="57" t="s">
        <v>7357</v>
      </c>
      <c r="D3406" s="57" t="s">
        <v>7358</v>
      </c>
      <c r="F3406" s="57">
        <v>48</v>
      </c>
      <c r="G3406" s="57" t="s">
        <v>7552</v>
      </c>
      <c r="H3406" s="57" t="s">
        <v>343</v>
      </c>
      <c r="I3406" s="57" t="s">
        <v>7547</v>
      </c>
    </row>
    <row r="3407" spans="2:9" ht="13.5" customHeight="1">
      <c r="B3407" s="57" t="s">
        <v>7355</v>
      </c>
      <c r="D3407" s="57" t="s">
        <v>7356</v>
      </c>
      <c r="F3407" s="57">
        <v>48</v>
      </c>
      <c r="G3407" s="57" t="s">
        <v>7552</v>
      </c>
      <c r="H3407" s="57" t="s">
        <v>343</v>
      </c>
      <c r="I3407" s="57" t="s">
        <v>7547</v>
      </c>
    </row>
    <row r="3408" spans="2:9" ht="13.5" customHeight="1">
      <c r="B3408" s="57" t="s">
        <v>7369</v>
      </c>
      <c r="D3408" s="57" t="s">
        <v>7370</v>
      </c>
      <c r="F3408" s="57">
        <v>49</v>
      </c>
      <c r="G3408" s="57" t="s">
        <v>7552</v>
      </c>
      <c r="H3408" s="57" t="s">
        <v>343</v>
      </c>
      <c r="I3408" s="57" t="s">
        <v>7547</v>
      </c>
    </row>
    <row r="3409" spans="2:9" ht="13.5" customHeight="1">
      <c r="B3409" s="57" t="s">
        <v>7373</v>
      </c>
      <c r="D3409" s="57" t="s">
        <v>4284</v>
      </c>
      <c r="F3409" s="57">
        <v>50</v>
      </c>
      <c r="G3409" s="57" t="s">
        <v>7552</v>
      </c>
      <c r="H3409" s="57" t="s">
        <v>343</v>
      </c>
      <c r="I3409" s="57" t="s">
        <v>7547</v>
      </c>
    </row>
    <row r="3410" spans="2:9" ht="13.5" customHeight="1">
      <c r="B3410" s="57" t="s">
        <v>7359</v>
      </c>
      <c r="D3410" s="57" t="s">
        <v>7360</v>
      </c>
      <c r="F3410" s="57">
        <v>50</v>
      </c>
      <c r="G3410" s="57" t="s">
        <v>7552</v>
      </c>
      <c r="H3410" s="57" t="s">
        <v>343</v>
      </c>
      <c r="I3410" s="57" t="s">
        <v>7547</v>
      </c>
    </row>
    <row r="3411" spans="2:9" ht="13.5" customHeight="1">
      <c r="B3411" s="57" t="s">
        <v>7353</v>
      </c>
      <c r="D3411" s="57" t="s">
        <v>7354</v>
      </c>
      <c r="F3411" s="57">
        <v>50</v>
      </c>
      <c r="G3411" s="57" t="s">
        <v>7552</v>
      </c>
      <c r="H3411" s="57" t="s">
        <v>343</v>
      </c>
      <c r="I3411" s="57" t="s">
        <v>7547</v>
      </c>
    </row>
    <row r="3412" spans="2:9" ht="13.5" customHeight="1">
      <c r="B3412" s="57" t="s">
        <v>7301</v>
      </c>
      <c r="D3412" s="57" t="s">
        <v>7302</v>
      </c>
      <c r="F3412" s="57">
        <v>99</v>
      </c>
      <c r="G3412" s="57" t="s">
        <v>7552</v>
      </c>
      <c r="H3412" s="57" t="s">
        <v>343</v>
      </c>
      <c r="I3412" s="57" t="s">
        <v>7547</v>
      </c>
    </row>
    <row r="3413" spans="2:9" ht="13.5" customHeight="1">
      <c r="B3413" s="57" t="s">
        <v>803</v>
      </c>
      <c r="D3413" s="57" t="s">
        <v>5320</v>
      </c>
      <c r="F3413" s="57">
        <v>22</v>
      </c>
      <c r="G3413" s="57" t="s">
        <v>7552</v>
      </c>
      <c r="H3413" s="57" t="s">
        <v>1355</v>
      </c>
    </row>
    <row r="3414" spans="2:9" ht="13.5" customHeight="1">
      <c r="D3414" s="57" t="s">
        <v>7423</v>
      </c>
      <c r="F3414" s="57">
        <v>60</v>
      </c>
      <c r="G3414" s="57" t="s">
        <v>7552</v>
      </c>
      <c r="H3414" s="57" t="s">
        <v>1355</v>
      </c>
    </row>
    <row r="3415" spans="2:9" ht="13.5" customHeight="1">
      <c r="B3415" s="57" t="s">
        <v>7225</v>
      </c>
      <c r="D3415" s="57" t="s">
        <v>7226</v>
      </c>
      <c r="F3415" s="57">
        <v>62</v>
      </c>
      <c r="G3415" s="57" t="s">
        <v>7552</v>
      </c>
      <c r="H3415" s="57" t="s">
        <v>1355</v>
      </c>
    </row>
    <row r="3416" spans="2:9" ht="13.5" customHeight="1">
      <c r="B3416" s="57" t="s">
        <v>7183</v>
      </c>
      <c r="D3416" s="57" t="s">
        <v>7184</v>
      </c>
      <c r="F3416" s="57">
        <v>66</v>
      </c>
      <c r="G3416" s="57" t="s">
        <v>7552</v>
      </c>
      <c r="H3416" s="57" t="s">
        <v>1355</v>
      </c>
    </row>
    <row r="3417" spans="2:9" ht="13.5" customHeight="1">
      <c r="B3417" s="57" t="s">
        <v>7421</v>
      </c>
      <c r="D3417" s="57" t="s">
        <v>7422</v>
      </c>
      <c r="F3417" s="57">
        <v>68</v>
      </c>
      <c r="G3417" s="57" t="s">
        <v>7552</v>
      </c>
      <c r="H3417" s="57" t="s">
        <v>1355</v>
      </c>
    </row>
    <row r="3418" spans="2:9" ht="13.5" customHeight="1">
      <c r="B3418" s="57" t="s">
        <v>6989</v>
      </c>
      <c r="D3418" s="57" t="s">
        <v>6990</v>
      </c>
      <c r="F3418" s="57">
        <v>280</v>
      </c>
      <c r="G3418" s="57" t="s">
        <v>7552</v>
      </c>
      <c r="H3418" s="57" t="s">
        <v>1355</v>
      </c>
    </row>
    <row r="3419" spans="2:9" ht="13.5" customHeight="1">
      <c r="B3419" s="57" t="s">
        <v>6977</v>
      </c>
      <c r="D3419" s="57" t="s">
        <v>6978</v>
      </c>
      <c r="F3419" s="57">
        <v>289</v>
      </c>
      <c r="G3419" s="57" t="s">
        <v>7552</v>
      </c>
      <c r="H3419" s="57" t="s">
        <v>1355</v>
      </c>
    </row>
    <row r="3420" spans="2:9" ht="13.5" customHeight="1">
      <c r="B3420" s="57" t="s">
        <v>5897</v>
      </c>
      <c r="D3420" s="57" t="s">
        <v>5898</v>
      </c>
      <c r="F3420" s="57">
        <v>482</v>
      </c>
      <c r="G3420" s="57" t="s">
        <v>7552</v>
      </c>
      <c r="H3420" s="57" t="s">
        <v>1355</v>
      </c>
    </row>
    <row r="3421" spans="2:9" ht="13.5" customHeight="1">
      <c r="B3421" s="57" t="s">
        <v>7188</v>
      </c>
      <c r="D3421" s="57" t="s">
        <v>7189</v>
      </c>
      <c r="F3421" s="57">
        <v>519</v>
      </c>
      <c r="G3421" s="57" t="s">
        <v>7552</v>
      </c>
      <c r="H3421" s="57" t="s">
        <v>1355</v>
      </c>
    </row>
    <row r="3422" spans="2:9" ht="13.5" customHeight="1">
      <c r="B3422" s="57" t="s">
        <v>7186</v>
      </c>
      <c r="D3422" s="57" t="s">
        <v>7187</v>
      </c>
      <c r="F3422" s="57">
        <v>708</v>
      </c>
      <c r="G3422" s="57" t="s">
        <v>7552</v>
      </c>
      <c r="H3422" s="57" t="s">
        <v>1355</v>
      </c>
    </row>
    <row r="3423" spans="2:9" ht="13.5" customHeight="1">
      <c r="B3423" s="57" t="s">
        <v>3187</v>
      </c>
      <c r="D3423" s="57" t="s">
        <v>9173</v>
      </c>
      <c r="F3423" s="57">
        <v>900</v>
      </c>
      <c r="G3423" s="57" t="s">
        <v>7552</v>
      </c>
      <c r="H3423" s="57" t="s">
        <v>1355</v>
      </c>
    </row>
    <row r="3424" spans="2:9" ht="13.5" customHeight="1">
      <c r="B3424" s="57" t="s">
        <v>9175</v>
      </c>
      <c r="D3424" s="57" t="s">
        <v>9174</v>
      </c>
      <c r="F3424" s="57">
        <v>900</v>
      </c>
      <c r="G3424" s="57" t="s">
        <v>7552</v>
      </c>
      <c r="H3424" s="57" t="s">
        <v>1355</v>
      </c>
    </row>
    <row r="3425" spans="2:9" ht="13.5" customHeight="1">
      <c r="B3425" s="57" t="s">
        <v>7072</v>
      </c>
      <c r="D3425" s="57" t="s">
        <v>7074</v>
      </c>
      <c r="F3425" s="57">
        <v>1000</v>
      </c>
      <c r="G3425" s="57" t="s">
        <v>7552</v>
      </c>
      <c r="H3425" s="57" t="s">
        <v>1355</v>
      </c>
    </row>
    <row r="3426" spans="2:9" ht="13.5" customHeight="1">
      <c r="B3426" s="57" t="s">
        <v>7079</v>
      </c>
      <c r="D3426" s="57" t="s">
        <v>7080</v>
      </c>
      <c r="F3426" s="57">
        <v>1107</v>
      </c>
      <c r="G3426" s="57" t="s">
        <v>7552</v>
      </c>
      <c r="H3426" s="57" t="s">
        <v>1355</v>
      </c>
    </row>
    <row r="3427" spans="2:9" ht="13.5" customHeight="1">
      <c r="B3427" s="57" t="s">
        <v>8017</v>
      </c>
      <c r="D3427" s="57" t="s">
        <v>939</v>
      </c>
      <c r="F3427" s="57">
        <v>1162</v>
      </c>
      <c r="G3427" s="57" t="s">
        <v>7552</v>
      </c>
      <c r="H3427" s="57" t="s">
        <v>1355</v>
      </c>
      <c r="I3427" s="57" t="s">
        <v>7534</v>
      </c>
    </row>
    <row r="3428" spans="2:9" ht="13.5" customHeight="1">
      <c r="B3428" s="57" t="s">
        <v>7076</v>
      </c>
      <c r="D3428" s="57" t="s">
        <v>7077</v>
      </c>
      <c r="F3428" s="57">
        <v>1700</v>
      </c>
      <c r="G3428" s="57" t="s">
        <v>7552</v>
      </c>
      <c r="H3428" s="57" t="s">
        <v>1355</v>
      </c>
    </row>
    <row r="3429" spans="2:9" ht="13.5" customHeight="1">
      <c r="B3429" s="57" t="s">
        <v>7242</v>
      </c>
      <c r="D3429" s="57" t="s">
        <v>7243</v>
      </c>
      <c r="F3429" s="57">
        <v>1934</v>
      </c>
      <c r="G3429" s="57" t="s">
        <v>7552</v>
      </c>
      <c r="H3429" s="57" t="s">
        <v>1355</v>
      </c>
    </row>
    <row r="3430" spans="2:9" ht="13.5" customHeight="1">
      <c r="B3430" s="57" t="s">
        <v>7078</v>
      </c>
      <c r="D3430" s="57" t="s">
        <v>5255</v>
      </c>
      <c r="F3430" s="57">
        <v>2115</v>
      </c>
      <c r="G3430" s="57" t="s">
        <v>7552</v>
      </c>
      <c r="H3430" s="57" t="s">
        <v>1355</v>
      </c>
    </row>
    <row r="3431" spans="2:9" ht="13.5" customHeight="1">
      <c r="B3431" s="57" t="s">
        <v>6948</v>
      </c>
      <c r="D3431" s="57" t="s">
        <v>1421</v>
      </c>
      <c r="F3431" s="57">
        <v>2175</v>
      </c>
      <c r="G3431" s="57" t="s">
        <v>7552</v>
      </c>
      <c r="H3431" s="57" t="s">
        <v>1355</v>
      </c>
    </row>
    <row r="3432" spans="2:9" ht="13.5" customHeight="1">
      <c r="B3432" s="57" t="s">
        <v>6893</v>
      </c>
      <c r="D3432" s="57" t="s">
        <v>6894</v>
      </c>
      <c r="F3432" s="57">
        <v>2251</v>
      </c>
      <c r="G3432" s="57" t="s">
        <v>7552</v>
      </c>
      <c r="H3432" s="57" t="s">
        <v>1355</v>
      </c>
    </row>
    <row r="3433" spans="2:9" ht="13.5" customHeight="1">
      <c r="B3433" s="57" t="s">
        <v>7258</v>
      </c>
      <c r="D3433" s="57" t="s">
        <v>7259</v>
      </c>
      <c r="F3433" s="57">
        <v>2328</v>
      </c>
      <c r="G3433" s="57" t="s">
        <v>7552</v>
      </c>
      <c r="H3433" s="57" t="s">
        <v>1355</v>
      </c>
    </row>
    <row r="3434" spans="2:9" ht="24.75" customHeight="1">
      <c r="B3434" s="57" t="s">
        <v>6918</v>
      </c>
      <c r="D3434" s="57" t="s">
        <v>6919</v>
      </c>
      <c r="F3434" s="57">
        <v>4946</v>
      </c>
      <c r="G3434" s="57" t="s">
        <v>7552</v>
      </c>
      <c r="H3434" s="57" t="s">
        <v>1355</v>
      </c>
    </row>
    <row r="3435" spans="2:9" ht="13.5" customHeight="1">
      <c r="B3435" s="57" t="s">
        <v>6920</v>
      </c>
      <c r="D3435" s="57" t="s">
        <v>6921</v>
      </c>
      <c r="F3435" s="57">
        <v>4950</v>
      </c>
      <c r="G3435" s="57" t="s">
        <v>7552</v>
      </c>
      <c r="H3435" s="57" t="s">
        <v>1355</v>
      </c>
    </row>
    <row r="3436" spans="2:9" ht="13.5" customHeight="1">
      <c r="B3436" s="57" t="s">
        <v>519</v>
      </c>
      <c r="D3436" s="57" t="s">
        <v>6949</v>
      </c>
      <c r="F3436" s="57">
        <v>5000</v>
      </c>
      <c r="G3436" s="57" t="s">
        <v>7552</v>
      </c>
      <c r="H3436" s="57" t="s">
        <v>1355</v>
      </c>
    </row>
    <row r="3437" spans="2:9" ht="13.5" customHeight="1">
      <c r="B3437" s="57" t="s">
        <v>6968</v>
      </c>
      <c r="D3437" s="57" t="s">
        <v>6969</v>
      </c>
      <c r="F3437" s="57">
        <v>5000</v>
      </c>
      <c r="G3437" s="57" t="s">
        <v>7552</v>
      </c>
      <c r="H3437" s="57" t="s">
        <v>1355</v>
      </c>
    </row>
    <row r="3438" spans="2:9" ht="13.5" customHeight="1">
      <c r="B3438" s="57" t="s">
        <v>6916</v>
      </c>
      <c r="D3438" s="57" t="s">
        <v>6917</v>
      </c>
      <c r="F3438" s="57">
        <v>6550</v>
      </c>
      <c r="G3438" s="57" t="s">
        <v>7552</v>
      </c>
      <c r="H3438" s="57" t="s">
        <v>1355</v>
      </c>
    </row>
    <row r="3439" spans="2:9" ht="13.5" customHeight="1">
      <c r="B3439" s="57" t="s">
        <v>7139</v>
      </c>
      <c r="D3439" s="57" t="s">
        <v>7140</v>
      </c>
      <c r="F3439" s="57">
        <v>8000</v>
      </c>
      <c r="G3439" s="57" t="s">
        <v>7552</v>
      </c>
      <c r="H3439" s="57" t="s">
        <v>1355</v>
      </c>
    </row>
    <row r="3440" spans="2:9" ht="13.5" customHeight="1">
      <c r="B3440" s="57" t="s">
        <v>6950</v>
      </c>
      <c r="D3440" s="57" t="s">
        <v>5905</v>
      </c>
      <c r="F3440" s="57">
        <v>9198</v>
      </c>
      <c r="G3440" s="57" t="s">
        <v>7552</v>
      </c>
      <c r="H3440" s="57" t="s">
        <v>1355</v>
      </c>
    </row>
    <row r="3441" spans="2:8" ht="13.5" customHeight="1">
      <c r="B3441" s="57" t="s">
        <v>7028</v>
      </c>
      <c r="D3441" s="57" t="s">
        <v>6179</v>
      </c>
      <c r="F3441" s="57">
        <v>1</v>
      </c>
      <c r="G3441" s="57" t="s">
        <v>7552</v>
      </c>
      <c r="H3441" s="57" t="s">
        <v>1354</v>
      </c>
    </row>
    <row r="3442" spans="2:8" ht="13.5" customHeight="1">
      <c r="B3442" s="57" t="s">
        <v>7204</v>
      </c>
      <c r="D3442" s="57" t="s">
        <v>7205</v>
      </c>
      <c r="F3442" s="57">
        <v>1</v>
      </c>
      <c r="G3442" s="57" t="s">
        <v>7552</v>
      </c>
      <c r="H3442" s="57" t="s">
        <v>1354</v>
      </c>
    </row>
    <row r="3443" spans="2:8" ht="13.5" customHeight="1">
      <c r="B3443" s="57" t="s">
        <v>7200</v>
      </c>
      <c r="D3443" s="57" t="s">
        <v>7201</v>
      </c>
      <c r="F3443" s="57">
        <v>2</v>
      </c>
      <c r="G3443" s="57" t="s">
        <v>7552</v>
      </c>
      <c r="H3443" s="57" t="s">
        <v>1354</v>
      </c>
    </row>
    <row r="3444" spans="2:8" ht="13.5" customHeight="1">
      <c r="B3444" s="57" t="s">
        <v>6729</v>
      </c>
      <c r="D3444" s="57" t="s">
        <v>6730</v>
      </c>
      <c r="F3444" s="57">
        <v>2</v>
      </c>
      <c r="G3444" s="57" t="s">
        <v>7552</v>
      </c>
      <c r="H3444" s="57" t="s">
        <v>1354</v>
      </c>
    </row>
    <row r="3445" spans="2:8" ht="13.5" customHeight="1">
      <c r="B3445" s="57" t="s">
        <v>8008</v>
      </c>
      <c r="D3445" s="57" t="s">
        <v>8007</v>
      </c>
      <c r="F3445" s="57">
        <v>2</v>
      </c>
      <c r="G3445" s="57" t="s">
        <v>7552</v>
      </c>
      <c r="H3445" s="57" t="s">
        <v>1354</v>
      </c>
    </row>
    <row r="3446" spans="2:8" ht="13.5" customHeight="1">
      <c r="B3446" s="57" t="s">
        <v>8001</v>
      </c>
      <c r="D3446" s="57" t="s">
        <v>8000</v>
      </c>
      <c r="F3446" s="57">
        <v>2</v>
      </c>
      <c r="G3446" s="57" t="s">
        <v>7552</v>
      </c>
      <c r="H3446" s="57" t="s">
        <v>1354</v>
      </c>
    </row>
    <row r="3447" spans="2:8" ht="13.5" customHeight="1">
      <c r="B3447" s="57" t="s">
        <v>5922</v>
      </c>
      <c r="D3447" s="57" t="s">
        <v>6742</v>
      </c>
      <c r="F3447" s="57">
        <v>3</v>
      </c>
      <c r="G3447" s="57" t="s">
        <v>7552</v>
      </c>
      <c r="H3447" s="57" t="s">
        <v>1354</v>
      </c>
    </row>
    <row r="3448" spans="2:8" ht="13.5" customHeight="1">
      <c r="B3448" s="57" t="s">
        <v>7190</v>
      </c>
      <c r="D3448" s="57" t="s">
        <v>4020</v>
      </c>
      <c r="F3448" s="57">
        <v>4</v>
      </c>
      <c r="G3448" s="57" t="s">
        <v>7552</v>
      </c>
      <c r="H3448" s="57" t="s">
        <v>1354</v>
      </c>
    </row>
    <row r="3449" spans="2:8" ht="13.5" customHeight="1">
      <c r="B3449" s="57" t="s">
        <v>6733</v>
      </c>
      <c r="D3449" s="57" t="s">
        <v>6734</v>
      </c>
      <c r="F3449" s="57">
        <v>4</v>
      </c>
      <c r="G3449" s="57" t="s">
        <v>7552</v>
      </c>
      <c r="H3449" s="57" t="s">
        <v>1354</v>
      </c>
    </row>
    <row r="3450" spans="2:8" ht="13.5" customHeight="1">
      <c r="B3450" s="57" t="s">
        <v>6725</v>
      </c>
      <c r="D3450" s="57" t="s">
        <v>5551</v>
      </c>
      <c r="F3450" s="57">
        <v>4</v>
      </c>
      <c r="G3450" s="57" t="s">
        <v>7552</v>
      </c>
      <c r="H3450" s="57" t="s">
        <v>1354</v>
      </c>
    </row>
    <row r="3451" spans="2:8" ht="13.5" customHeight="1">
      <c r="B3451" s="57" t="s">
        <v>7198</v>
      </c>
      <c r="D3451" s="57" t="s">
        <v>7199</v>
      </c>
      <c r="F3451" s="57">
        <v>4</v>
      </c>
      <c r="G3451" s="57" t="s">
        <v>7552</v>
      </c>
      <c r="H3451" s="57" t="s">
        <v>1354</v>
      </c>
    </row>
    <row r="3452" spans="2:8" ht="13.5" customHeight="1">
      <c r="B3452" s="57" t="s">
        <v>7262</v>
      </c>
      <c r="D3452" s="57" t="s">
        <v>7263</v>
      </c>
      <c r="F3452" s="57">
        <v>5</v>
      </c>
      <c r="G3452" s="57" t="s">
        <v>7552</v>
      </c>
      <c r="H3452" s="57" t="s">
        <v>1354</v>
      </c>
    </row>
    <row r="3453" spans="2:8" ht="13.5" customHeight="1">
      <c r="B3453" s="57" t="s">
        <v>7194</v>
      </c>
      <c r="D3453" s="57" t="s">
        <v>7195</v>
      </c>
      <c r="F3453" s="57">
        <v>6</v>
      </c>
      <c r="G3453" s="57" t="s">
        <v>7552</v>
      </c>
      <c r="H3453" s="57" t="s">
        <v>1354</v>
      </c>
    </row>
    <row r="3454" spans="2:8" ht="13.5" customHeight="1">
      <c r="D3454" s="57" t="s">
        <v>7019</v>
      </c>
      <c r="F3454" s="57">
        <v>6</v>
      </c>
      <c r="G3454" s="57" t="s">
        <v>7552</v>
      </c>
      <c r="H3454" s="57" t="s">
        <v>1354</v>
      </c>
    </row>
    <row r="3455" spans="2:8" ht="13.5" customHeight="1">
      <c r="B3455" s="57" t="s">
        <v>6816</v>
      </c>
      <c r="D3455" s="57" t="s">
        <v>6817</v>
      </c>
      <c r="F3455" s="57">
        <v>7</v>
      </c>
      <c r="G3455" s="57" t="s">
        <v>7552</v>
      </c>
      <c r="H3455" s="57" t="s">
        <v>1354</v>
      </c>
    </row>
    <row r="3456" spans="2:8" ht="13.5" customHeight="1">
      <c r="B3456" s="57" t="s">
        <v>7206</v>
      </c>
      <c r="D3456" s="57" t="s">
        <v>7207</v>
      </c>
      <c r="F3456" s="57">
        <v>8</v>
      </c>
      <c r="G3456" s="57" t="s">
        <v>7552</v>
      </c>
      <c r="H3456" s="57" t="s">
        <v>1354</v>
      </c>
    </row>
    <row r="3457" spans="2:8" ht="13.5" customHeight="1">
      <c r="B3457" s="57" t="s">
        <v>7715</v>
      </c>
      <c r="D3457" s="57" t="s">
        <v>8004</v>
      </c>
      <c r="F3457" s="57">
        <v>9</v>
      </c>
      <c r="G3457" s="57" t="s">
        <v>7552</v>
      </c>
      <c r="H3457" s="57" t="s">
        <v>1354</v>
      </c>
    </row>
    <row r="3458" spans="2:8" ht="13.5" customHeight="1">
      <c r="B3458" s="57" t="s">
        <v>8003</v>
      </c>
      <c r="D3458" s="57" t="s">
        <v>8002</v>
      </c>
      <c r="F3458" s="57">
        <v>10</v>
      </c>
      <c r="G3458" s="57" t="s">
        <v>7552</v>
      </c>
      <c r="H3458" s="57" t="s">
        <v>1354</v>
      </c>
    </row>
    <row r="3459" spans="2:8" ht="13.5" customHeight="1">
      <c r="B3459" s="57" t="s">
        <v>7192</v>
      </c>
      <c r="D3459" s="57" t="s">
        <v>7193</v>
      </c>
      <c r="F3459" s="57">
        <v>10</v>
      </c>
      <c r="G3459" s="57" t="s">
        <v>7552</v>
      </c>
      <c r="H3459" s="57" t="s">
        <v>1354</v>
      </c>
    </row>
    <row r="3460" spans="2:8" ht="13.5" customHeight="1">
      <c r="B3460" s="57" t="s">
        <v>7004</v>
      </c>
      <c r="D3460" s="57" t="s">
        <v>7005</v>
      </c>
      <c r="F3460" s="57">
        <v>10</v>
      </c>
      <c r="G3460" s="57" t="s">
        <v>7552</v>
      </c>
      <c r="H3460" s="57" t="s">
        <v>1354</v>
      </c>
    </row>
    <row r="3461" spans="2:8" ht="13.5" customHeight="1">
      <c r="B3461" s="57" t="s">
        <v>6740</v>
      </c>
      <c r="D3461" s="57" t="s">
        <v>6741</v>
      </c>
      <c r="F3461" s="57">
        <v>11</v>
      </c>
      <c r="G3461" s="57" t="s">
        <v>7552</v>
      </c>
      <c r="H3461" s="57" t="s">
        <v>1354</v>
      </c>
    </row>
    <row r="3462" spans="2:8" ht="13.5" customHeight="1">
      <c r="B3462" s="57" t="s">
        <v>4778</v>
      </c>
      <c r="D3462" s="57" t="s">
        <v>8006</v>
      </c>
      <c r="F3462" s="57">
        <v>12</v>
      </c>
      <c r="G3462" s="57" t="s">
        <v>7552</v>
      </c>
      <c r="H3462" s="57" t="s">
        <v>1354</v>
      </c>
    </row>
    <row r="3463" spans="2:8" ht="13.5" customHeight="1">
      <c r="B3463" s="57" t="s">
        <v>5548</v>
      </c>
      <c r="D3463" s="57" t="s">
        <v>5549</v>
      </c>
      <c r="F3463" s="57">
        <v>20</v>
      </c>
      <c r="G3463" s="57" t="s">
        <v>7552</v>
      </c>
      <c r="H3463" s="57" t="s">
        <v>1354</v>
      </c>
    </row>
    <row r="3464" spans="2:8" ht="13.5" customHeight="1">
      <c r="B3464" s="57" t="s">
        <v>6726</v>
      </c>
      <c r="D3464" s="57" t="s">
        <v>5585</v>
      </c>
      <c r="F3464" s="57">
        <v>20</v>
      </c>
      <c r="G3464" s="57" t="s">
        <v>7552</v>
      </c>
      <c r="H3464" s="57" t="s">
        <v>1354</v>
      </c>
    </row>
    <row r="3465" spans="2:8" ht="13.5" customHeight="1">
      <c r="B3465" s="57" t="s">
        <v>7125</v>
      </c>
      <c r="D3465" s="57" t="s">
        <v>7126</v>
      </c>
      <c r="F3465" s="57">
        <v>22</v>
      </c>
      <c r="G3465" s="57" t="s">
        <v>7552</v>
      </c>
      <c r="H3465" s="57" t="s">
        <v>1354</v>
      </c>
    </row>
    <row r="3466" spans="2:8" ht="13.5" customHeight="1">
      <c r="B3466" s="57" t="s">
        <v>7127</v>
      </c>
      <c r="D3466" s="57" t="s">
        <v>7128</v>
      </c>
      <c r="F3466" s="57">
        <v>30</v>
      </c>
      <c r="G3466" s="57" t="s">
        <v>7552</v>
      </c>
      <c r="H3466" s="57" t="s">
        <v>1354</v>
      </c>
    </row>
    <row r="3467" spans="2:8" ht="13.5" customHeight="1">
      <c r="B3467" s="57" t="s">
        <v>7529</v>
      </c>
      <c r="D3467" s="57" t="s">
        <v>7530</v>
      </c>
      <c r="F3467" s="57">
        <v>39</v>
      </c>
      <c r="G3467" s="57" t="s">
        <v>7552</v>
      </c>
      <c r="H3467" s="57" t="s">
        <v>1354</v>
      </c>
    </row>
    <row r="3468" spans="2:8" ht="13.5" customHeight="1">
      <c r="B3468" s="57" t="s">
        <v>8005</v>
      </c>
      <c r="D3468" s="57" t="s">
        <v>3921</v>
      </c>
      <c r="F3468" s="57">
        <v>95</v>
      </c>
      <c r="G3468" s="57" t="s">
        <v>7552</v>
      </c>
      <c r="H3468" s="57" t="s">
        <v>1354</v>
      </c>
    </row>
    <row r="3469" spans="2:8" ht="13.5" customHeight="1">
      <c r="B3469" s="57" t="s">
        <v>7502</v>
      </c>
      <c r="D3469" s="57" t="s">
        <v>7503</v>
      </c>
      <c r="F3469" s="57">
        <v>110</v>
      </c>
      <c r="G3469" s="57" t="s">
        <v>7552</v>
      </c>
      <c r="H3469" s="57" t="s">
        <v>1354</v>
      </c>
    </row>
    <row r="3470" spans="2:8" ht="13.5" customHeight="1">
      <c r="B3470" s="57" t="s">
        <v>7145</v>
      </c>
      <c r="D3470" s="57" t="s">
        <v>1922</v>
      </c>
      <c r="F3470" s="57">
        <v>1999</v>
      </c>
      <c r="G3470" s="57" t="s">
        <v>7552</v>
      </c>
      <c r="H3470" s="57" t="s">
        <v>1354</v>
      </c>
    </row>
    <row r="3471" spans="2:8" ht="13.5" customHeight="1">
      <c r="B3471" s="57" t="s">
        <v>7143</v>
      </c>
      <c r="D3471" s="57" t="s">
        <v>7144</v>
      </c>
      <c r="F3471" s="57">
        <v>2</v>
      </c>
      <c r="G3471" s="57" t="s">
        <v>7552</v>
      </c>
      <c r="H3471" s="57" t="s">
        <v>1356</v>
      </c>
    </row>
    <row r="3472" spans="2:8" ht="13.5" customHeight="1">
      <c r="B3472" s="57" t="s">
        <v>6860</v>
      </c>
      <c r="D3472" s="57" t="s">
        <v>6861</v>
      </c>
      <c r="F3472" s="57">
        <v>3</v>
      </c>
      <c r="G3472" s="57" t="s">
        <v>7552</v>
      </c>
      <c r="H3472" s="57" t="s">
        <v>1356</v>
      </c>
    </row>
    <row r="3473" spans="2:8" ht="13.5" customHeight="1">
      <c r="B3473" s="57" t="s">
        <v>7196</v>
      </c>
      <c r="D3473" s="57" t="s">
        <v>7197</v>
      </c>
      <c r="F3473" s="57">
        <v>5</v>
      </c>
      <c r="G3473" s="57" t="s">
        <v>7552</v>
      </c>
      <c r="H3473" s="57" t="s">
        <v>1356</v>
      </c>
    </row>
    <row r="3474" spans="2:8" ht="13.5" customHeight="1">
      <c r="B3474" s="57" t="s">
        <v>7123</v>
      </c>
      <c r="D3474" s="57" t="s">
        <v>7124</v>
      </c>
      <c r="F3474" s="57">
        <v>5</v>
      </c>
      <c r="G3474" s="57" t="s">
        <v>7552</v>
      </c>
      <c r="H3474" s="57" t="s">
        <v>1356</v>
      </c>
    </row>
    <row r="3475" spans="2:8" ht="13.5" customHeight="1">
      <c r="B3475" s="57" t="s">
        <v>296</v>
      </c>
      <c r="D3475" s="57" t="s">
        <v>297</v>
      </c>
      <c r="F3475" s="57">
        <v>6</v>
      </c>
      <c r="G3475" s="57" t="s">
        <v>7552</v>
      </c>
      <c r="H3475" s="57" t="s">
        <v>1356</v>
      </c>
    </row>
    <row r="3476" spans="2:8" ht="13.5" customHeight="1">
      <c r="B3476" s="57" t="s">
        <v>6769</v>
      </c>
      <c r="D3476" s="57" t="s">
        <v>6770</v>
      </c>
      <c r="F3476" s="57">
        <v>7</v>
      </c>
      <c r="G3476" s="57" t="s">
        <v>7552</v>
      </c>
      <c r="H3476" s="57" t="s">
        <v>1356</v>
      </c>
    </row>
    <row r="3477" spans="2:8" ht="13.5" customHeight="1">
      <c r="B3477" s="57" t="s">
        <v>6782</v>
      </c>
      <c r="D3477" s="57" t="s">
        <v>6783</v>
      </c>
      <c r="F3477" s="57">
        <v>8</v>
      </c>
      <c r="G3477" s="57" t="s">
        <v>7552</v>
      </c>
      <c r="H3477" s="57" t="s">
        <v>1356</v>
      </c>
    </row>
    <row r="3478" spans="2:8" ht="13.5" customHeight="1">
      <c r="B3478" s="57" t="s">
        <v>7037</v>
      </c>
      <c r="D3478" s="57" t="s">
        <v>7038</v>
      </c>
      <c r="F3478" s="57">
        <v>9</v>
      </c>
      <c r="G3478" s="57" t="s">
        <v>7552</v>
      </c>
      <c r="H3478" s="57" t="s">
        <v>1356</v>
      </c>
    </row>
    <row r="3479" spans="2:8" ht="13.5" customHeight="1">
      <c r="B3479" s="57" t="s">
        <v>6767</v>
      </c>
      <c r="D3479" s="57" t="s">
        <v>6768</v>
      </c>
      <c r="F3479" s="57">
        <v>14</v>
      </c>
      <c r="G3479" s="57" t="s">
        <v>7552</v>
      </c>
      <c r="H3479" s="57" t="s">
        <v>1356</v>
      </c>
    </row>
    <row r="3480" spans="2:8" ht="13.5" customHeight="1">
      <c r="B3480" s="57" t="s">
        <v>6735</v>
      </c>
      <c r="D3480" s="57" t="s">
        <v>5536</v>
      </c>
      <c r="F3480" s="57">
        <v>14</v>
      </c>
      <c r="G3480" s="57" t="s">
        <v>7552</v>
      </c>
      <c r="H3480" s="57" t="s">
        <v>1356</v>
      </c>
    </row>
    <row r="3481" spans="2:8" ht="13.5" customHeight="1">
      <c r="B3481" s="57" t="s">
        <v>7381</v>
      </c>
      <c r="D3481" s="57" t="s">
        <v>7382</v>
      </c>
      <c r="F3481" s="57">
        <v>19</v>
      </c>
      <c r="G3481" s="57" t="s">
        <v>7552</v>
      </c>
      <c r="H3481" s="57" t="s">
        <v>1356</v>
      </c>
    </row>
    <row r="3482" spans="2:8" ht="13.5" customHeight="1">
      <c r="B3482" s="57" t="s">
        <v>907</v>
      </c>
      <c r="D3482" s="57" t="s">
        <v>6753</v>
      </c>
      <c r="F3482" s="57">
        <v>25</v>
      </c>
      <c r="G3482" s="57" t="s">
        <v>7552</v>
      </c>
      <c r="H3482" s="57" t="s">
        <v>1356</v>
      </c>
    </row>
    <row r="3483" spans="2:8" ht="13.5" customHeight="1">
      <c r="B3483" s="57" t="s">
        <v>6822</v>
      </c>
      <c r="D3483" s="57" t="s">
        <v>6823</v>
      </c>
      <c r="F3483" s="57">
        <v>38</v>
      </c>
      <c r="G3483" s="57" t="s">
        <v>7552</v>
      </c>
      <c r="H3483" s="57" t="s">
        <v>1356</v>
      </c>
    </row>
    <row r="3484" spans="2:8" ht="13.5" customHeight="1">
      <c r="B3484" s="57" t="s">
        <v>7025</v>
      </c>
      <c r="D3484" s="57" t="s">
        <v>7026</v>
      </c>
      <c r="F3484" s="57">
        <v>52</v>
      </c>
      <c r="G3484" s="57" t="s">
        <v>7552</v>
      </c>
      <c r="H3484" s="57" t="s">
        <v>1356</v>
      </c>
    </row>
    <row r="3485" spans="2:8" ht="13.5" customHeight="1">
      <c r="B3485" s="57" t="s">
        <v>6736</v>
      </c>
      <c r="D3485" s="57" t="s">
        <v>6737</v>
      </c>
      <c r="F3485" s="57">
        <v>70</v>
      </c>
      <c r="G3485" s="57" t="s">
        <v>7552</v>
      </c>
      <c r="H3485" s="57" t="s">
        <v>1356</v>
      </c>
    </row>
    <row r="3486" spans="2:8" ht="13.5" customHeight="1">
      <c r="B3486" s="57" t="s">
        <v>6790</v>
      </c>
      <c r="D3486" s="57" t="s">
        <v>6791</v>
      </c>
      <c r="F3486" s="57">
        <v>76</v>
      </c>
      <c r="G3486" s="57" t="s">
        <v>7552</v>
      </c>
      <c r="H3486" s="57" t="s">
        <v>1356</v>
      </c>
    </row>
    <row r="3487" spans="2:8" ht="13.5" customHeight="1">
      <c r="B3487" s="57" t="s">
        <v>6731</v>
      </c>
      <c r="D3487" s="57" t="s">
        <v>6732</v>
      </c>
      <c r="F3487" s="57">
        <v>79</v>
      </c>
      <c r="G3487" s="57" t="s">
        <v>7552</v>
      </c>
      <c r="H3487" s="57" t="s">
        <v>1356</v>
      </c>
    </row>
    <row r="3488" spans="2:8" ht="13.5" customHeight="1">
      <c r="B3488" s="57" t="s">
        <v>6082</v>
      </c>
      <c r="D3488" s="57" t="s">
        <v>6876</v>
      </c>
      <c r="F3488" s="57">
        <v>86</v>
      </c>
      <c r="G3488" s="57" t="s">
        <v>7552</v>
      </c>
      <c r="H3488" s="57" t="s">
        <v>1356</v>
      </c>
    </row>
    <row r="3489" spans="2:8" ht="13.5" customHeight="1">
      <c r="B3489" s="57" t="s">
        <v>6758</v>
      </c>
      <c r="D3489" s="57" t="s">
        <v>6759</v>
      </c>
      <c r="F3489" s="57">
        <v>88</v>
      </c>
      <c r="G3489" s="57" t="s">
        <v>7552</v>
      </c>
      <c r="H3489" s="57" t="s">
        <v>1356</v>
      </c>
    </row>
    <row r="3490" spans="2:8" ht="13.5" customHeight="1">
      <c r="B3490" s="57" t="s">
        <v>6798</v>
      </c>
      <c r="D3490" s="57" t="s">
        <v>6799</v>
      </c>
      <c r="F3490" s="57">
        <v>93</v>
      </c>
      <c r="G3490" s="57" t="s">
        <v>7552</v>
      </c>
      <c r="H3490" s="57" t="s">
        <v>1356</v>
      </c>
    </row>
    <row r="3491" spans="2:8" ht="13.5" customHeight="1">
      <c r="B3491" s="57" t="s">
        <v>6764</v>
      </c>
      <c r="D3491" s="57" t="s">
        <v>6765</v>
      </c>
      <c r="F3491" s="57">
        <v>96</v>
      </c>
      <c r="G3491" s="57" t="s">
        <v>7552</v>
      </c>
      <c r="H3491" s="57" t="s">
        <v>1356</v>
      </c>
    </row>
    <row r="3492" spans="2:8" ht="13.5" customHeight="1">
      <c r="B3492" s="57" t="s">
        <v>7139</v>
      </c>
      <c r="D3492" s="57" t="s">
        <v>7140</v>
      </c>
      <c r="F3492" s="57">
        <v>120</v>
      </c>
      <c r="G3492" s="57" t="s">
        <v>7552</v>
      </c>
      <c r="H3492" s="57" t="s">
        <v>1356</v>
      </c>
    </row>
    <row r="3493" spans="2:8" ht="13.5" customHeight="1">
      <c r="B3493" s="57" t="s">
        <v>7023</v>
      </c>
      <c r="D3493" s="57" t="s">
        <v>7024</v>
      </c>
      <c r="F3493" s="57">
        <v>125</v>
      </c>
      <c r="G3493" s="57" t="s">
        <v>7552</v>
      </c>
      <c r="H3493" s="57" t="s">
        <v>1356</v>
      </c>
    </row>
    <row r="3494" spans="2:8" ht="13.5" customHeight="1">
      <c r="B3494" s="57" t="s">
        <v>6802</v>
      </c>
      <c r="D3494" s="57" t="s">
        <v>6803</v>
      </c>
      <c r="F3494" s="57">
        <v>134</v>
      </c>
      <c r="G3494" s="57" t="s">
        <v>7552</v>
      </c>
      <c r="H3494" s="57" t="s">
        <v>1356</v>
      </c>
    </row>
    <row r="3495" spans="2:8" ht="13.5" customHeight="1">
      <c r="B3495" s="57" t="s">
        <v>7020</v>
      </c>
      <c r="D3495" s="57" t="s">
        <v>7020</v>
      </c>
      <c r="F3495" s="57">
        <v>183</v>
      </c>
      <c r="G3495" s="57" t="s">
        <v>7552</v>
      </c>
      <c r="H3495" s="57" t="s">
        <v>1356</v>
      </c>
    </row>
    <row r="3496" spans="2:8" ht="13.5" customHeight="1">
      <c r="B3496" s="57" t="s">
        <v>7027</v>
      </c>
      <c r="D3496" s="57" t="s">
        <v>7027</v>
      </c>
      <c r="F3496" s="57">
        <v>248</v>
      </c>
      <c r="G3496" s="57" t="s">
        <v>7552</v>
      </c>
      <c r="H3496" s="57" t="s">
        <v>1356</v>
      </c>
    </row>
    <row r="3497" spans="2:8" ht="13.5" customHeight="1">
      <c r="B3497" s="57" t="s">
        <v>7133</v>
      </c>
      <c r="D3497" s="57" t="s">
        <v>7134</v>
      </c>
      <c r="F3497" s="57">
        <v>250</v>
      </c>
      <c r="G3497" s="57" t="s">
        <v>7552</v>
      </c>
      <c r="H3497" s="57" t="s">
        <v>1356</v>
      </c>
    </row>
    <row r="3498" spans="2:8" ht="13.5" customHeight="1">
      <c r="B3498" s="57" t="s">
        <v>7379</v>
      </c>
      <c r="D3498" s="57" t="s">
        <v>7380</v>
      </c>
      <c r="F3498" s="57">
        <v>403</v>
      </c>
      <c r="G3498" s="57" t="s">
        <v>7552</v>
      </c>
      <c r="H3498" s="57" t="s">
        <v>1356</v>
      </c>
    </row>
    <row r="3499" spans="2:8" ht="13.5" customHeight="1">
      <c r="B3499" s="57" t="s">
        <v>6738</v>
      </c>
      <c r="D3499" s="57" t="s">
        <v>5216</v>
      </c>
      <c r="F3499" s="57">
        <v>806</v>
      </c>
      <c r="G3499" s="57" t="s">
        <v>7552</v>
      </c>
      <c r="H3499" s="57" t="s">
        <v>1356</v>
      </c>
    </row>
    <row r="3500" spans="2:8" ht="13.5" customHeight="1">
      <c r="B3500" s="57" t="s">
        <v>5544</v>
      </c>
      <c r="D3500" s="57" t="s">
        <v>5545</v>
      </c>
      <c r="F3500" s="57">
        <v>3</v>
      </c>
      <c r="G3500" s="57" t="s">
        <v>7552</v>
      </c>
      <c r="H3500" s="57" t="s">
        <v>2287</v>
      </c>
    </row>
    <row r="3501" spans="2:8" ht="13.5" customHeight="1">
      <c r="B3501" s="57" t="s">
        <v>6838</v>
      </c>
      <c r="D3501" s="57" t="s">
        <v>6839</v>
      </c>
      <c r="F3501" s="57">
        <v>4</v>
      </c>
      <c r="G3501" s="57" t="s">
        <v>7552</v>
      </c>
      <c r="H3501" s="57" t="s">
        <v>2287</v>
      </c>
    </row>
    <row r="3502" spans="2:8" ht="13.5" customHeight="1">
      <c r="B3502" s="57" t="s">
        <v>6870</v>
      </c>
      <c r="D3502" s="57" t="s">
        <v>6871</v>
      </c>
      <c r="F3502" s="57">
        <v>4</v>
      </c>
      <c r="G3502" s="57" t="s">
        <v>7552</v>
      </c>
      <c r="H3502" s="57" t="s">
        <v>2287</v>
      </c>
    </row>
    <row r="3503" spans="2:8" ht="13.5" customHeight="1">
      <c r="B3503" s="57" t="s">
        <v>6844</v>
      </c>
      <c r="D3503" s="57" t="s">
        <v>6845</v>
      </c>
      <c r="F3503" s="57">
        <v>4</v>
      </c>
      <c r="G3503" s="57" t="s">
        <v>7552</v>
      </c>
      <c r="H3503" s="57" t="s">
        <v>2287</v>
      </c>
    </row>
    <row r="3504" spans="2:8" ht="13.5" customHeight="1">
      <c r="B3504" s="57" t="s">
        <v>6864</v>
      </c>
      <c r="D3504" s="57" t="s">
        <v>6865</v>
      </c>
      <c r="F3504" s="57">
        <v>4</v>
      </c>
      <c r="G3504" s="57" t="s">
        <v>7552</v>
      </c>
      <c r="H3504" s="57" t="s">
        <v>2287</v>
      </c>
    </row>
    <row r="3505" spans="2:8" ht="13.5" customHeight="1">
      <c r="B3505" s="57" t="s">
        <v>6809</v>
      </c>
      <c r="D3505" s="57" t="s">
        <v>6810</v>
      </c>
      <c r="F3505" s="57">
        <v>7</v>
      </c>
      <c r="G3505" s="57" t="s">
        <v>7552</v>
      </c>
      <c r="H3505" s="57" t="s">
        <v>2287</v>
      </c>
    </row>
    <row r="3506" spans="2:8" ht="13.5" customHeight="1">
      <c r="B3506" s="57" t="s">
        <v>6786</v>
      </c>
      <c r="D3506" s="57" t="s">
        <v>6787</v>
      </c>
      <c r="F3506" s="57">
        <v>8</v>
      </c>
      <c r="G3506" s="57" t="s">
        <v>7552</v>
      </c>
      <c r="H3506" s="57" t="s">
        <v>2287</v>
      </c>
    </row>
    <row r="3507" spans="2:8" ht="13.5" customHeight="1">
      <c r="B3507" s="57" t="s">
        <v>6794</v>
      </c>
      <c r="D3507" s="57" t="s">
        <v>6795</v>
      </c>
      <c r="F3507" s="57">
        <v>8</v>
      </c>
      <c r="G3507" s="57" t="s">
        <v>7552</v>
      </c>
      <c r="H3507" s="57" t="s">
        <v>2287</v>
      </c>
    </row>
    <row r="3508" spans="2:8" ht="13.5" customHeight="1">
      <c r="B3508" s="57" t="s">
        <v>6850</v>
      </c>
      <c r="D3508" s="57" t="s">
        <v>6851</v>
      </c>
      <c r="F3508" s="57">
        <v>8</v>
      </c>
      <c r="G3508" s="57" t="s">
        <v>7552</v>
      </c>
      <c r="H3508" s="57" t="s">
        <v>2287</v>
      </c>
    </row>
    <row r="3509" spans="2:8" ht="13.5" customHeight="1">
      <c r="B3509" s="57" t="s">
        <v>6771</v>
      </c>
      <c r="D3509" s="57" t="s">
        <v>6772</v>
      </c>
      <c r="F3509" s="57">
        <v>8</v>
      </c>
      <c r="G3509" s="57" t="s">
        <v>7552</v>
      </c>
      <c r="H3509" s="57" t="s">
        <v>2287</v>
      </c>
    </row>
    <row r="3510" spans="2:8" ht="13.5" customHeight="1">
      <c r="B3510" s="57" t="s">
        <v>6824</v>
      </c>
      <c r="D3510" s="57" t="s">
        <v>6825</v>
      </c>
      <c r="F3510" s="57">
        <v>8</v>
      </c>
      <c r="G3510" s="57" t="s">
        <v>7552</v>
      </c>
      <c r="H3510" s="57" t="s">
        <v>2287</v>
      </c>
    </row>
    <row r="3511" spans="2:8" ht="13.5" customHeight="1">
      <c r="B3511" s="57" t="s">
        <v>6811</v>
      </c>
      <c r="D3511" s="57" t="s">
        <v>6812</v>
      </c>
      <c r="F3511" s="57">
        <v>10</v>
      </c>
      <c r="G3511" s="57" t="s">
        <v>7552</v>
      </c>
      <c r="H3511" s="57" t="s">
        <v>2287</v>
      </c>
    </row>
    <row r="3512" spans="2:8" ht="13.5" customHeight="1">
      <c r="B3512" s="57" t="s">
        <v>6868</v>
      </c>
      <c r="D3512" s="57" t="s">
        <v>6869</v>
      </c>
      <c r="F3512" s="57">
        <v>14</v>
      </c>
      <c r="G3512" s="57" t="s">
        <v>7552</v>
      </c>
      <c r="H3512" s="57" t="s">
        <v>2287</v>
      </c>
    </row>
    <row r="3513" spans="2:8" ht="13.5" customHeight="1">
      <c r="B3513" s="57" t="s">
        <v>6856</v>
      </c>
      <c r="D3513" s="57" t="s">
        <v>6857</v>
      </c>
      <c r="F3513" s="57">
        <v>14</v>
      </c>
      <c r="G3513" s="57" t="s">
        <v>7552</v>
      </c>
      <c r="H3513" s="57" t="s">
        <v>2287</v>
      </c>
    </row>
    <row r="3514" spans="2:8" ht="13.5" customHeight="1">
      <c r="B3514" s="57" t="s">
        <v>6813</v>
      </c>
      <c r="D3514" s="57" t="s">
        <v>5621</v>
      </c>
      <c r="F3514" s="57">
        <v>14</v>
      </c>
      <c r="G3514" s="57" t="s">
        <v>7552</v>
      </c>
      <c r="H3514" s="57" t="s">
        <v>2287</v>
      </c>
    </row>
    <row r="3515" spans="2:8" ht="13.5" customHeight="1">
      <c r="B3515" s="57" t="s">
        <v>6846</v>
      </c>
      <c r="D3515" s="57" t="s">
        <v>6847</v>
      </c>
      <c r="F3515" s="57">
        <v>20</v>
      </c>
      <c r="G3515" s="57" t="s">
        <v>7552</v>
      </c>
      <c r="H3515" s="57" t="s">
        <v>2287</v>
      </c>
    </row>
    <row r="3516" spans="2:8" ht="13.5" customHeight="1">
      <c r="B3516" s="57" t="s">
        <v>6858</v>
      </c>
      <c r="D3516" s="57" t="s">
        <v>6859</v>
      </c>
      <c r="F3516" s="57">
        <v>20</v>
      </c>
      <c r="G3516" s="57" t="s">
        <v>7552</v>
      </c>
      <c r="H3516" s="57" t="s">
        <v>2287</v>
      </c>
    </row>
    <row r="3517" spans="2:8" ht="13.5" customHeight="1">
      <c r="B3517" s="57" t="s">
        <v>6854</v>
      </c>
      <c r="D3517" s="57" t="s">
        <v>6855</v>
      </c>
      <c r="F3517" s="57">
        <v>20</v>
      </c>
      <c r="G3517" s="57" t="s">
        <v>7552</v>
      </c>
      <c r="H3517" s="57" t="s">
        <v>2287</v>
      </c>
    </row>
    <row r="3518" spans="2:8" ht="13.5" customHeight="1">
      <c r="B3518" s="57" t="s">
        <v>6796</v>
      </c>
      <c r="D3518" s="57" t="s">
        <v>6797</v>
      </c>
      <c r="F3518" s="57">
        <v>21</v>
      </c>
      <c r="G3518" s="57" t="s">
        <v>7552</v>
      </c>
      <c r="H3518" s="57" t="s">
        <v>2287</v>
      </c>
    </row>
    <row r="3519" spans="2:8" ht="13.5" customHeight="1">
      <c r="B3519" s="57" t="s">
        <v>6862</v>
      </c>
      <c r="D3519" s="57" t="s">
        <v>6863</v>
      </c>
      <c r="F3519" s="57">
        <v>21</v>
      </c>
      <c r="G3519" s="57" t="s">
        <v>7552</v>
      </c>
      <c r="H3519" s="57" t="s">
        <v>2287</v>
      </c>
    </row>
    <row r="3520" spans="2:8" ht="13.5" customHeight="1">
      <c r="B3520" s="57" t="s">
        <v>6805</v>
      </c>
      <c r="D3520" s="57" t="s">
        <v>6806</v>
      </c>
      <c r="F3520" s="57">
        <v>22</v>
      </c>
      <c r="G3520" s="57" t="s">
        <v>7552</v>
      </c>
      <c r="H3520" s="57" t="s">
        <v>2287</v>
      </c>
    </row>
    <row r="3521" spans="2:8" ht="13.5" customHeight="1">
      <c r="B3521" s="57" t="s">
        <v>6807</v>
      </c>
      <c r="D3521" s="57" t="s">
        <v>6808</v>
      </c>
      <c r="F3521" s="57">
        <v>22</v>
      </c>
      <c r="G3521" s="57" t="s">
        <v>7552</v>
      </c>
      <c r="H3521" s="57" t="s">
        <v>2287</v>
      </c>
    </row>
    <row r="3522" spans="2:8" ht="13.5" customHeight="1">
      <c r="B3522" s="57" t="s">
        <v>6780</v>
      </c>
      <c r="D3522" s="57" t="s">
        <v>6781</v>
      </c>
      <c r="F3522" s="57">
        <v>23</v>
      </c>
      <c r="G3522" s="57" t="s">
        <v>7552</v>
      </c>
      <c r="H3522" s="57" t="s">
        <v>2287</v>
      </c>
    </row>
    <row r="3523" spans="2:8" ht="13.5" customHeight="1">
      <c r="B3523" s="57" t="s">
        <v>6848</v>
      </c>
      <c r="D3523" s="57" t="s">
        <v>6849</v>
      </c>
      <c r="F3523" s="57">
        <v>23</v>
      </c>
      <c r="G3523" s="57" t="s">
        <v>7552</v>
      </c>
      <c r="H3523" s="57" t="s">
        <v>2287</v>
      </c>
    </row>
    <row r="3524" spans="2:8" ht="13.5" customHeight="1">
      <c r="B3524" s="57" t="s">
        <v>6800</v>
      </c>
      <c r="D3524" s="57" t="s">
        <v>6801</v>
      </c>
      <c r="F3524" s="57">
        <v>23</v>
      </c>
      <c r="G3524" s="57" t="s">
        <v>7552</v>
      </c>
      <c r="H3524" s="57" t="s">
        <v>2287</v>
      </c>
    </row>
    <row r="3525" spans="2:8" ht="13.5" customHeight="1">
      <c r="B3525" s="57" t="s">
        <v>6778</v>
      </c>
      <c r="D3525" s="57" t="s">
        <v>6779</v>
      </c>
      <c r="F3525" s="57">
        <v>23</v>
      </c>
      <c r="G3525" s="57" t="s">
        <v>7552</v>
      </c>
      <c r="H3525" s="57" t="s">
        <v>2287</v>
      </c>
    </row>
    <row r="3526" spans="2:8" ht="13.5" customHeight="1">
      <c r="B3526" s="57" t="s">
        <v>6784</v>
      </c>
      <c r="D3526" s="57" t="s">
        <v>6785</v>
      </c>
      <c r="F3526" s="57">
        <v>24</v>
      </c>
      <c r="G3526" s="57" t="s">
        <v>7552</v>
      </c>
      <c r="H3526" s="57" t="s">
        <v>2287</v>
      </c>
    </row>
    <row r="3527" spans="2:8" ht="13.5" customHeight="1">
      <c r="B3527" s="57" t="s">
        <v>6831</v>
      </c>
      <c r="D3527" s="57" t="s">
        <v>6832</v>
      </c>
      <c r="F3527" s="57">
        <v>25</v>
      </c>
      <c r="G3527" s="57" t="s">
        <v>7552</v>
      </c>
      <c r="H3527" s="57" t="s">
        <v>2287</v>
      </c>
    </row>
    <row r="3528" spans="2:8" ht="13.5" customHeight="1">
      <c r="B3528" s="57" t="s">
        <v>6773</v>
      </c>
      <c r="D3528" s="57" t="s">
        <v>6774</v>
      </c>
      <c r="F3528" s="57">
        <v>40</v>
      </c>
      <c r="G3528" s="57" t="s">
        <v>7552</v>
      </c>
      <c r="H3528" s="57" t="s">
        <v>2287</v>
      </c>
    </row>
    <row r="3529" spans="2:8" ht="13.5" customHeight="1">
      <c r="B3529" s="57" t="s">
        <v>6788</v>
      </c>
      <c r="D3529" s="57" t="s">
        <v>6789</v>
      </c>
      <c r="F3529" s="57">
        <v>56</v>
      </c>
      <c r="G3529" s="57" t="s">
        <v>7552</v>
      </c>
      <c r="H3529" s="57" t="s">
        <v>2287</v>
      </c>
    </row>
    <row r="3530" spans="2:8" ht="13.5" customHeight="1">
      <c r="B3530" s="57" t="s">
        <v>6828</v>
      </c>
      <c r="D3530" s="126" t="s">
        <v>6829</v>
      </c>
      <c r="F3530" s="57">
        <v>85</v>
      </c>
      <c r="G3530" s="57" t="s">
        <v>7552</v>
      </c>
      <c r="H3530" s="57" t="s">
        <v>2287</v>
      </c>
    </row>
    <row r="3531" spans="2:8" ht="13.5" customHeight="1">
      <c r="B3531" s="57" t="s">
        <v>6826</v>
      </c>
      <c r="D3531" s="57" t="s">
        <v>3173</v>
      </c>
      <c r="F3531" s="57">
        <v>85</v>
      </c>
      <c r="G3531" s="57" t="s">
        <v>7552</v>
      </c>
      <c r="H3531" s="57" t="s">
        <v>2287</v>
      </c>
    </row>
    <row r="3532" spans="2:8" ht="13.5" customHeight="1">
      <c r="B3532" s="57" t="s">
        <v>6827</v>
      </c>
      <c r="D3532" s="57" t="s">
        <v>3700</v>
      </c>
      <c r="F3532" s="57">
        <v>93</v>
      </c>
      <c r="G3532" s="57" t="s">
        <v>7552</v>
      </c>
      <c r="H3532" s="57" t="s">
        <v>2287</v>
      </c>
    </row>
    <row r="3533" spans="2:8" ht="13.5" customHeight="1">
      <c r="B3533" s="57" t="s">
        <v>6760</v>
      </c>
      <c r="D3533" s="57" t="s">
        <v>6761</v>
      </c>
      <c r="F3533" s="57">
        <v>93</v>
      </c>
      <c r="G3533" s="57" t="s">
        <v>7552</v>
      </c>
      <c r="H3533" s="57" t="s">
        <v>2287</v>
      </c>
    </row>
    <row r="3534" spans="2:8" ht="13.5" customHeight="1">
      <c r="B3534" s="57" t="s">
        <v>6842</v>
      </c>
      <c r="D3534" s="57" t="s">
        <v>6843</v>
      </c>
      <c r="F3534" s="57">
        <v>95</v>
      </c>
      <c r="G3534" s="57" t="s">
        <v>7552</v>
      </c>
      <c r="H3534" s="57" t="s">
        <v>2287</v>
      </c>
    </row>
    <row r="3535" spans="2:8" ht="13.5" customHeight="1">
      <c r="B3535" s="57" t="s">
        <v>6835</v>
      </c>
      <c r="D3535" s="57" t="s">
        <v>6836</v>
      </c>
      <c r="F3535" s="57">
        <v>99</v>
      </c>
      <c r="G3535" s="57" t="s">
        <v>7552</v>
      </c>
      <c r="H3535" s="57" t="s">
        <v>2287</v>
      </c>
    </row>
    <row r="3536" spans="2:8" ht="13.5" customHeight="1">
      <c r="B3536" s="57" t="s">
        <v>6818</v>
      </c>
      <c r="D3536" s="57" t="s">
        <v>6819</v>
      </c>
      <c r="F3536" s="57">
        <v>100</v>
      </c>
      <c r="G3536" s="57" t="s">
        <v>7552</v>
      </c>
      <c r="H3536" s="57" t="s">
        <v>2287</v>
      </c>
    </row>
    <row r="3537" spans="2:8" ht="13.5" customHeight="1">
      <c r="B3537" s="57" t="s">
        <v>6775</v>
      </c>
      <c r="D3537" s="57" t="s">
        <v>6776</v>
      </c>
      <c r="F3537" s="57">
        <v>102</v>
      </c>
      <c r="G3537" s="57" t="s">
        <v>7552</v>
      </c>
      <c r="H3537" s="57" t="s">
        <v>2287</v>
      </c>
    </row>
    <row r="3538" spans="2:8" ht="13.5" customHeight="1">
      <c r="B3538" s="57" t="s">
        <v>6837</v>
      </c>
      <c r="D3538" s="57" t="s">
        <v>3797</v>
      </c>
      <c r="F3538" s="57">
        <v>172</v>
      </c>
      <c r="G3538" s="57" t="s">
        <v>7552</v>
      </c>
      <c r="H3538" s="57" t="s">
        <v>2287</v>
      </c>
    </row>
    <row r="3539" spans="2:8" ht="13.5" customHeight="1">
      <c r="B3539" s="57" t="s">
        <v>6756</v>
      </c>
      <c r="D3539" s="57" t="s">
        <v>6757</v>
      </c>
      <c r="F3539" s="57">
        <v>545</v>
      </c>
      <c r="G3539" s="57" t="s">
        <v>7552</v>
      </c>
      <c r="H3539" s="57" t="s">
        <v>2287</v>
      </c>
    </row>
    <row r="3540" spans="2:8" ht="13.5" customHeight="1">
      <c r="B3540" s="57" t="s">
        <v>6820</v>
      </c>
      <c r="D3540" s="57" t="s">
        <v>6821</v>
      </c>
      <c r="F3540" s="57">
        <v>981</v>
      </c>
      <c r="G3540" s="57" t="s">
        <v>7552</v>
      </c>
      <c r="H3540" s="57" t="s">
        <v>2287</v>
      </c>
    </row>
    <row r="3541" spans="2:8" ht="13.5" customHeight="1">
      <c r="B3541" s="57" t="s">
        <v>6777</v>
      </c>
      <c r="D3541" s="57" t="s">
        <v>3072</v>
      </c>
      <c r="F3541" s="57">
        <v>1007</v>
      </c>
      <c r="G3541" s="57" t="s">
        <v>7552</v>
      </c>
      <c r="H3541" s="57" t="s">
        <v>2287</v>
      </c>
    </row>
    <row r="3542" spans="2:8" ht="13.5" customHeight="1">
      <c r="B3542" s="57" t="s">
        <v>6792</v>
      </c>
      <c r="D3542" s="57" t="s">
        <v>6793</v>
      </c>
      <c r="F3542" s="57">
        <v>1036</v>
      </c>
      <c r="G3542" s="57" t="s">
        <v>7552</v>
      </c>
      <c r="H3542" s="57" t="s">
        <v>2287</v>
      </c>
    </row>
    <row r="3543" spans="2:8" ht="13.5" customHeight="1">
      <c r="B3543" s="57" t="s">
        <v>6966</v>
      </c>
      <c r="D3543" s="57" t="s">
        <v>6967</v>
      </c>
      <c r="F3543" s="57">
        <v>1</v>
      </c>
      <c r="G3543" s="57" t="s">
        <v>7552</v>
      </c>
      <c r="H3543" s="57" t="s">
        <v>2288</v>
      </c>
    </row>
    <row r="3544" spans="2:8" ht="13.5" customHeight="1">
      <c r="B3544" s="57" t="s">
        <v>7250</v>
      </c>
      <c r="D3544" s="57" t="s">
        <v>7251</v>
      </c>
      <c r="F3544" s="57">
        <v>2</v>
      </c>
      <c r="G3544" s="57" t="s">
        <v>7552</v>
      </c>
      <c r="H3544" s="57" t="s">
        <v>2288</v>
      </c>
    </row>
    <row r="3545" spans="2:8" ht="13.5" customHeight="1">
      <c r="B3545" s="57" t="s">
        <v>6711</v>
      </c>
      <c r="D3545" s="57" t="s">
        <v>6712</v>
      </c>
      <c r="F3545" s="57">
        <v>2</v>
      </c>
      <c r="G3545" s="57" t="s">
        <v>7552</v>
      </c>
      <c r="H3545" s="57" t="s">
        <v>2288</v>
      </c>
    </row>
    <row r="3546" spans="2:8" ht="13.5" customHeight="1">
      <c r="B3546" s="57" t="s">
        <v>6985</v>
      </c>
      <c r="D3546" s="57" t="s">
        <v>6986</v>
      </c>
      <c r="F3546" s="57">
        <v>2</v>
      </c>
      <c r="G3546" s="57" t="s">
        <v>7552</v>
      </c>
      <c r="H3546" s="57" t="s">
        <v>2288</v>
      </c>
    </row>
    <row r="3547" spans="2:8" ht="13.5" customHeight="1">
      <c r="B3547" s="57" t="s">
        <v>6897</v>
      </c>
      <c r="D3547" s="57" t="s">
        <v>6898</v>
      </c>
      <c r="F3547" s="57">
        <v>2</v>
      </c>
      <c r="G3547" s="57" t="s">
        <v>7552</v>
      </c>
      <c r="H3547" s="57" t="s">
        <v>2288</v>
      </c>
    </row>
    <row r="3548" spans="2:8" ht="13.5" customHeight="1">
      <c r="B3548" s="57" t="s">
        <v>6991</v>
      </c>
      <c r="D3548" s="57" t="s">
        <v>6992</v>
      </c>
      <c r="F3548" s="57">
        <v>5</v>
      </c>
      <c r="G3548" s="57" t="s">
        <v>7552</v>
      </c>
      <c r="H3548" s="57" t="s">
        <v>2288</v>
      </c>
    </row>
    <row r="3549" spans="2:8" ht="13.5" customHeight="1">
      <c r="B3549" s="57" t="s">
        <v>6983</v>
      </c>
      <c r="D3549" s="57" t="s">
        <v>6984</v>
      </c>
      <c r="F3549" s="57">
        <v>5</v>
      </c>
      <c r="G3549" s="57" t="s">
        <v>7552</v>
      </c>
      <c r="H3549" s="57" t="s">
        <v>2288</v>
      </c>
    </row>
    <row r="3550" spans="2:8" ht="13.5" customHeight="1">
      <c r="B3550" s="57" t="s">
        <v>6718</v>
      </c>
      <c r="D3550" s="57" t="s">
        <v>6719</v>
      </c>
      <c r="F3550" s="57">
        <v>5</v>
      </c>
      <c r="G3550" s="57" t="s">
        <v>7552</v>
      </c>
      <c r="H3550" s="57" t="s">
        <v>2288</v>
      </c>
    </row>
    <row r="3551" spans="2:8" ht="13.5" customHeight="1">
      <c r="B3551" s="57" t="s">
        <v>6670</v>
      </c>
      <c r="D3551" s="57" t="s">
        <v>6013</v>
      </c>
      <c r="F3551" s="57">
        <v>8</v>
      </c>
      <c r="G3551" s="57" t="s">
        <v>7552</v>
      </c>
      <c r="H3551" s="57" t="s">
        <v>2288</v>
      </c>
    </row>
    <row r="3552" spans="2:8" ht="13.5" customHeight="1">
      <c r="B3552" s="57" t="s">
        <v>6689</v>
      </c>
      <c r="D3552" s="57" t="s">
        <v>6690</v>
      </c>
      <c r="F3552" s="57">
        <v>9</v>
      </c>
      <c r="G3552" s="57" t="s">
        <v>7552</v>
      </c>
      <c r="H3552" s="57" t="s">
        <v>2288</v>
      </c>
    </row>
    <row r="3553" spans="2:8" ht="13.5" customHeight="1">
      <c r="B3553" s="57" t="s">
        <v>6695</v>
      </c>
      <c r="D3553" s="57" t="s">
        <v>6696</v>
      </c>
      <c r="F3553" s="57">
        <v>10</v>
      </c>
      <c r="G3553" s="57" t="s">
        <v>7552</v>
      </c>
      <c r="H3553" s="57" t="s">
        <v>2288</v>
      </c>
    </row>
    <row r="3554" spans="2:8" ht="13.5" customHeight="1">
      <c r="B3554" s="57" t="s">
        <v>7248</v>
      </c>
      <c r="D3554" s="57" t="s">
        <v>7249</v>
      </c>
      <c r="F3554" s="57">
        <v>10</v>
      </c>
      <c r="G3554" s="57" t="s">
        <v>7552</v>
      </c>
      <c r="H3554" s="57" t="s">
        <v>2288</v>
      </c>
    </row>
    <row r="3555" spans="2:8" ht="13.5" customHeight="1">
      <c r="B3555" s="57" t="s">
        <v>6960</v>
      </c>
      <c r="D3555" s="57" t="s">
        <v>6961</v>
      </c>
      <c r="F3555" s="57">
        <v>11</v>
      </c>
      <c r="G3555" s="57" t="s">
        <v>7552</v>
      </c>
      <c r="H3555" s="57" t="s">
        <v>2288</v>
      </c>
    </row>
    <row r="3556" spans="2:8" ht="13.5" customHeight="1">
      <c r="B3556" s="57" t="s">
        <v>6889</v>
      </c>
      <c r="D3556" s="57" t="s">
        <v>244</v>
      </c>
      <c r="F3556" s="57">
        <v>20</v>
      </c>
      <c r="G3556" s="57" t="s">
        <v>7552</v>
      </c>
      <c r="H3556" s="57" t="s">
        <v>2288</v>
      </c>
    </row>
    <row r="3557" spans="2:8" ht="13.5" customHeight="1">
      <c r="B3557" s="57" t="s">
        <v>6890</v>
      </c>
      <c r="D3557" s="57" t="s">
        <v>272</v>
      </c>
      <c r="F3557" s="57">
        <v>25</v>
      </c>
      <c r="G3557" s="57" t="s">
        <v>7552</v>
      </c>
      <c r="H3557" s="57" t="s">
        <v>2288</v>
      </c>
    </row>
    <row r="3558" spans="2:8" ht="13.5" customHeight="1">
      <c r="B3558" s="57" t="s">
        <v>227</v>
      </c>
      <c r="D3558" s="57" t="s">
        <v>6993</v>
      </c>
      <c r="F3558" s="57">
        <v>30</v>
      </c>
      <c r="G3558" s="57" t="s">
        <v>7552</v>
      </c>
      <c r="H3558" s="57" t="s">
        <v>2288</v>
      </c>
    </row>
    <row r="3559" spans="2:8" ht="13.5" customHeight="1">
      <c r="B3559" s="57" t="s">
        <v>6954</v>
      </c>
      <c r="D3559" s="57" t="s">
        <v>320</v>
      </c>
      <c r="F3559" s="57">
        <v>44</v>
      </c>
      <c r="G3559" s="57" t="s">
        <v>7552</v>
      </c>
      <c r="H3559" s="57" t="s">
        <v>2288</v>
      </c>
    </row>
    <row r="3560" spans="2:8" ht="13.5" customHeight="1">
      <c r="B3560" s="57" t="s">
        <v>6681</v>
      </c>
      <c r="D3560" s="57" t="s">
        <v>6682</v>
      </c>
      <c r="F3560" s="57">
        <v>55</v>
      </c>
      <c r="G3560" s="57" t="s">
        <v>7552</v>
      </c>
      <c r="H3560" s="57" t="s">
        <v>2288</v>
      </c>
    </row>
    <row r="3561" spans="2:8" ht="13.5" customHeight="1">
      <c r="B3561" s="57" t="s">
        <v>6929</v>
      </c>
      <c r="D3561" s="57" t="s">
        <v>6930</v>
      </c>
      <c r="F3561" s="57">
        <v>70</v>
      </c>
      <c r="G3561" s="57" t="s">
        <v>7552</v>
      </c>
      <c r="H3561" s="57" t="s">
        <v>2288</v>
      </c>
    </row>
    <row r="3562" spans="2:8" ht="13.5" customHeight="1">
      <c r="B3562" s="57" t="s">
        <v>4788</v>
      </c>
      <c r="D3562" s="57" t="s">
        <v>4789</v>
      </c>
      <c r="F3562" s="57">
        <v>83</v>
      </c>
      <c r="G3562" s="57" t="s">
        <v>7552</v>
      </c>
      <c r="H3562" s="57" t="s">
        <v>2288</v>
      </c>
    </row>
    <row r="3563" spans="2:8" ht="13.5" customHeight="1">
      <c r="B3563" s="57" t="s">
        <v>6895</v>
      </c>
      <c r="D3563" s="57" t="s">
        <v>6896</v>
      </c>
      <c r="F3563" s="57">
        <v>110</v>
      </c>
      <c r="G3563" s="57" t="s">
        <v>7552</v>
      </c>
      <c r="H3563" s="57" t="s">
        <v>2288</v>
      </c>
    </row>
    <row r="3564" spans="2:8" ht="13.5" customHeight="1">
      <c r="B3564" s="57" t="s">
        <v>6891</v>
      </c>
      <c r="D3564" s="57" t="s">
        <v>6892</v>
      </c>
      <c r="F3564" s="57">
        <v>128</v>
      </c>
      <c r="G3564" s="57" t="s">
        <v>7552</v>
      </c>
      <c r="H3564" s="57" t="s">
        <v>2288</v>
      </c>
    </row>
    <row r="3565" spans="2:8" ht="13.5" customHeight="1">
      <c r="B3565" s="57" t="s">
        <v>7244</v>
      </c>
      <c r="D3565" s="57" t="s">
        <v>7245</v>
      </c>
      <c r="F3565" s="57">
        <v>151</v>
      </c>
      <c r="G3565" s="57" t="s">
        <v>7552</v>
      </c>
      <c r="H3565" s="57" t="s">
        <v>2288</v>
      </c>
    </row>
    <row r="3566" spans="2:8" ht="13.5" customHeight="1">
      <c r="B3566" s="57" t="s">
        <v>6714</v>
      </c>
      <c r="D3566" s="57" t="s">
        <v>6715</v>
      </c>
      <c r="F3566" s="57">
        <v>200</v>
      </c>
      <c r="G3566" s="57" t="s">
        <v>7552</v>
      </c>
      <c r="H3566" s="57" t="s">
        <v>2288</v>
      </c>
    </row>
    <row r="3567" spans="2:8" ht="13.5" customHeight="1">
      <c r="B3567" s="57" t="s">
        <v>3221</v>
      </c>
      <c r="D3567" s="57" t="s">
        <v>6713</v>
      </c>
      <c r="F3567" s="57">
        <v>213</v>
      </c>
      <c r="G3567" s="57" t="s">
        <v>7552</v>
      </c>
      <c r="H3567" s="57" t="s">
        <v>2288</v>
      </c>
    </row>
    <row r="3568" spans="2:8" ht="13.5" customHeight="1">
      <c r="B3568" s="57" t="s">
        <v>7424</v>
      </c>
      <c r="D3568" s="57" t="s">
        <v>5103</v>
      </c>
      <c r="F3568" s="57">
        <v>225</v>
      </c>
      <c r="G3568" s="57" t="s">
        <v>7552</v>
      </c>
      <c r="H3568" s="57" t="s">
        <v>2288</v>
      </c>
    </row>
    <row r="3569" spans="2:8" ht="13.5" customHeight="1">
      <c r="B3569" s="57" t="s">
        <v>6979</v>
      </c>
      <c r="D3569" s="57" t="s">
        <v>6980</v>
      </c>
      <c r="F3569" s="57">
        <v>260</v>
      </c>
      <c r="G3569" s="57" t="s">
        <v>7552</v>
      </c>
      <c r="H3569" s="57" t="s">
        <v>2288</v>
      </c>
    </row>
    <row r="3570" spans="2:8" ht="13.5" customHeight="1">
      <c r="B3570" s="57" t="s">
        <v>6970</v>
      </c>
      <c r="D3570" s="57" t="s">
        <v>6971</v>
      </c>
      <c r="F3570" s="57">
        <v>272</v>
      </c>
      <c r="G3570" s="57" t="s">
        <v>7552</v>
      </c>
      <c r="H3570" s="57" t="s">
        <v>2288</v>
      </c>
    </row>
    <row r="3571" spans="2:8" ht="13.5" customHeight="1">
      <c r="B3571" s="57" t="s">
        <v>7035</v>
      </c>
      <c r="D3571" s="57" t="s">
        <v>7036</v>
      </c>
      <c r="F3571" s="57">
        <v>436</v>
      </c>
      <c r="G3571" s="57" t="s">
        <v>7552</v>
      </c>
      <c r="H3571" s="57" t="s">
        <v>2288</v>
      </c>
    </row>
    <row r="3572" spans="2:8" ht="13.5" customHeight="1">
      <c r="B3572" s="57" t="s">
        <v>3489</v>
      </c>
      <c r="D3572" s="57" t="s">
        <v>3678</v>
      </c>
      <c r="F3572" s="57">
        <v>731</v>
      </c>
      <c r="G3572" s="57" t="s">
        <v>7552</v>
      </c>
      <c r="H3572" s="57" t="s">
        <v>2288</v>
      </c>
    </row>
    <row r="3573" spans="2:8" ht="13.5" customHeight="1">
      <c r="B3573" s="57" t="s">
        <v>6880</v>
      </c>
      <c r="D3573" s="57" t="s">
        <v>6881</v>
      </c>
      <c r="F3573" s="57">
        <v>1930</v>
      </c>
      <c r="G3573" s="57" t="s">
        <v>7552</v>
      </c>
      <c r="H3573" s="57" t="s">
        <v>2288</v>
      </c>
    </row>
    <row r="3574" spans="2:8" ht="13.5" customHeight="1">
      <c r="B3574" s="57" t="s">
        <v>7117</v>
      </c>
      <c r="D3574" s="57" t="s">
        <v>7118</v>
      </c>
      <c r="F3574" s="57">
        <v>1</v>
      </c>
      <c r="G3574" s="57" t="s">
        <v>7552</v>
      </c>
      <c r="H3574" s="57" t="s">
        <v>2289</v>
      </c>
    </row>
    <row r="3575" spans="2:8" ht="13.5" customHeight="1">
      <c r="B3575" s="57" t="s">
        <v>5744</v>
      </c>
      <c r="D3575" s="57" t="s">
        <v>7119</v>
      </c>
      <c r="F3575" s="57">
        <v>1</v>
      </c>
      <c r="G3575" s="57" t="s">
        <v>7552</v>
      </c>
      <c r="H3575" s="57" t="s">
        <v>2289</v>
      </c>
    </row>
    <row r="3576" spans="2:8" ht="13.5" customHeight="1">
      <c r="B3576" s="57" t="s">
        <v>7112</v>
      </c>
      <c r="D3576" s="57" t="s">
        <v>7113</v>
      </c>
      <c r="F3576" s="57">
        <v>1</v>
      </c>
      <c r="G3576" s="57" t="s">
        <v>7552</v>
      </c>
      <c r="H3576" s="57" t="s">
        <v>2289</v>
      </c>
    </row>
    <row r="3577" spans="2:8" ht="13.5" customHeight="1">
      <c r="B3577" s="57" t="s">
        <v>7116</v>
      </c>
      <c r="D3577" s="57" t="s">
        <v>1375</v>
      </c>
      <c r="F3577" s="57">
        <v>2</v>
      </c>
      <c r="G3577" s="57" t="s">
        <v>7552</v>
      </c>
      <c r="H3577" s="57" t="s">
        <v>2289</v>
      </c>
    </row>
    <row r="3578" spans="2:8" ht="13.5" customHeight="1">
      <c r="B3578" s="57" t="s">
        <v>7114</v>
      </c>
      <c r="D3578" s="57" t="s">
        <v>7115</v>
      </c>
      <c r="F3578" s="57">
        <v>2</v>
      </c>
      <c r="G3578" s="57" t="s">
        <v>7552</v>
      </c>
      <c r="H3578" s="57" t="s">
        <v>2289</v>
      </c>
    </row>
    <row r="3579" spans="2:8" ht="13.5" customHeight="1">
      <c r="D3579" s="57" t="s">
        <v>7526</v>
      </c>
      <c r="F3579" s="57">
        <v>4</v>
      </c>
      <c r="G3579" s="57" t="s">
        <v>7552</v>
      </c>
      <c r="H3579" s="57" t="s">
        <v>2289</v>
      </c>
    </row>
    <row r="3580" spans="2:8" ht="13.5" customHeight="1">
      <c r="B3580" s="57" t="s">
        <v>7008</v>
      </c>
      <c r="D3580" s="57" t="s">
        <v>7009</v>
      </c>
      <c r="F3580" s="57">
        <v>5</v>
      </c>
      <c r="G3580" s="57" t="s">
        <v>7552</v>
      </c>
      <c r="H3580" s="57" t="s">
        <v>2289</v>
      </c>
    </row>
    <row r="3581" spans="2:8" ht="13.5" customHeight="1">
      <c r="B3581" s="57" t="s">
        <v>7104</v>
      </c>
      <c r="D3581" s="57" t="s">
        <v>7105</v>
      </c>
      <c r="F3581" s="57">
        <v>5</v>
      </c>
      <c r="G3581" s="57" t="s">
        <v>7552</v>
      </c>
      <c r="H3581" s="57" t="s">
        <v>2289</v>
      </c>
    </row>
    <row r="3582" spans="2:8" ht="13.5" customHeight="1">
      <c r="B3582" s="57" t="s">
        <v>6041</v>
      </c>
      <c r="D3582" s="57" t="s">
        <v>7106</v>
      </c>
      <c r="F3582" s="57">
        <v>5</v>
      </c>
      <c r="G3582" s="57" t="s">
        <v>7552</v>
      </c>
      <c r="H3582" s="57" t="s">
        <v>2289</v>
      </c>
    </row>
    <row r="3583" spans="2:8" ht="13.5" customHeight="1">
      <c r="B3583" s="57" t="s">
        <v>7108</v>
      </c>
      <c r="D3583" s="57" t="s">
        <v>7109</v>
      </c>
      <c r="F3583" s="57">
        <v>5</v>
      </c>
      <c r="G3583" s="57" t="s">
        <v>7552</v>
      </c>
      <c r="H3583" s="57" t="s">
        <v>2289</v>
      </c>
    </row>
    <row r="3584" spans="2:8" ht="13.5" customHeight="1">
      <c r="B3584" s="57" t="s">
        <v>7520</v>
      </c>
      <c r="D3584" s="57" t="s">
        <v>7521</v>
      </c>
      <c r="F3584" s="57">
        <v>5</v>
      </c>
      <c r="G3584" s="57" t="s">
        <v>7552</v>
      </c>
      <c r="H3584" s="57" t="s">
        <v>2289</v>
      </c>
    </row>
    <row r="3585" spans="2:8" ht="13.5" customHeight="1">
      <c r="B3585" s="57" t="s">
        <v>6548</v>
      </c>
      <c r="D3585" s="57" t="s">
        <v>6549</v>
      </c>
      <c r="F3585" s="57">
        <v>5</v>
      </c>
      <c r="G3585" s="57" t="s">
        <v>7552</v>
      </c>
      <c r="H3585" s="57" t="s">
        <v>2289</v>
      </c>
    </row>
    <row r="3586" spans="2:8" ht="13.5" customHeight="1">
      <c r="B3586" s="57" t="s">
        <v>7014</v>
      </c>
      <c r="D3586" s="57" t="s">
        <v>7015</v>
      </c>
      <c r="F3586" s="57">
        <v>7</v>
      </c>
      <c r="G3586" s="57" t="s">
        <v>7552</v>
      </c>
      <c r="H3586" s="57" t="s">
        <v>2289</v>
      </c>
    </row>
    <row r="3587" spans="2:8" ht="13.5" customHeight="1">
      <c r="B3587" s="57" t="s">
        <v>7522</v>
      </c>
      <c r="D3587" s="57" t="s">
        <v>1614</v>
      </c>
      <c r="F3587" s="57">
        <v>9</v>
      </c>
      <c r="G3587" s="57" t="s">
        <v>7552</v>
      </c>
      <c r="H3587" s="57" t="s">
        <v>2289</v>
      </c>
    </row>
    <row r="3588" spans="2:8" ht="13.5" customHeight="1">
      <c r="B3588" s="57" t="s">
        <v>7051</v>
      </c>
      <c r="D3588" s="57" t="s">
        <v>7052</v>
      </c>
      <c r="F3588" s="57">
        <v>10</v>
      </c>
      <c r="G3588" s="57" t="s">
        <v>7552</v>
      </c>
      <c r="H3588" s="57" t="s">
        <v>2289</v>
      </c>
    </row>
    <row r="3589" spans="2:8" ht="13.5" customHeight="1">
      <c r="B3589" s="57" t="s">
        <v>5714</v>
      </c>
      <c r="D3589" s="57" t="s">
        <v>7055</v>
      </c>
      <c r="F3589" s="57">
        <v>11</v>
      </c>
      <c r="G3589" s="57" t="s">
        <v>7552</v>
      </c>
      <c r="H3589" s="57" t="s">
        <v>2289</v>
      </c>
    </row>
    <row r="3590" spans="2:8" ht="13.5" customHeight="1">
      <c r="B3590" s="57" t="s">
        <v>7525</v>
      </c>
      <c r="D3590" s="57" t="s">
        <v>1657</v>
      </c>
      <c r="F3590" s="57">
        <v>13</v>
      </c>
      <c r="G3590" s="57" t="s">
        <v>7552</v>
      </c>
      <c r="H3590" s="57" t="s">
        <v>2289</v>
      </c>
    </row>
    <row r="3591" spans="2:8" ht="13.5" customHeight="1">
      <c r="B3591" s="57" t="s">
        <v>7518</v>
      </c>
      <c r="D3591" s="57" t="s">
        <v>7519</v>
      </c>
      <c r="F3591" s="57">
        <v>13</v>
      </c>
      <c r="G3591" s="57" t="s">
        <v>7552</v>
      </c>
      <c r="H3591" s="57" t="s">
        <v>2289</v>
      </c>
    </row>
    <row r="3592" spans="2:8" ht="13.5" customHeight="1">
      <c r="B3592" s="57" t="s">
        <v>7523</v>
      </c>
      <c r="D3592" s="57" t="s">
        <v>7524</v>
      </c>
      <c r="F3592" s="57">
        <v>14</v>
      </c>
      <c r="G3592" s="57" t="s">
        <v>7552</v>
      </c>
      <c r="H3592" s="57" t="s">
        <v>2289</v>
      </c>
    </row>
    <row r="3593" spans="2:8" ht="13.5" customHeight="1">
      <c r="B3593" s="57" t="s">
        <v>7050</v>
      </c>
      <c r="D3593" s="57" t="s">
        <v>5375</v>
      </c>
      <c r="F3593" s="57">
        <v>21</v>
      </c>
      <c r="G3593" s="57" t="s">
        <v>7552</v>
      </c>
      <c r="H3593" s="57" t="s">
        <v>2289</v>
      </c>
    </row>
    <row r="3594" spans="2:8" ht="13.5" customHeight="1">
      <c r="B3594" s="57" t="s">
        <v>6587</v>
      </c>
      <c r="D3594" s="57" t="s">
        <v>6587</v>
      </c>
      <c r="F3594" s="57">
        <v>25</v>
      </c>
      <c r="G3594" s="57" t="s">
        <v>7552</v>
      </c>
      <c r="H3594" s="57" t="s">
        <v>2289</v>
      </c>
    </row>
    <row r="3595" spans="2:8" ht="13.5" customHeight="1">
      <c r="B3595" s="57" t="s">
        <v>7060</v>
      </c>
      <c r="D3595" s="57" t="s">
        <v>7061</v>
      </c>
      <c r="F3595" s="57">
        <v>25</v>
      </c>
      <c r="G3595" s="57" t="s">
        <v>7552</v>
      </c>
      <c r="H3595" s="57" t="s">
        <v>2289</v>
      </c>
    </row>
    <row r="3596" spans="2:8" ht="13.5" customHeight="1">
      <c r="B3596" s="57" t="s">
        <v>7029</v>
      </c>
      <c r="D3596" s="57" t="s">
        <v>7030</v>
      </c>
      <c r="F3596" s="57">
        <v>28</v>
      </c>
      <c r="G3596" s="57" t="s">
        <v>7552</v>
      </c>
      <c r="H3596" s="57" t="s">
        <v>2289</v>
      </c>
    </row>
    <row r="3597" spans="2:8" ht="13.5" customHeight="1">
      <c r="B3597" s="57" t="s">
        <v>7527</v>
      </c>
      <c r="D3597" s="57" t="s">
        <v>7528</v>
      </c>
      <c r="F3597" s="57">
        <v>30</v>
      </c>
      <c r="G3597" s="57" t="s">
        <v>7552</v>
      </c>
      <c r="H3597" s="57" t="s">
        <v>2289</v>
      </c>
    </row>
    <row r="3598" spans="2:8" ht="13.5" customHeight="1">
      <c r="B3598" s="57" t="s">
        <v>7000</v>
      </c>
      <c r="D3598" s="57" t="s">
        <v>7001</v>
      </c>
      <c r="F3598" s="57">
        <v>44</v>
      </c>
      <c r="G3598" s="57" t="s">
        <v>7552</v>
      </c>
      <c r="H3598" s="57" t="s">
        <v>2289</v>
      </c>
    </row>
    <row r="3599" spans="2:8" ht="13.5" customHeight="1">
      <c r="B3599" s="57" t="s">
        <v>7098</v>
      </c>
      <c r="D3599" s="57" t="s">
        <v>7099</v>
      </c>
      <c r="F3599" s="57">
        <v>44</v>
      </c>
      <c r="G3599" s="57" t="s">
        <v>7552</v>
      </c>
      <c r="H3599" s="57" t="s">
        <v>2289</v>
      </c>
    </row>
    <row r="3600" spans="2:8" ht="13.5" customHeight="1">
      <c r="B3600" s="57" t="s">
        <v>7022</v>
      </c>
      <c r="D3600" s="57" t="s">
        <v>7022</v>
      </c>
      <c r="F3600" s="57">
        <v>46</v>
      </c>
      <c r="G3600" s="57" t="s">
        <v>7552</v>
      </c>
      <c r="H3600" s="57" t="s">
        <v>2289</v>
      </c>
    </row>
    <row r="3601" spans="2:8" ht="13.5" customHeight="1">
      <c r="B3601" s="57" t="s">
        <v>6972</v>
      </c>
      <c r="D3601" s="57" t="s">
        <v>1960</v>
      </c>
      <c r="F3601" s="57">
        <v>50</v>
      </c>
      <c r="G3601" s="57" t="s">
        <v>7552</v>
      </c>
      <c r="H3601" s="57" t="s">
        <v>2289</v>
      </c>
    </row>
    <row r="3602" spans="2:8" ht="13.5" customHeight="1">
      <c r="B3602" s="57" t="s">
        <v>6998</v>
      </c>
      <c r="D3602" s="57" t="s">
        <v>6999</v>
      </c>
      <c r="F3602" s="57">
        <v>57</v>
      </c>
      <c r="G3602" s="57" t="s">
        <v>7552</v>
      </c>
      <c r="H3602" s="57" t="s">
        <v>2289</v>
      </c>
    </row>
    <row r="3603" spans="2:8" ht="13.5" customHeight="1">
      <c r="B3603" s="57" t="s">
        <v>7512</v>
      </c>
      <c r="D3603" s="57" t="s">
        <v>7513</v>
      </c>
      <c r="F3603" s="57">
        <v>80</v>
      </c>
      <c r="G3603" s="57" t="s">
        <v>7552</v>
      </c>
      <c r="H3603" s="57" t="s">
        <v>2289</v>
      </c>
    </row>
    <row r="3604" spans="2:8" ht="13.5" customHeight="1">
      <c r="B3604" s="57" t="s">
        <v>1529</v>
      </c>
      <c r="D3604" s="57" t="s">
        <v>1530</v>
      </c>
      <c r="F3604" s="57">
        <v>83</v>
      </c>
      <c r="G3604" s="57" t="s">
        <v>7552</v>
      </c>
      <c r="H3604" s="57" t="s">
        <v>2289</v>
      </c>
    </row>
    <row r="3605" spans="2:8" ht="13.5" customHeight="1">
      <c r="B3605" s="57" t="s">
        <v>6973</v>
      </c>
      <c r="D3605" s="57" t="s">
        <v>6974</v>
      </c>
      <c r="F3605" s="57">
        <v>91</v>
      </c>
      <c r="G3605" s="57" t="s">
        <v>7552</v>
      </c>
      <c r="H3605" s="57" t="s">
        <v>2289</v>
      </c>
    </row>
    <row r="3606" spans="2:8" ht="13.5" customHeight="1">
      <c r="B3606" s="57" t="s">
        <v>7516</v>
      </c>
      <c r="D3606" s="57" t="s">
        <v>7517</v>
      </c>
      <c r="F3606" s="57">
        <v>100</v>
      </c>
      <c r="G3606" s="57" t="s">
        <v>7552</v>
      </c>
      <c r="H3606" s="57" t="s">
        <v>2289</v>
      </c>
    </row>
    <row r="3607" spans="2:8" ht="13.5" customHeight="1">
      <c r="B3607" s="57" t="s">
        <v>3798</v>
      </c>
      <c r="D3607" s="57" t="s">
        <v>4365</v>
      </c>
      <c r="F3607" s="57">
        <v>120</v>
      </c>
      <c r="G3607" s="57" t="s">
        <v>7552</v>
      </c>
      <c r="H3607" s="57" t="s">
        <v>2289</v>
      </c>
    </row>
    <row r="3608" spans="2:8" ht="13.5" customHeight="1">
      <c r="B3608" s="57" t="s">
        <v>7021</v>
      </c>
      <c r="D3608" s="57" t="s">
        <v>7021</v>
      </c>
      <c r="F3608" s="57">
        <v>177</v>
      </c>
      <c r="G3608" s="57" t="s">
        <v>7552</v>
      </c>
      <c r="H3608" s="57" t="s">
        <v>2289</v>
      </c>
    </row>
    <row r="3609" spans="2:8" ht="13.5" customHeight="1">
      <c r="B3609" s="57" t="s">
        <v>7514</v>
      </c>
      <c r="D3609" s="57" t="s">
        <v>7515</v>
      </c>
      <c r="F3609" s="57">
        <v>217</v>
      </c>
      <c r="G3609" s="57" t="s">
        <v>7552</v>
      </c>
      <c r="H3609" s="57" t="s">
        <v>2289</v>
      </c>
    </row>
    <row r="3610" spans="2:8" ht="13.5" customHeight="1">
      <c r="B3610" s="57" t="s">
        <v>6975</v>
      </c>
      <c r="D3610" s="57" t="s">
        <v>6976</v>
      </c>
      <c r="F3610" s="57">
        <v>284</v>
      </c>
      <c r="G3610" s="57" t="s">
        <v>7552</v>
      </c>
      <c r="H3610" s="57" t="s">
        <v>2289</v>
      </c>
    </row>
    <row r="3611" spans="2:8" ht="13.5" customHeight="1">
      <c r="B3611" s="57" t="s">
        <v>6945</v>
      </c>
      <c r="D3611" s="57" t="s">
        <v>6945</v>
      </c>
      <c r="F3611" s="57">
        <v>596</v>
      </c>
      <c r="G3611" s="57" t="s">
        <v>7552</v>
      </c>
      <c r="H3611" s="57" t="s">
        <v>2289</v>
      </c>
    </row>
    <row r="3612" spans="2:8" ht="13.5" customHeight="1">
      <c r="B3612" s="57" t="s">
        <v>6996</v>
      </c>
      <c r="D3612" s="57" t="s">
        <v>6997</v>
      </c>
      <c r="F3612" s="57">
        <v>1000</v>
      </c>
      <c r="G3612" s="57" t="s">
        <v>7552</v>
      </c>
      <c r="H3612" s="57" t="s">
        <v>2289</v>
      </c>
    </row>
    <row r="3613" spans="2:8" ht="13.5" customHeight="1">
      <c r="B3613" s="57" t="s">
        <v>6665</v>
      </c>
      <c r="D3613" s="57" t="s">
        <v>6666</v>
      </c>
      <c r="F3613" s="57">
        <v>2</v>
      </c>
      <c r="G3613" s="57" t="s">
        <v>7552</v>
      </c>
      <c r="H3613" s="57" t="s">
        <v>2981</v>
      </c>
    </row>
    <row r="3614" spans="2:8" ht="13.5" customHeight="1">
      <c r="B3614" s="57" t="s">
        <v>6937</v>
      </c>
      <c r="D3614" s="57" t="s">
        <v>6938</v>
      </c>
      <c r="F3614" s="57">
        <v>2</v>
      </c>
      <c r="G3614" s="57" t="s">
        <v>7552</v>
      </c>
      <c r="H3614" s="57" t="s">
        <v>2981</v>
      </c>
    </row>
    <row r="3615" spans="2:8" ht="13.5" customHeight="1">
      <c r="B3615" s="57" t="s">
        <v>6651</v>
      </c>
      <c r="D3615" s="57" t="s">
        <v>6652</v>
      </c>
      <c r="F3615" s="57">
        <v>2</v>
      </c>
      <c r="G3615" s="57" t="s">
        <v>7552</v>
      </c>
      <c r="H3615" s="57" t="s">
        <v>2981</v>
      </c>
    </row>
    <row r="3616" spans="2:8" ht="13.5" customHeight="1">
      <c r="B3616" s="57" t="s">
        <v>6657</v>
      </c>
      <c r="D3616" s="57" t="s">
        <v>6658</v>
      </c>
      <c r="F3616" s="57">
        <v>2</v>
      </c>
      <c r="G3616" s="57" t="s">
        <v>7552</v>
      </c>
      <c r="H3616" s="57" t="s">
        <v>2981</v>
      </c>
    </row>
    <row r="3617" spans="2:8" ht="13.5" customHeight="1">
      <c r="B3617" s="57" t="s">
        <v>6055</v>
      </c>
      <c r="D3617" s="57" t="s">
        <v>6697</v>
      </c>
      <c r="F3617" s="57">
        <v>2</v>
      </c>
      <c r="G3617" s="57" t="s">
        <v>7552</v>
      </c>
      <c r="H3617" s="57" t="s">
        <v>2981</v>
      </c>
    </row>
    <row r="3618" spans="2:8" ht="13.5" customHeight="1">
      <c r="B3618" s="57" t="s">
        <v>6987</v>
      </c>
      <c r="D3618" s="57" t="s">
        <v>6988</v>
      </c>
      <c r="F3618" s="57">
        <v>3</v>
      </c>
      <c r="G3618" s="57" t="s">
        <v>7552</v>
      </c>
      <c r="H3618" s="57" t="s">
        <v>2981</v>
      </c>
    </row>
    <row r="3619" spans="2:8" ht="13.5" customHeight="1">
      <c r="B3619" s="57" t="s">
        <v>6493</v>
      </c>
      <c r="D3619" s="57" t="s">
        <v>6494</v>
      </c>
      <c r="F3619" s="57">
        <v>3</v>
      </c>
      <c r="G3619" s="57" t="s">
        <v>7552</v>
      </c>
      <c r="H3619" s="57" t="s">
        <v>2981</v>
      </c>
    </row>
    <row r="3620" spans="2:8" ht="13.5" customHeight="1">
      <c r="B3620" s="57" t="s">
        <v>7135</v>
      </c>
      <c r="D3620" s="57" t="s">
        <v>7136</v>
      </c>
      <c r="F3620" s="57">
        <v>3</v>
      </c>
      <c r="G3620" s="57" t="s">
        <v>7552</v>
      </c>
      <c r="H3620" s="57" t="s">
        <v>2981</v>
      </c>
    </row>
    <row r="3621" spans="2:8" ht="13.5" customHeight="1">
      <c r="B3621" s="57" t="s">
        <v>7383</v>
      </c>
      <c r="D3621" s="57" t="s">
        <v>7384</v>
      </c>
      <c r="F3621" s="57">
        <v>4</v>
      </c>
      <c r="G3621" s="57" t="s">
        <v>7552</v>
      </c>
      <c r="H3621" s="57" t="s">
        <v>2981</v>
      </c>
    </row>
    <row r="3622" spans="2:8" ht="13.5" customHeight="1">
      <c r="B3622" s="57" t="s">
        <v>7191</v>
      </c>
      <c r="D3622" s="57" t="s">
        <v>2047</v>
      </c>
      <c r="F3622" s="57">
        <v>4</v>
      </c>
      <c r="G3622" s="57" t="s">
        <v>7552</v>
      </c>
      <c r="H3622" s="57" t="s">
        <v>2981</v>
      </c>
    </row>
    <row r="3623" spans="2:8" ht="13.5" customHeight="1">
      <c r="B3623" s="57" t="s">
        <v>6704</v>
      </c>
      <c r="D3623" s="57" t="s">
        <v>6705</v>
      </c>
      <c r="F3623" s="57">
        <v>5</v>
      </c>
      <c r="G3623" s="57" t="s">
        <v>7552</v>
      </c>
      <c r="H3623" s="57" t="s">
        <v>2981</v>
      </c>
    </row>
    <row r="3624" spans="2:8" ht="13.5" customHeight="1">
      <c r="B3624" s="57" t="s">
        <v>6693</v>
      </c>
      <c r="D3624" s="57" t="s">
        <v>6694</v>
      </c>
      <c r="F3624" s="57">
        <v>5</v>
      </c>
      <c r="G3624" s="57" t="s">
        <v>7552</v>
      </c>
      <c r="H3624" s="57" t="s">
        <v>2981</v>
      </c>
    </row>
    <row r="3625" spans="2:8" ht="13.5" customHeight="1">
      <c r="B3625" s="57" t="s">
        <v>6661</v>
      </c>
      <c r="D3625" s="57" t="s">
        <v>6662</v>
      </c>
      <c r="F3625" s="57">
        <v>5</v>
      </c>
      <c r="G3625" s="57" t="s">
        <v>7552</v>
      </c>
      <c r="H3625" s="57" t="s">
        <v>2981</v>
      </c>
    </row>
    <row r="3626" spans="2:8" ht="13.5" customHeight="1">
      <c r="B3626" s="57" t="s">
        <v>5321</v>
      </c>
      <c r="D3626" s="57" t="s">
        <v>5322</v>
      </c>
      <c r="F3626" s="57">
        <v>5</v>
      </c>
      <c r="G3626" s="57" t="s">
        <v>7552</v>
      </c>
      <c r="H3626" s="57" t="s">
        <v>2981</v>
      </c>
    </row>
    <row r="3627" spans="2:8" ht="13.5" customHeight="1">
      <c r="B3627" s="57" t="s">
        <v>6659</v>
      </c>
      <c r="D3627" s="57" t="s">
        <v>6660</v>
      </c>
      <c r="F3627" s="57">
        <v>5</v>
      </c>
      <c r="G3627" s="57" t="s">
        <v>7552</v>
      </c>
      <c r="H3627" s="57" t="s">
        <v>2981</v>
      </c>
    </row>
    <row r="3628" spans="2:8" ht="13.5" customHeight="1">
      <c r="B3628" s="57" t="s">
        <v>6814</v>
      </c>
      <c r="D3628" s="57" t="s">
        <v>6815</v>
      </c>
      <c r="F3628" s="57">
        <v>5</v>
      </c>
      <c r="G3628" s="57" t="s">
        <v>7552</v>
      </c>
      <c r="H3628" s="57" t="s">
        <v>2981</v>
      </c>
    </row>
    <row r="3629" spans="2:8" ht="13.5" customHeight="1">
      <c r="B3629" s="57" t="s">
        <v>6698</v>
      </c>
      <c r="D3629" s="57" t="s">
        <v>6699</v>
      </c>
      <c r="F3629" s="57">
        <v>5</v>
      </c>
      <c r="G3629" s="57" t="s">
        <v>7552</v>
      </c>
      <c r="H3629" s="57" t="s">
        <v>2981</v>
      </c>
    </row>
    <row r="3630" spans="2:8" ht="13.5" customHeight="1">
      <c r="B3630" s="57" t="s">
        <v>6674</v>
      </c>
      <c r="D3630" s="57" t="s">
        <v>6675</v>
      </c>
      <c r="F3630" s="57">
        <v>8</v>
      </c>
      <c r="G3630" s="57" t="s">
        <v>7552</v>
      </c>
      <c r="H3630" s="57" t="s">
        <v>2981</v>
      </c>
    </row>
    <row r="3631" spans="2:8" ht="13.5" customHeight="1">
      <c r="B3631" s="57" t="s">
        <v>7002</v>
      </c>
      <c r="D3631" s="57" t="s">
        <v>7003</v>
      </c>
      <c r="F3631" s="57">
        <v>8</v>
      </c>
      <c r="G3631" s="57" t="s">
        <v>7552</v>
      </c>
      <c r="H3631" s="57" t="s">
        <v>2981</v>
      </c>
    </row>
    <row r="3632" spans="2:8" ht="13.5" customHeight="1">
      <c r="B3632" s="57" t="s">
        <v>6645</v>
      </c>
      <c r="D3632" s="57" t="s">
        <v>6646</v>
      </c>
      <c r="F3632" s="57">
        <v>9</v>
      </c>
      <c r="G3632" s="57" t="s">
        <v>7552</v>
      </c>
      <c r="H3632" s="57" t="s">
        <v>2981</v>
      </c>
    </row>
    <row r="3633" spans="2:8" ht="13.5" customHeight="1">
      <c r="B3633" s="57" t="s">
        <v>7137</v>
      </c>
      <c r="D3633" s="57" t="s">
        <v>7138</v>
      </c>
      <c r="F3633" s="57">
        <v>10</v>
      </c>
      <c r="G3633" s="57" t="s">
        <v>7552</v>
      </c>
      <c r="H3633" s="57" t="s">
        <v>2981</v>
      </c>
    </row>
    <row r="3634" spans="2:8" ht="13.5" customHeight="1">
      <c r="B3634" s="57" t="s">
        <v>7121</v>
      </c>
      <c r="D3634" s="57" t="s">
        <v>7122</v>
      </c>
      <c r="F3634" s="57">
        <v>10</v>
      </c>
      <c r="G3634" s="57" t="s">
        <v>7552</v>
      </c>
      <c r="H3634" s="57" t="s">
        <v>2981</v>
      </c>
    </row>
    <row r="3635" spans="2:8" ht="13.5" customHeight="1">
      <c r="B3635" s="57" t="s">
        <v>7129</v>
      </c>
      <c r="D3635" s="57" t="s">
        <v>7130</v>
      </c>
      <c r="F3635" s="57">
        <v>10</v>
      </c>
      <c r="G3635" s="57" t="s">
        <v>7552</v>
      </c>
      <c r="H3635" s="57" t="s">
        <v>2981</v>
      </c>
    </row>
    <row r="3636" spans="2:8" ht="13.5" customHeight="1">
      <c r="B3636" s="57" t="s">
        <v>6852</v>
      </c>
      <c r="D3636" s="57" t="s">
        <v>6853</v>
      </c>
      <c r="F3636" s="57">
        <v>10</v>
      </c>
      <c r="G3636" s="57" t="s">
        <v>7552</v>
      </c>
      <c r="H3636" s="57" t="s">
        <v>2981</v>
      </c>
    </row>
    <row r="3637" spans="2:8" ht="13.5" customHeight="1">
      <c r="B3637" s="57" t="s">
        <v>7270</v>
      </c>
      <c r="D3637" s="57" t="s">
        <v>7271</v>
      </c>
      <c r="F3637" s="57">
        <v>15</v>
      </c>
      <c r="G3637" s="57" t="s">
        <v>7552</v>
      </c>
      <c r="H3637" s="57" t="s">
        <v>2981</v>
      </c>
    </row>
    <row r="3638" spans="2:8" ht="13.5" customHeight="1">
      <c r="B3638" s="57" t="s">
        <v>7246</v>
      </c>
      <c r="D3638" s="57" t="s">
        <v>7247</v>
      </c>
      <c r="F3638" s="57">
        <v>25</v>
      </c>
      <c r="G3638" s="57" t="s">
        <v>7552</v>
      </c>
      <c r="H3638" s="57" t="s">
        <v>2981</v>
      </c>
    </row>
    <row r="3639" spans="2:8" ht="13.5" customHeight="1">
      <c r="B3639" s="57" t="s">
        <v>7017</v>
      </c>
      <c r="D3639" s="57" t="s">
        <v>7018</v>
      </c>
      <c r="F3639" s="57">
        <v>29</v>
      </c>
      <c r="G3639" s="57" t="s">
        <v>7552</v>
      </c>
      <c r="H3639" s="57" t="s">
        <v>2981</v>
      </c>
    </row>
    <row r="3640" spans="2:8" ht="13.5" customHeight="1">
      <c r="B3640" s="57" t="s">
        <v>6754</v>
      </c>
      <c r="D3640" s="57" t="s">
        <v>6755</v>
      </c>
      <c r="F3640" s="57">
        <v>68</v>
      </c>
      <c r="G3640" s="57" t="s">
        <v>7552</v>
      </c>
      <c r="H3640" s="57" t="s">
        <v>2981</v>
      </c>
    </row>
    <row r="3641" spans="2:8" ht="13.5" customHeight="1">
      <c r="B3641" s="57" t="s">
        <v>7240</v>
      </c>
      <c r="D3641" s="57" t="s">
        <v>7241</v>
      </c>
      <c r="F3641" s="57">
        <v>71</v>
      </c>
      <c r="G3641" s="57" t="s">
        <v>7552</v>
      </c>
      <c r="H3641" s="57" t="s">
        <v>2981</v>
      </c>
    </row>
    <row r="3642" spans="2:8" ht="13.5" customHeight="1">
      <c r="B3642" s="57" t="s">
        <v>7202</v>
      </c>
      <c r="D3642" s="57" t="s">
        <v>7203</v>
      </c>
      <c r="F3642" s="57">
        <v>73</v>
      </c>
      <c r="G3642" s="57" t="s">
        <v>7552</v>
      </c>
      <c r="H3642" s="57" t="s">
        <v>2981</v>
      </c>
    </row>
    <row r="3643" spans="2:8" ht="13.5" customHeight="1">
      <c r="B3643" s="57" t="s">
        <v>7208</v>
      </c>
      <c r="D3643" s="57" t="s">
        <v>7209</v>
      </c>
      <c r="F3643" s="57">
        <v>103</v>
      </c>
      <c r="G3643" s="57" t="s">
        <v>7552</v>
      </c>
      <c r="H3643" s="57" t="s">
        <v>2981</v>
      </c>
    </row>
    <row r="3644" spans="2:8" ht="13.5" customHeight="1">
      <c r="B3644" s="57" t="s">
        <v>7090</v>
      </c>
      <c r="D3644" s="57" t="s">
        <v>7091</v>
      </c>
      <c r="F3644" s="57">
        <v>2</v>
      </c>
      <c r="G3644" s="57" t="s">
        <v>7552</v>
      </c>
      <c r="H3644" s="57" t="s">
        <v>2982</v>
      </c>
    </row>
    <row r="3645" spans="2:8" ht="13.5" customHeight="1">
      <c r="B3645" s="57" t="s">
        <v>7210</v>
      </c>
      <c r="D3645" s="57" t="s">
        <v>7211</v>
      </c>
      <c r="F3645" s="57">
        <v>2</v>
      </c>
      <c r="G3645" s="57" t="s">
        <v>7552</v>
      </c>
      <c r="H3645" s="57" t="s">
        <v>2982</v>
      </c>
    </row>
    <row r="3646" spans="2:8" ht="13.5" customHeight="1">
      <c r="B3646" s="57" t="s">
        <v>7212</v>
      </c>
      <c r="D3646" s="57" t="s">
        <v>7213</v>
      </c>
      <c r="F3646" s="57">
        <v>2</v>
      </c>
      <c r="G3646" s="57" t="s">
        <v>7552</v>
      </c>
      <c r="H3646" s="57" t="s">
        <v>2982</v>
      </c>
    </row>
    <row r="3647" spans="2:8" ht="13.5" customHeight="1">
      <c r="D3647" s="57" t="s">
        <v>7221</v>
      </c>
      <c r="F3647" s="57">
        <v>2</v>
      </c>
      <c r="G3647" s="57" t="s">
        <v>7552</v>
      </c>
      <c r="H3647" s="57" t="s">
        <v>2982</v>
      </c>
    </row>
    <row r="3648" spans="2:8" ht="13.5" customHeight="1">
      <c r="B3648" s="57" t="s">
        <v>7218</v>
      </c>
      <c r="D3648" s="57" t="s">
        <v>7219</v>
      </c>
      <c r="F3648" s="57">
        <v>3</v>
      </c>
      <c r="G3648" s="57" t="s">
        <v>7552</v>
      </c>
      <c r="H3648" s="57" t="s">
        <v>2982</v>
      </c>
    </row>
    <row r="3649" spans="2:8" ht="13.5" customHeight="1">
      <c r="B3649" s="57" t="s">
        <v>6679</v>
      </c>
      <c r="D3649" s="57" t="s">
        <v>6680</v>
      </c>
      <c r="F3649" s="57">
        <v>3</v>
      </c>
      <c r="G3649" s="57" t="s">
        <v>7552</v>
      </c>
      <c r="H3649" s="57" t="s">
        <v>2982</v>
      </c>
    </row>
    <row r="3650" spans="2:8" ht="13.5" customHeight="1">
      <c r="B3650" s="57" t="s">
        <v>6084</v>
      </c>
      <c r="D3650" s="57" t="s">
        <v>7087</v>
      </c>
      <c r="F3650" s="57">
        <v>3</v>
      </c>
      <c r="G3650" s="57" t="s">
        <v>7552</v>
      </c>
      <c r="H3650" s="57" t="s">
        <v>2982</v>
      </c>
    </row>
    <row r="3651" spans="2:8" ht="13.5" customHeight="1">
      <c r="B3651" s="57" t="s">
        <v>7235</v>
      </c>
      <c r="D3651" s="57" t="s">
        <v>7236</v>
      </c>
      <c r="F3651" s="57">
        <v>3</v>
      </c>
      <c r="G3651" s="57" t="s">
        <v>7552</v>
      </c>
      <c r="H3651" s="57" t="s">
        <v>2982</v>
      </c>
    </row>
    <row r="3652" spans="2:8" ht="13.5" customHeight="1">
      <c r="B3652" s="57" t="s">
        <v>6931</v>
      </c>
      <c r="D3652" s="57" t="s">
        <v>6932</v>
      </c>
      <c r="F3652" s="57">
        <v>3</v>
      </c>
      <c r="G3652" s="57" t="s">
        <v>7552</v>
      </c>
      <c r="H3652" s="57" t="s">
        <v>2982</v>
      </c>
    </row>
    <row r="3653" spans="2:8" ht="13.5" customHeight="1">
      <c r="B3653" s="57" t="s">
        <v>7102</v>
      </c>
      <c r="D3653" s="57" t="s">
        <v>7103</v>
      </c>
      <c r="F3653" s="57">
        <v>3</v>
      </c>
      <c r="G3653" s="57" t="s">
        <v>7552</v>
      </c>
      <c r="H3653" s="57" t="s">
        <v>2982</v>
      </c>
    </row>
    <row r="3654" spans="2:8" ht="13.5" customHeight="1">
      <c r="B3654" s="57" t="s">
        <v>7223</v>
      </c>
      <c r="D3654" s="57" t="s">
        <v>7224</v>
      </c>
      <c r="F3654" s="57">
        <v>4</v>
      </c>
      <c r="G3654" s="57" t="s">
        <v>7552</v>
      </c>
      <c r="H3654" s="57" t="s">
        <v>2982</v>
      </c>
    </row>
    <row r="3655" spans="2:8" ht="13.5" customHeight="1">
      <c r="D3655" s="57" t="s">
        <v>7222</v>
      </c>
      <c r="F3655" s="57">
        <v>4</v>
      </c>
      <c r="G3655" s="57" t="s">
        <v>7552</v>
      </c>
      <c r="H3655" s="57" t="s">
        <v>2982</v>
      </c>
    </row>
    <row r="3656" spans="2:8" ht="13.5" customHeight="1">
      <c r="B3656" s="57" t="s">
        <v>7264</v>
      </c>
      <c r="D3656" s="57" t="s">
        <v>7265</v>
      </c>
      <c r="F3656" s="57">
        <v>4</v>
      </c>
      <c r="G3656" s="57" t="s">
        <v>7552</v>
      </c>
      <c r="H3656" s="57" t="s">
        <v>2982</v>
      </c>
    </row>
    <row r="3657" spans="2:8" ht="13.5" customHeight="1">
      <c r="B3657" s="57" t="s">
        <v>6669</v>
      </c>
      <c r="D3657" s="57" t="s">
        <v>6071</v>
      </c>
      <c r="F3657" s="57">
        <v>5</v>
      </c>
      <c r="G3657" s="57" t="s">
        <v>7552</v>
      </c>
      <c r="H3657" s="57" t="s">
        <v>2982</v>
      </c>
    </row>
    <row r="3658" spans="2:8" ht="13.5" customHeight="1">
      <c r="B3658" s="57" t="s">
        <v>6671</v>
      </c>
      <c r="D3658" s="57" t="s">
        <v>6672</v>
      </c>
      <c r="F3658" s="57">
        <v>5</v>
      </c>
      <c r="G3658" s="57" t="s">
        <v>7552</v>
      </c>
      <c r="H3658" s="57" t="s">
        <v>2982</v>
      </c>
    </row>
    <row r="3659" spans="2:8" ht="13.5" customHeight="1">
      <c r="B3659" s="57" t="s">
        <v>255</v>
      </c>
      <c r="D3659" s="57" t="s">
        <v>6724</v>
      </c>
      <c r="F3659" s="57">
        <v>5</v>
      </c>
      <c r="G3659" s="57" t="s">
        <v>7552</v>
      </c>
      <c r="H3659" s="57" t="s">
        <v>2982</v>
      </c>
    </row>
    <row r="3660" spans="2:8" ht="13.5" customHeight="1">
      <c r="B3660" s="57" t="s">
        <v>7227</v>
      </c>
      <c r="D3660" s="57" t="s">
        <v>7228</v>
      </c>
      <c r="F3660" s="57">
        <v>5</v>
      </c>
      <c r="G3660" s="57" t="s">
        <v>7552</v>
      </c>
      <c r="H3660" s="57" t="s">
        <v>2982</v>
      </c>
    </row>
    <row r="3661" spans="2:8" ht="13.5" customHeight="1">
      <c r="B3661" s="57" t="s">
        <v>6673</v>
      </c>
      <c r="D3661" s="57" t="s">
        <v>6069</v>
      </c>
      <c r="F3661" s="57">
        <v>5</v>
      </c>
      <c r="G3661" s="57" t="s">
        <v>7552</v>
      </c>
      <c r="H3661" s="57" t="s">
        <v>2982</v>
      </c>
    </row>
    <row r="3662" spans="2:8" ht="13.5" customHeight="1">
      <c r="B3662" s="57" t="s">
        <v>7092</v>
      </c>
      <c r="D3662" s="57" t="s">
        <v>7093</v>
      </c>
      <c r="F3662" s="57">
        <v>5</v>
      </c>
      <c r="G3662" s="57" t="s">
        <v>7552</v>
      </c>
      <c r="H3662" s="57" t="s">
        <v>2982</v>
      </c>
    </row>
    <row r="3663" spans="2:8" ht="13.5" customHeight="1">
      <c r="B3663" s="57" t="s">
        <v>6709</v>
      </c>
      <c r="D3663" s="57" t="s">
        <v>6710</v>
      </c>
      <c r="F3663" s="57">
        <v>5</v>
      </c>
      <c r="G3663" s="57" t="s">
        <v>7552</v>
      </c>
      <c r="H3663" s="57" t="s">
        <v>2982</v>
      </c>
    </row>
    <row r="3664" spans="2:8" ht="13.5" customHeight="1">
      <c r="B3664" s="57" t="s">
        <v>6655</v>
      </c>
      <c r="D3664" s="57" t="s">
        <v>6656</v>
      </c>
      <c r="F3664" s="57">
        <v>5</v>
      </c>
      <c r="G3664" s="57" t="s">
        <v>7552</v>
      </c>
      <c r="H3664" s="57" t="s">
        <v>2982</v>
      </c>
    </row>
    <row r="3665" spans="2:8" ht="13.5" customHeight="1">
      <c r="D3665" s="57" t="s">
        <v>7220</v>
      </c>
      <c r="F3665" s="57">
        <v>7</v>
      </c>
      <c r="G3665" s="57" t="s">
        <v>7552</v>
      </c>
      <c r="H3665" s="57" t="s">
        <v>2982</v>
      </c>
    </row>
    <row r="3666" spans="2:8" ht="13.5" customHeight="1">
      <c r="B3666" s="57" t="s">
        <v>7094</v>
      </c>
      <c r="D3666" s="57" t="s">
        <v>7095</v>
      </c>
      <c r="F3666" s="57">
        <v>10</v>
      </c>
      <c r="G3666" s="57" t="s">
        <v>7552</v>
      </c>
      <c r="H3666" s="57" t="s">
        <v>2982</v>
      </c>
    </row>
    <row r="3667" spans="2:8" ht="13.5" customHeight="1">
      <c r="B3667" s="57" t="s">
        <v>7085</v>
      </c>
      <c r="D3667" s="57" t="s">
        <v>7086</v>
      </c>
      <c r="F3667" s="57">
        <v>10</v>
      </c>
      <c r="G3667" s="57" t="s">
        <v>7552</v>
      </c>
      <c r="H3667" s="57" t="s">
        <v>2982</v>
      </c>
    </row>
    <row r="3668" spans="2:8" ht="13.5" customHeight="1">
      <c r="B3668" s="57" t="s">
        <v>6928</v>
      </c>
      <c r="D3668" s="57" t="s">
        <v>247</v>
      </c>
      <c r="F3668" s="57">
        <v>10</v>
      </c>
      <c r="G3668" s="57" t="s">
        <v>7552</v>
      </c>
      <c r="H3668" s="57" t="s">
        <v>2982</v>
      </c>
    </row>
    <row r="3669" spans="2:8" ht="13.5" customHeight="1">
      <c r="B3669" s="57" t="s">
        <v>5744</v>
      </c>
      <c r="D3669" s="57" t="s">
        <v>6955</v>
      </c>
      <c r="F3669" s="57">
        <v>10</v>
      </c>
      <c r="G3669" s="57" t="s">
        <v>7552</v>
      </c>
      <c r="H3669" s="57" t="s">
        <v>2982</v>
      </c>
    </row>
    <row r="3670" spans="2:8" ht="13.5" customHeight="1">
      <c r="B3670" s="57" t="s">
        <v>7216</v>
      </c>
      <c r="D3670" s="57" t="s">
        <v>7217</v>
      </c>
      <c r="F3670" s="57">
        <v>10</v>
      </c>
      <c r="G3670" s="57" t="s">
        <v>7552</v>
      </c>
      <c r="H3670" s="57" t="s">
        <v>2982</v>
      </c>
    </row>
    <row r="3671" spans="2:8" ht="13.5" customHeight="1">
      <c r="B3671" s="57" t="s">
        <v>6701</v>
      </c>
      <c r="D3671" s="57" t="s">
        <v>6701</v>
      </c>
      <c r="F3671" s="57">
        <v>11</v>
      </c>
      <c r="G3671" s="57" t="s">
        <v>7552</v>
      </c>
      <c r="H3671" s="57" t="s">
        <v>2982</v>
      </c>
    </row>
    <row r="3672" spans="2:8" ht="13.5" customHeight="1">
      <c r="B3672" s="57" t="s">
        <v>7214</v>
      </c>
      <c r="D3672" s="57" t="s">
        <v>7215</v>
      </c>
      <c r="F3672" s="57">
        <v>11</v>
      </c>
      <c r="G3672" s="57" t="s">
        <v>7552</v>
      </c>
      <c r="H3672" s="57" t="s">
        <v>2982</v>
      </c>
    </row>
    <row r="3673" spans="2:8" ht="13.5" customHeight="1">
      <c r="B3673" s="57" t="s">
        <v>6743</v>
      </c>
      <c r="D3673" s="57" t="s">
        <v>6744</v>
      </c>
      <c r="F3673" s="57">
        <v>12</v>
      </c>
      <c r="G3673" s="57" t="s">
        <v>7552</v>
      </c>
      <c r="H3673" s="57" t="s">
        <v>2982</v>
      </c>
    </row>
    <row r="3674" spans="2:8" ht="13.5" customHeight="1">
      <c r="B3674" s="57" t="s">
        <v>6722</v>
      </c>
      <c r="D3674" s="57" t="s">
        <v>6723</v>
      </c>
      <c r="F3674" s="57">
        <v>15</v>
      </c>
      <c r="G3674" s="57" t="s">
        <v>7552</v>
      </c>
      <c r="H3674" s="57" t="s">
        <v>2982</v>
      </c>
    </row>
    <row r="3675" spans="2:8" ht="13.5" customHeight="1">
      <c r="D3675" s="57" t="s">
        <v>7075</v>
      </c>
      <c r="F3675" s="57">
        <v>18</v>
      </c>
      <c r="G3675" s="57" t="s">
        <v>7552</v>
      </c>
      <c r="H3675" s="57" t="s">
        <v>2982</v>
      </c>
    </row>
    <row r="3676" spans="2:8" ht="13.5" customHeight="1">
      <c r="B3676" s="57" t="s">
        <v>6720</v>
      </c>
      <c r="D3676" s="57" t="s">
        <v>6721</v>
      </c>
      <c r="F3676" s="57">
        <v>20</v>
      </c>
      <c r="G3676" s="57" t="s">
        <v>7552</v>
      </c>
      <c r="H3676" s="57" t="s">
        <v>2982</v>
      </c>
    </row>
    <row r="3677" spans="2:8" ht="13.5" customHeight="1">
      <c r="B3677" s="57" t="s">
        <v>7237</v>
      </c>
      <c r="D3677" s="57" t="s">
        <v>7238</v>
      </c>
      <c r="F3677" s="57">
        <v>25</v>
      </c>
      <c r="G3677" s="57" t="s">
        <v>7552</v>
      </c>
      <c r="H3677" s="57" t="s">
        <v>2982</v>
      </c>
    </row>
    <row r="3678" spans="2:8" ht="13.5" customHeight="1">
      <c r="B3678" s="57" t="s">
        <v>7088</v>
      </c>
      <c r="D3678" s="57" t="s">
        <v>7089</v>
      </c>
      <c r="F3678" s="57">
        <v>45</v>
      </c>
      <c r="G3678" s="57" t="s">
        <v>7552</v>
      </c>
      <c r="H3678" s="57" t="s">
        <v>2982</v>
      </c>
    </row>
    <row r="3679" spans="2:8" ht="13.5" customHeight="1">
      <c r="B3679" s="57" t="s">
        <v>6700</v>
      </c>
      <c r="D3679" s="57" t="s">
        <v>1083</v>
      </c>
      <c r="F3679" s="57">
        <v>48</v>
      </c>
      <c r="G3679" s="57" t="s">
        <v>7552</v>
      </c>
      <c r="H3679" s="57" t="s">
        <v>2982</v>
      </c>
    </row>
    <row r="3680" spans="2:8" ht="13.5" customHeight="1">
      <c r="B3680" s="57" t="s">
        <v>6751</v>
      </c>
      <c r="D3680" s="57" t="s">
        <v>6752</v>
      </c>
      <c r="F3680" s="57">
        <v>60</v>
      </c>
      <c r="G3680" s="57" t="s">
        <v>7552</v>
      </c>
      <c r="H3680" s="57" t="s">
        <v>2982</v>
      </c>
    </row>
    <row r="3681" spans="2:9" ht="13.5" customHeight="1">
      <c r="B3681" s="57" t="s">
        <v>6747</v>
      </c>
      <c r="D3681" s="57" t="s">
        <v>6748</v>
      </c>
      <c r="F3681" s="57">
        <v>60</v>
      </c>
      <c r="G3681" s="57" t="s">
        <v>7552</v>
      </c>
      <c r="H3681" s="57" t="s">
        <v>2982</v>
      </c>
    </row>
    <row r="3682" spans="2:9" ht="13.5" customHeight="1">
      <c r="B3682" s="57" t="s">
        <v>6667</v>
      </c>
      <c r="D3682" s="57" t="s">
        <v>6668</v>
      </c>
      <c r="F3682" s="57">
        <v>73</v>
      </c>
      <c r="G3682" s="57" t="s">
        <v>7552</v>
      </c>
      <c r="H3682" s="57" t="s">
        <v>2982</v>
      </c>
    </row>
    <row r="3683" spans="2:9" ht="13.5" customHeight="1">
      <c r="B3683" s="57" t="s">
        <v>6649</v>
      </c>
      <c r="D3683" s="57" t="s">
        <v>6650</v>
      </c>
      <c r="F3683" s="57">
        <v>78</v>
      </c>
      <c r="G3683" s="57" t="s">
        <v>7552</v>
      </c>
      <c r="H3683" s="57" t="s">
        <v>2982</v>
      </c>
    </row>
    <row r="3684" spans="2:9" ht="13.5" customHeight="1">
      <c r="B3684" s="57" t="s">
        <v>6676</v>
      </c>
      <c r="D3684" s="57" t="s">
        <v>6676</v>
      </c>
      <c r="F3684" s="57">
        <v>87</v>
      </c>
      <c r="G3684" s="57" t="s">
        <v>7552</v>
      </c>
      <c r="H3684" s="57" t="s">
        <v>2982</v>
      </c>
    </row>
    <row r="3685" spans="2:9" ht="13.5" customHeight="1">
      <c r="B3685" s="57" t="s">
        <v>7257</v>
      </c>
      <c r="D3685" s="57" t="s">
        <v>1864</v>
      </c>
      <c r="F3685" s="57">
        <v>90</v>
      </c>
      <c r="G3685" s="57" t="s">
        <v>7552</v>
      </c>
      <c r="H3685" s="57" t="s">
        <v>2982</v>
      </c>
    </row>
    <row r="3686" spans="2:9" ht="13.5" customHeight="1">
      <c r="B3686" s="57" t="s">
        <v>7100</v>
      </c>
      <c r="D3686" s="57" t="s">
        <v>7101</v>
      </c>
      <c r="F3686" s="57">
        <v>90</v>
      </c>
      <c r="G3686" s="57" t="s">
        <v>7552</v>
      </c>
      <c r="H3686" s="57" t="s">
        <v>2982</v>
      </c>
    </row>
    <row r="3687" spans="2:9" ht="13.5" customHeight="1">
      <c r="B3687" s="57" t="s">
        <v>7081</v>
      </c>
      <c r="D3687" s="57" t="s">
        <v>7082</v>
      </c>
      <c r="F3687" s="57">
        <v>160</v>
      </c>
      <c r="G3687" s="57" t="s">
        <v>7552</v>
      </c>
      <c r="H3687" s="57" t="s">
        <v>2982</v>
      </c>
    </row>
    <row r="3688" spans="2:9" ht="13.5" customHeight="1">
      <c r="B3688" s="57" t="s">
        <v>7096</v>
      </c>
      <c r="D3688" s="57" t="s">
        <v>7097</v>
      </c>
      <c r="F3688" s="57">
        <v>200</v>
      </c>
      <c r="G3688" s="57" t="s">
        <v>7552</v>
      </c>
      <c r="H3688" s="57" t="s">
        <v>2982</v>
      </c>
    </row>
    <row r="3689" spans="2:9" ht="13.5" customHeight="1">
      <c r="B3689" s="57" t="s">
        <v>7233</v>
      </c>
      <c r="D3689" s="57" t="s">
        <v>7234</v>
      </c>
      <c r="F3689" s="57">
        <v>250</v>
      </c>
      <c r="G3689" s="57" t="s">
        <v>7552</v>
      </c>
      <c r="H3689" s="57" t="s">
        <v>2982</v>
      </c>
      <c r="I3689" s="57" t="s">
        <v>7541</v>
      </c>
    </row>
    <row r="3690" spans="2:9" ht="13.5" customHeight="1">
      <c r="B3690" s="57" t="s">
        <v>6924</v>
      </c>
      <c r="D3690" s="57" t="s">
        <v>6925</v>
      </c>
      <c r="F3690" s="57">
        <v>302</v>
      </c>
      <c r="G3690" s="57" t="s">
        <v>7552</v>
      </c>
      <c r="H3690" s="57" t="s">
        <v>2982</v>
      </c>
    </row>
    <row r="3691" spans="2:9" ht="13.5" customHeight="1">
      <c r="B3691" s="57" t="s">
        <v>6677</v>
      </c>
      <c r="D3691" s="57" t="s">
        <v>6678</v>
      </c>
      <c r="F3691" s="57">
        <v>2</v>
      </c>
      <c r="G3691" s="57" t="s">
        <v>7552</v>
      </c>
      <c r="H3691" s="57" t="s">
        <v>2987</v>
      </c>
    </row>
    <row r="3692" spans="2:9" ht="13.5" customHeight="1">
      <c r="B3692" s="57" t="s">
        <v>6933</v>
      </c>
      <c r="D3692" s="57" t="s">
        <v>6934</v>
      </c>
      <c r="F3692" s="57">
        <v>3</v>
      </c>
      <c r="G3692" s="57" t="s">
        <v>7552</v>
      </c>
      <c r="H3692" s="57" t="s">
        <v>2987</v>
      </c>
    </row>
    <row r="3693" spans="2:9" ht="13.5" customHeight="1">
      <c r="B3693" s="57" t="s">
        <v>6941</v>
      </c>
      <c r="D3693" s="57" t="s">
        <v>6942</v>
      </c>
      <c r="F3693" s="57">
        <v>3</v>
      </c>
      <c r="G3693" s="57" t="s">
        <v>7552</v>
      </c>
      <c r="H3693" s="57" t="s">
        <v>2987</v>
      </c>
    </row>
    <row r="3694" spans="2:9" ht="13.5" customHeight="1">
      <c r="B3694" s="57" t="s">
        <v>6935</v>
      </c>
      <c r="D3694" s="57" t="s">
        <v>6936</v>
      </c>
      <c r="F3694" s="57">
        <v>3</v>
      </c>
      <c r="G3694" s="57" t="s">
        <v>7552</v>
      </c>
      <c r="H3694" s="57" t="s">
        <v>2987</v>
      </c>
    </row>
    <row r="3695" spans="2:9" ht="13.5" customHeight="1">
      <c r="B3695" s="161" t="s">
        <v>9192</v>
      </c>
      <c r="D3695" s="161" t="s">
        <v>9192</v>
      </c>
      <c r="F3695" s="76">
        <v>4</v>
      </c>
      <c r="G3695" s="57" t="s">
        <v>7552</v>
      </c>
      <c r="H3695" s="57" t="s">
        <v>2987</v>
      </c>
    </row>
    <row r="3696" spans="2:9" ht="13.5" customHeight="1">
      <c r="B3696" s="57" t="s">
        <v>6716</v>
      </c>
      <c r="D3696" s="57" t="s">
        <v>6717</v>
      </c>
      <c r="F3696" s="57">
        <v>5</v>
      </c>
      <c r="G3696" s="57" t="s">
        <v>7552</v>
      </c>
      <c r="H3696" s="57" t="s">
        <v>2987</v>
      </c>
    </row>
    <row r="3697" spans="2:9" ht="13.5" customHeight="1">
      <c r="B3697" s="57" t="s">
        <v>6663</v>
      </c>
      <c r="D3697" s="57" t="s">
        <v>6664</v>
      </c>
      <c r="F3697" s="57">
        <v>5</v>
      </c>
      <c r="G3697" s="57" t="s">
        <v>7552</v>
      </c>
      <c r="H3697" s="57" t="s">
        <v>2987</v>
      </c>
    </row>
    <row r="3698" spans="2:9" ht="13.5" customHeight="1">
      <c r="B3698" s="57" t="s">
        <v>6637</v>
      </c>
      <c r="D3698" s="57" t="s">
        <v>6638</v>
      </c>
      <c r="F3698" s="57">
        <v>7</v>
      </c>
      <c r="G3698" s="57" t="s">
        <v>7552</v>
      </c>
      <c r="H3698" s="57" t="s">
        <v>2987</v>
      </c>
    </row>
    <row r="3699" spans="2:9" ht="13.5" customHeight="1">
      <c r="B3699" s="57" t="s">
        <v>9193</v>
      </c>
      <c r="D3699" s="57" t="s">
        <v>9193</v>
      </c>
      <c r="F3699" s="76">
        <v>7</v>
      </c>
      <c r="G3699" s="57" t="s">
        <v>7552</v>
      </c>
      <c r="H3699" s="57" t="s">
        <v>2987</v>
      </c>
    </row>
    <row r="3700" spans="2:9" ht="13.5" customHeight="1">
      <c r="B3700" s="57" t="s">
        <v>6702</v>
      </c>
      <c r="D3700" s="57" t="s">
        <v>6703</v>
      </c>
      <c r="F3700" s="57">
        <v>8</v>
      </c>
      <c r="G3700" s="57" t="s">
        <v>7552</v>
      </c>
      <c r="H3700" s="57" t="s">
        <v>2987</v>
      </c>
    </row>
    <row r="3701" spans="2:9" ht="13.5" customHeight="1">
      <c r="B3701" s="57" t="s">
        <v>6691</v>
      </c>
      <c r="D3701" s="57" t="s">
        <v>6692</v>
      </c>
      <c r="F3701" s="57">
        <v>9</v>
      </c>
      <c r="G3701" s="57" t="s">
        <v>7552</v>
      </c>
      <c r="H3701" s="57" t="s">
        <v>2987</v>
      </c>
    </row>
    <row r="3702" spans="2:9" ht="13.5" customHeight="1">
      <c r="B3702" s="57" t="s">
        <v>6635</v>
      </c>
      <c r="D3702" s="57" t="s">
        <v>6636</v>
      </c>
      <c r="F3702" s="57">
        <v>9</v>
      </c>
      <c r="G3702" s="57" t="s">
        <v>7552</v>
      </c>
      <c r="H3702" s="57" t="s">
        <v>2987</v>
      </c>
    </row>
    <row r="3703" spans="2:9" ht="13.5" customHeight="1">
      <c r="B3703" s="57" t="s">
        <v>7256</v>
      </c>
      <c r="D3703" s="57" t="s">
        <v>7256</v>
      </c>
      <c r="F3703" s="57">
        <v>10</v>
      </c>
      <c r="G3703" s="57" t="s">
        <v>7552</v>
      </c>
      <c r="H3703" s="57" t="s">
        <v>2987</v>
      </c>
      <c r="I3703" s="57" t="s">
        <v>7542</v>
      </c>
    </row>
    <row r="3704" spans="2:9" ht="13.5" customHeight="1">
      <c r="B3704" s="57" t="s">
        <v>6633</v>
      </c>
      <c r="D3704" s="57" t="s">
        <v>6634</v>
      </c>
      <c r="F3704" s="57">
        <v>10</v>
      </c>
      <c r="G3704" s="57" t="s">
        <v>7552</v>
      </c>
      <c r="H3704" s="57" t="s">
        <v>2987</v>
      </c>
    </row>
    <row r="3705" spans="2:9" ht="13.5" customHeight="1">
      <c r="B3705" s="57" t="s">
        <v>7252</v>
      </c>
      <c r="D3705" s="57" t="s">
        <v>7253</v>
      </c>
      <c r="F3705" s="57">
        <v>14</v>
      </c>
      <c r="G3705" s="57" t="s">
        <v>7552</v>
      </c>
      <c r="H3705" s="57" t="s">
        <v>2987</v>
      </c>
    </row>
    <row r="3706" spans="2:9" ht="13.5" customHeight="1">
      <c r="B3706" s="159" t="str">
        <f>D3706</f>
        <v>Điện trở dán 2512 1.5K 152-1W 5%</v>
      </c>
      <c r="D3706" s="57" t="s">
        <v>9183</v>
      </c>
      <c r="F3706" s="57">
        <v>18</v>
      </c>
      <c r="G3706" s="57" t="s">
        <v>7552</v>
      </c>
      <c r="H3706" s="57" t="s">
        <v>2987</v>
      </c>
    </row>
    <row r="3707" spans="2:9" ht="13.5" customHeight="1">
      <c r="B3707" s="57" t="s">
        <v>6683</v>
      </c>
      <c r="D3707" s="57" t="s">
        <v>6684</v>
      </c>
      <c r="F3707" s="57">
        <v>19</v>
      </c>
      <c r="G3707" s="57" t="s">
        <v>7552</v>
      </c>
      <c r="H3707" s="57" t="s">
        <v>2987</v>
      </c>
    </row>
    <row r="3708" spans="2:9" ht="13.5" customHeight="1">
      <c r="B3708" s="57" t="s">
        <v>8202</v>
      </c>
      <c r="D3708" s="57" t="s">
        <v>9176</v>
      </c>
      <c r="F3708" s="57">
        <v>22</v>
      </c>
      <c r="G3708" s="57" t="s">
        <v>7552</v>
      </c>
      <c r="H3708" s="57" t="s">
        <v>2987</v>
      </c>
    </row>
    <row r="3709" spans="2:9" ht="13.5" customHeight="1">
      <c r="B3709" s="57" t="s">
        <v>3192</v>
      </c>
      <c r="D3709" s="57" t="s">
        <v>6147</v>
      </c>
      <c r="F3709" s="57">
        <v>23</v>
      </c>
      <c r="G3709" s="57" t="s">
        <v>7552</v>
      </c>
      <c r="H3709" s="57" t="s">
        <v>2987</v>
      </c>
    </row>
    <row r="3710" spans="2:9" ht="13.5" customHeight="1">
      <c r="B3710" s="57" t="s">
        <v>9180</v>
      </c>
      <c r="D3710" s="57" t="s">
        <v>9179</v>
      </c>
      <c r="F3710" s="76">
        <v>25</v>
      </c>
      <c r="G3710" s="57" t="s">
        <v>7552</v>
      </c>
      <c r="H3710" s="57" t="s">
        <v>2987</v>
      </c>
    </row>
    <row r="3711" spans="2:9" ht="13.5" customHeight="1">
      <c r="D3711" s="57" t="s">
        <v>7182</v>
      </c>
      <c r="F3711" s="57">
        <v>30</v>
      </c>
      <c r="G3711" s="57" t="s">
        <v>7552</v>
      </c>
      <c r="H3711" s="57" t="s">
        <v>2987</v>
      </c>
    </row>
    <row r="3712" spans="2:9" ht="13.5" customHeight="1">
      <c r="B3712" s="159" t="str">
        <f>D3712</f>
        <v>Điện trở dán 0805 2.7K 5%</v>
      </c>
      <c r="D3712" s="57" t="s">
        <v>9184</v>
      </c>
      <c r="F3712" s="76">
        <v>45</v>
      </c>
      <c r="G3712" s="57" t="s">
        <v>7552</v>
      </c>
      <c r="H3712" s="57" t="s">
        <v>2987</v>
      </c>
    </row>
    <row r="3713" spans="2:8" ht="13.5" customHeight="1">
      <c r="D3713" s="57" t="s">
        <v>5199</v>
      </c>
      <c r="F3713" s="57">
        <v>48</v>
      </c>
      <c r="G3713" s="57" t="s">
        <v>7552</v>
      </c>
      <c r="H3713" s="57" t="s">
        <v>2987</v>
      </c>
    </row>
    <row r="3714" spans="2:8" ht="13.5" customHeight="1">
      <c r="B3714" s="57" t="s">
        <v>9178</v>
      </c>
      <c r="D3714" s="57" t="s">
        <v>9177</v>
      </c>
      <c r="F3714" s="57">
        <v>50</v>
      </c>
      <c r="G3714" s="57" t="s">
        <v>7552</v>
      </c>
      <c r="H3714" s="57" t="s">
        <v>2987</v>
      </c>
    </row>
    <row r="3715" spans="2:8" ht="13.5" customHeight="1">
      <c r="B3715" s="57" t="s">
        <v>6653</v>
      </c>
      <c r="D3715" s="57" t="s">
        <v>6654</v>
      </c>
      <c r="F3715" s="57">
        <v>75</v>
      </c>
      <c r="G3715" s="57" t="s">
        <v>7552</v>
      </c>
      <c r="H3715" s="57" t="s">
        <v>2987</v>
      </c>
    </row>
    <row r="3716" spans="2:8" ht="13.5" customHeight="1">
      <c r="B3716" s="57" t="s">
        <v>6706</v>
      </c>
      <c r="D3716" s="57" t="s">
        <v>6707</v>
      </c>
      <c r="F3716" s="57">
        <v>78</v>
      </c>
      <c r="G3716" s="57" t="s">
        <v>7552</v>
      </c>
      <c r="H3716" s="57" t="s">
        <v>2987</v>
      </c>
    </row>
    <row r="3717" spans="2:8" ht="13.5" customHeight="1">
      <c r="B3717" s="57" t="s">
        <v>6926</v>
      </c>
      <c r="D3717" s="57" t="s">
        <v>6927</v>
      </c>
      <c r="F3717" s="57">
        <v>100</v>
      </c>
      <c r="G3717" s="57" t="s">
        <v>7552</v>
      </c>
      <c r="H3717" s="57" t="s">
        <v>2987</v>
      </c>
    </row>
    <row r="3718" spans="2:8" ht="13.5" customHeight="1">
      <c r="B3718" s="57" t="s">
        <v>6922</v>
      </c>
      <c r="D3718" s="57" t="s">
        <v>6923</v>
      </c>
      <c r="F3718" s="57">
        <v>100</v>
      </c>
      <c r="G3718" s="57" t="s">
        <v>7552</v>
      </c>
      <c r="H3718" s="57" t="s">
        <v>2987</v>
      </c>
    </row>
    <row r="3719" spans="2:8" ht="13.5" customHeight="1">
      <c r="B3719" s="57" t="s">
        <v>9187</v>
      </c>
      <c r="D3719" s="57" t="s">
        <v>9186</v>
      </c>
      <c r="F3719" s="57">
        <v>283</v>
      </c>
      <c r="G3719" s="57" t="s">
        <v>7552</v>
      </c>
      <c r="H3719" s="57" t="s">
        <v>2987</v>
      </c>
    </row>
    <row r="3720" spans="2:8" ht="13.5" customHeight="1">
      <c r="B3720" s="57" t="s">
        <v>6835</v>
      </c>
      <c r="D3720" s="57" t="s">
        <v>6953</v>
      </c>
      <c r="F3720" s="57">
        <v>363</v>
      </c>
      <c r="G3720" s="57" t="s">
        <v>7552</v>
      </c>
      <c r="H3720" s="57" t="s">
        <v>2987</v>
      </c>
    </row>
    <row r="3721" spans="2:8" ht="13.5" customHeight="1">
      <c r="B3721" s="57" t="s">
        <v>6866</v>
      </c>
      <c r="D3721" s="57" t="s">
        <v>6867</v>
      </c>
      <c r="F3721" s="57">
        <v>3</v>
      </c>
      <c r="G3721" s="57" t="s">
        <v>7552</v>
      </c>
      <c r="H3721" s="57" t="s">
        <v>2984</v>
      </c>
    </row>
    <row r="3722" spans="2:8" ht="13.5" customHeight="1">
      <c r="B3722" s="57" t="s">
        <v>7058</v>
      </c>
      <c r="D3722" s="57" t="s">
        <v>7059</v>
      </c>
      <c r="F3722" s="57">
        <v>4</v>
      </c>
      <c r="G3722" s="57" t="s">
        <v>7552</v>
      </c>
      <c r="H3722" s="57" t="s">
        <v>2984</v>
      </c>
    </row>
    <row r="3723" spans="2:8" ht="13.5" customHeight="1">
      <c r="B3723" s="57" t="s">
        <v>6745</v>
      </c>
      <c r="D3723" s="57" t="s">
        <v>6746</v>
      </c>
      <c r="F3723" s="57">
        <v>9</v>
      </c>
      <c r="G3723" s="57" t="s">
        <v>7552</v>
      </c>
      <c r="H3723" s="57" t="s">
        <v>2984</v>
      </c>
    </row>
    <row r="3724" spans="2:8" ht="13.5" customHeight="1">
      <c r="B3724" s="57" t="s">
        <v>6749</v>
      </c>
      <c r="D3724" s="57" t="s">
        <v>6750</v>
      </c>
      <c r="F3724" s="57">
        <v>28</v>
      </c>
      <c r="G3724" s="57" t="s">
        <v>7552</v>
      </c>
      <c r="H3724" s="57" t="s">
        <v>2984</v>
      </c>
    </row>
    <row r="3725" spans="2:8" ht="13.5" customHeight="1">
      <c r="B3725" s="57" t="s">
        <v>9171</v>
      </c>
      <c r="D3725" s="57" t="s">
        <v>9170</v>
      </c>
      <c r="F3725" s="76">
        <v>50</v>
      </c>
      <c r="G3725" s="57" t="s">
        <v>7552</v>
      </c>
      <c r="H3725" s="57" t="s">
        <v>2984</v>
      </c>
    </row>
    <row r="3726" spans="2:8" ht="13.5" customHeight="1">
      <c r="B3726" s="57" t="s">
        <v>6840</v>
      </c>
      <c r="D3726" s="57" t="s">
        <v>6841</v>
      </c>
      <c r="F3726" s="57">
        <v>51</v>
      </c>
      <c r="G3726" s="57" t="s">
        <v>7552</v>
      </c>
      <c r="H3726" s="57" t="s">
        <v>2984</v>
      </c>
    </row>
    <row r="3727" spans="2:8" ht="13.5" customHeight="1">
      <c r="B3727" s="57" t="s">
        <v>6830</v>
      </c>
      <c r="D3727" s="57" t="s">
        <v>6830</v>
      </c>
      <c r="F3727" s="57">
        <v>53</v>
      </c>
      <c r="G3727" s="57" t="s">
        <v>7552</v>
      </c>
      <c r="H3727" s="57" t="s">
        <v>2984</v>
      </c>
    </row>
    <row r="3728" spans="2:8" ht="13.5" customHeight="1">
      <c r="B3728" s="57" t="s">
        <v>6739</v>
      </c>
      <c r="D3728" s="57" t="s">
        <v>5547</v>
      </c>
      <c r="F3728" s="57">
        <v>91</v>
      </c>
      <c r="G3728" s="57" t="s">
        <v>7552</v>
      </c>
      <c r="H3728" s="57" t="s">
        <v>2984</v>
      </c>
    </row>
    <row r="3729" spans="2:8" ht="13.5" customHeight="1">
      <c r="B3729" s="57" t="s">
        <v>6592</v>
      </c>
      <c r="D3729" s="57" t="s">
        <v>6766</v>
      </c>
      <c r="F3729" s="57">
        <v>99</v>
      </c>
      <c r="G3729" s="57" t="s">
        <v>7552</v>
      </c>
      <c r="H3729" s="57" t="s">
        <v>2984</v>
      </c>
    </row>
    <row r="3730" spans="2:8" ht="13.5" customHeight="1">
      <c r="B3730" s="57" t="s">
        <v>7010</v>
      </c>
      <c r="D3730" s="57" t="s">
        <v>7011</v>
      </c>
      <c r="F3730" s="57">
        <v>100</v>
      </c>
      <c r="G3730" s="57" t="s">
        <v>7552</v>
      </c>
      <c r="H3730" s="57" t="s">
        <v>2984</v>
      </c>
    </row>
    <row r="3731" spans="2:8" ht="13.5" customHeight="1">
      <c r="B3731" s="57" t="s">
        <v>7012</v>
      </c>
      <c r="D3731" s="57" t="s">
        <v>7013</v>
      </c>
      <c r="F3731" s="57">
        <v>200</v>
      </c>
      <c r="G3731" s="57" t="s">
        <v>7552</v>
      </c>
      <c r="H3731" s="57" t="s">
        <v>2984</v>
      </c>
    </row>
    <row r="3732" spans="2:8" ht="13.5" customHeight="1">
      <c r="B3732" s="57" t="s">
        <v>7427</v>
      </c>
      <c r="D3732" s="57" t="s">
        <v>7428</v>
      </c>
      <c r="F3732" s="57">
        <v>3</v>
      </c>
      <c r="G3732" s="57" t="s">
        <v>7552</v>
      </c>
      <c r="H3732" s="57" t="s">
        <v>2980</v>
      </c>
    </row>
    <row r="3733" spans="2:8" ht="13.5" customHeight="1">
      <c r="B3733" s="57" t="s">
        <v>7110</v>
      </c>
      <c r="D3733" s="57" t="s">
        <v>7111</v>
      </c>
      <c r="F3733" s="57">
        <v>3</v>
      </c>
      <c r="G3733" s="57" t="s">
        <v>7552</v>
      </c>
      <c r="H3733" s="57" t="s">
        <v>2980</v>
      </c>
    </row>
    <row r="3734" spans="2:8" ht="13.5" customHeight="1">
      <c r="B3734" s="57" t="s">
        <v>7165</v>
      </c>
      <c r="D3734" s="57" t="s">
        <v>7166</v>
      </c>
      <c r="F3734" s="57">
        <v>3</v>
      </c>
      <c r="G3734" s="57" t="s">
        <v>7552</v>
      </c>
      <c r="H3734" s="57" t="s">
        <v>2980</v>
      </c>
    </row>
    <row r="3735" spans="2:8" ht="13.5" customHeight="1">
      <c r="B3735" s="57" t="s">
        <v>6979</v>
      </c>
      <c r="D3735" s="57" t="s">
        <v>6980</v>
      </c>
      <c r="F3735" s="57">
        <v>3</v>
      </c>
      <c r="G3735" s="57" t="s">
        <v>7552</v>
      </c>
      <c r="H3735" s="57" t="s">
        <v>2980</v>
      </c>
    </row>
    <row r="3736" spans="2:8" ht="13.5" customHeight="1">
      <c r="B3736" s="57" t="s">
        <v>7141</v>
      </c>
      <c r="D3736" s="57" t="s">
        <v>7142</v>
      </c>
      <c r="F3736" s="57">
        <v>3</v>
      </c>
      <c r="G3736" s="57" t="s">
        <v>7552</v>
      </c>
      <c r="H3736" s="57" t="s">
        <v>2980</v>
      </c>
    </row>
    <row r="3737" spans="2:8" ht="13.5" customHeight="1">
      <c r="B3737" s="57" t="s">
        <v>7452</v>
      </c>
      <c r="D3737" s="57" t="s">
        <v>7453</v>
      </c>
      <c r="F3737" s="57">
        <v>6</v>
      </c>
      <c r="G3737" s="57" t="s">
        <v>7552</v>
      </c>
      <c r="H3737" s="57" t="s">
        <v>2980</v>
      </c>
    </row>
    <row r="3738" spans="2:8" ht="13.5" customHeight="1">
      <c r="D3738" s="57" t="s">
        <v>7439</v>
      </c>
      <c r="F3738" s="57">
        <v>7</v>
      </c>
      <c r="G3738" s="57" t="s">
        <v>7552</v>
      </c>
      <c r="H3738" s="57" t="s">
        <v>2980</v>
      </c>
    </row>
    <row r="3739" spans="2:8" ht="13.5" customHeight="1">
      <c r="B3739" s="57" t="s">
        <v>7429</v>
      </c>
      <c r="D3739" s="57" t="s">
        <v>7430</v>
      </c>
      <c r="F3739" s="57">
        <v>10</v>
      </c>
      <c r="G3739" s="57" t="s">
        <v>7552</v>
      </c>
      <c r="H3739" s="57" t="s">
        <v>2980</v>
      </c>
    </row>
    <row r="3740" spans="2:8" ht="13.5" customHeight="1">
      <c r="B3740" s="57" t="s">
        <v>7440</v>
      </c>
      <c r="D3740" s="57" t="s">
        <v>7441</v>
      </c>
      <c r="F3740" s="57">
        <v>12</v>
      </c>
      <c r="G3740" s="57" t="s">
        <v>7552</v>
      </c>
      <c r="H3740" s="57" t="s">
        <v>2980</v>
      </c>
    </row>
    <row r="3741" spans="2:8" ht="13.5" customHeight="1">
      <c r="B3741" s="57" t="s">
        <v>2713</v>
      </c>
      <c r="D3741" s="57" t="s">
        <v>3881</v>
      </c>
      <c r="F3741" s="57">
        <v>12</v>
      </c>
      <c r="G3741" s="57" t="s">
        <v>7552</v>
      </c>
      <c r="H3741" s="57" t="s">
        <v>2980</v>
      </c>
    </row>
    <row r="3742" spans="2:8" ht="13.5" customHeight="1">
      <c r="B3742" s="57" t="s">
        <v>6994</v>
      </c>
      <c r="D3742" s="57" t="s">
        <v>4320</v>
      </c>
      <c r="F3742" s="57">
        <v>15</v>
      </c>
      <c r="G3742" s="57" t="s">
        <v>7552</v>
      </c>
      <c r="H3742" s="57" t="s">
        <v>2980</v>
      </c>
    </row>
    <row r="3743" spans="2:8" ht="13.5" customHeight="1">
      <c r="B3743" s="57" t="s">
        <v>7425</v>
      </c>
      <c r="D3743" s="57" t="s">
        <v>7426</v>
      </c>
      <c r="F3743" s="57">
        <v>15</v>
      </c>
      <c r="G3743" s="57" t="s">
        <v>7552</v>
      </c>
      <c r="H3743" s="57" t="s">
        <v>2980</v>
      </c>
    </row>
    <row r="3744" spans="2:8" ht="13.5" customHeight="1">
      <c r="D3744" s="57" t="s">
        <v>7431</v>
      </c>
      <c r="F3744" s="57">
        <v>18</v>
      </c>
      <c r="G3744" s="57" t="s">
        <v>7552</v>
      </c>
      <c r="H3744" s="57" t="s">
        <v>2980</v>
      </c>
    </row>
    <row r="3745" spans="2:9" ht="13.5" customHeight="1">
      <c r="B3745" s="57" t="s">
        <v>7442</v>
      </c>
      <c r="D3745" s="57" t="s">
        <v>7443</v>
      </c>
      <c r="F3745" s="57">
        <v>20</v>
      </c>
      <c r="G3745" s="57" t="s">
        <v>7552</v>
      </c>
      <c r="H3745" s="57" t="s">
        <v>2980</v>
      </c>
    </row>
    <row r="3746" spans="2:9" ht="13.5" customHeight="1">
      <c r="B3746" s="57" t="s">
        <v>7432</v>
      </c>
      <c r="D3746" s="57" t="s">
        <v>5884</v>
      </c>
      <c r="F3746" s="57">
        <v>38</v>
      </c>
      <c r="G3746" s="57" t="s">
        <v>7552</v>
      </c>
      <c r="H3746" s="57" t="s">
        <v>2980</v>
      </c>
      <c r="I3746" s="57" t="s">
        <v>7541</v>
      </c>
    </row>
    <row r="3747" spans="2:9" ht="13.5" customHeight="1">
      <c r="B3747" s="57" t="s">
        <v>7433</v>
      </c>
      <c r="D3747" s="57" t="s">
        <v>7434</v>
      </c>
      <c r="F3747" s="57">
        <v>40</v>
      </c>
      <c r="G3747" s="57" t="s">
        <v>7552</v>
      </c>
      <c r="H3747" s="57" t="s">
        <v>2980</v>
      </c>
    </row>
    <row r="3748" spans="2:9" ht="13.5" customHeight="1">
      <c r="B3748" s="57" t="s">
        <v>7435</v>
      </c>
      <c r="D3748" s="57" t="s">
        <v>7436</v>
      </c>
      <c r="F3748" s="57">
        <v>40</v>
      </c>
      <c r="G3748" s="57" t="s">
        <v>7552</v>
      </c>
      <c r="H3748" s="57" t="s">
        <v>2980</v>
      </c>
    </row>
    <row r="3749" spans="2:9" ht="13.5" customHeight="1">
      <c r="B3749" s="57" t="s">
        <v>7437</v>
      </c>
      <c r="D3749" s="57" t="s">
        <v>6120</v>
      </c>
      <c r="F3749" s="57">
        <v>40</v>
      </c>
      <c r="G3749" s="57" t="s">
        <v>7552</v>
      </c>
      <c r="H3749" s="57" t="s">
        <v>2980</v>
      </c>
    </row>
    <row r="3750" spans="2:9" ht="13.5" customHeight="1">
      <c r="B3750" s="57" t="s">
        <v>6981</v>
      </c>
      <c r="D3750" s="57" t="s">
        <v>6982</v>
      </c>
      <c r="F3750" s="57">
        <v>52</v>
      </c>
      <c r="G3750" s="57" t="s">
        <v>7552</v>
      </c>
      <c r="H3750" s="57" t="s">
        <v>2980</v>
      </c>
    </row>
    <row r="3751" spans="2:9" ht="13.5" customHeight="1">
      <c r="B3751" s="57" t="s">
        <v>8532</v>
      </c>
      <c r="D3751" s="57" t="s">
        <v>3314</v>
      </c>
      <c r="F3751" s="76">
        <v>72</v>
      </c>
      <c r="G3751" s="57" t="s">
        <v>7552</v>
      </c>
      <c r="H3751" s="106" t="s">
        <v>2980</v>
      </c>
    </row>
    <row r="3752" spans="2:9" ht="13.5" customHeight="1">
      <c r="B3752" s="57" t="s">
        <v>7438</v>
      </c>
      <c r="D3752" s="57" t="s">
        <v>377</v>
      </c>
      <c r="F3752" s="57">
        <v>80</v>
      </c>
      <c r="G3752" s="57" t="s">
        <v>7552</v>
      </c>
      <c r="H3752" s="57" t="s">
        <v>2980</v>
      </c>
    </row>
    <row r="3753" spans="2:9" ht="13.5" customHeight="1">
      <c r="B3753" s="57" t="s">
        <v>8533</v>
      </c>
      <c r="D3753" s="57" t="s">
        <v>8531</v>
      </c>
      <c r="F3753" s="76">
        <v>83</v>
      </c>
      <c r="G3753" s="57" t="s">
        <v>7552</v>
      </c>
      <c r="H3753" s="106" t="s">
        <v>2980</v>
      </c>
    </row>
    <row r="3754" spans="2:9" ht="13.5" customHeight="1">
      <c r="B3754" s="57" t="s">
        <v>7185</v>
      </c>
      <c r="D3754" s="57" t="s">
        <v>4216</v>
      </c>
      <c r="F3754" s="57">
        <v>290</v>
      </c>
      <c r="G3754" s="57" t="s">
        <v>7552</v>
      </c>
      <c r="H3754" s="57" t="s">
        <v>2980</v>
      </c>
    </row>
    <row r="3755" spans="2:9" ht="13.5" customHeight="1">
      <c r="B3755" s="57" t="s">
        <v>7039</v>
      </c>
      <c r="D3755" s="57" t="s">
        <v>7039</v>
      </c>
      <c r="F3755" s="57">
        <v>2</v>
      </c>
      <c r="G3755" s="57" t="s">
        <v>7552</v>
      </c>
      <c r="H3755" s="57" t="s">
        <v>2979</v>
      </c>
      <c r="I3755" s="57" t="s">
        <v>7537</v>
      </c>
    </row>
    <row r="3756" spans="2:9" ht="13.5" customHeight="1">
      <c r="B3756" s="57" t="s">
        <v>7056</v>
      </c>
      <c r="D3756" s="57" t="s">
        <v>7057</v>
      </c>
      <c r="F3756" s="57">
        <v>3</v>
      </c>
      <c r="G3756" s="57" t="s">
        <v>7552</v>
      </c>
      <c r="H3756" s="57" t="s">
        <v>2979</v>
      </c>
    </row>
    <row r="3757" spans="2:9" ht="13.5" customHeight="1">
      <c r="B3757" s="57" t="s">
        <v>7062</v>
      </c>
      <c r="D3757" s="57" t="s">
        <v>7063</v>
      </c>
      <c r="F3757" s="57">
        <v>3</v>
      </c>
      <c r="G3757" s="57" t="s">
        <v>7552</v>
      </c>
      <c r="H3757" s="57" t="s">
        <v>2979</v>
      </c>
    </row>
    <row r="3758" spans="2:9" ht="13.5" customHeight="1">
      <c r="B3758" s="57" t="s">
        <v>6900</v>
      </c>
      <c r="D3758" s="57" t="s">
        <v>6901</v>
      </c>
      <c r="F3758" s="57">
        <v>3</v>
      </c>
      <c r="G3758" s="57" t="s">
        <v>7552</v>
      </c>
      <c r="H3758" s="57" t="s">
        <v>2979</v>
      </c>
    </row>
    <row r="3759" spans="2:9" ht="13.5" customHeight="1">
      <c r="B3759" s="57" t="s">
        <v>5755</v>
      </c>
      <c r="D3759" s="57" t="s">
        <v>5755</v>
      </c>
      <c r="F3759" s="57">
        <v>4</v>
      </c>
      <c r="G3759" s="57" t="s">
        <v>7552</v>
      </c>
      <c r="H3759" s="57" t="s">
        <v>2979</v>
      </c>
    </row>
    <row r="3760" spans="2:9" ht="13.5" customHeight="1">
      <c r="B3760" s="57" t="s">
        <v>7276</v>
      </c>
      <c r="D3760" s="57" t="s">
        <v>7277</v>
      </c>
      <c r="F3760" s="57">
        <v>5</v>
      </c>
      <c r="G3760" s="57" t="s">
        <v>7552</v>
      </c>
      <c r="H3760" s="57" t="s">
        <v>2979</v>
      </c>
      <c r="I3760" s="57" t="s">
        <v>7546</v>
      </c>
    </row>
    <row r="3761" spans="2:9" ht="13.5" customHeight="1">
      <c r="B3761" s="57" t="s">
        <v>7168</v>
      </c>
      <c r="D3761" s="57" t="s">
        <v>7169</v>
      </c>
      <c r="F3761" s="57">
        <v>5</v>
      </c>
      <c r="G3761" s="57" t="s">
        <v>7552</v>
      </c>
      <c r="H3761" s="57" t="s">
        <v>2979</v>
      </c>
    </row>
    <row r="3762" spans="2:9" ht="13.5" customHeight="1">
      <c r="B3762" s="57" t="s">
        <v>7266</v>
      </c>
      <c r="D3762" s="57" t="s">
        <v>7267</v>
      </c>
      <c r="F3762" s="57">
        <v>5</v>
      </c>
      <c r="G3762" s="57" t="s">
        <v>7552</v>
      </c>
      <c r="H3762" s="57" t="s">
        <v>2979</v>
      </c>
      <c r="I3762" s="57" t="s">
        <v>7545</v>
      </c>
    </row>
    <row r="3763" spans="2:9" ht="13.5" customHeight="1">
      <c r="B3763" s="57" t="s">
        <v>7066</v>
      </c>
      <c r="D3763" s="57" t="s">
        <v>7067</v>
      </c>
      <c r="F3763" s="57">
        <v>6</v>
      </c>
      <c r="G3763" s="57" t="s">
        <v>7552</v>
      </c>
      <c r="H3763" s="57" t="s">
        <v>2979</v>
      </c>
    </row>
    <row r="3764" spans="2:9" ht="13.5" customHeight="1">
      <c r="B3764" s="57" t="s">
        <v>356</v>
      </c>
      <c r="D3764" s="57" t="s">
        <v>6995</v>
      </c>
      <c r="F3764" s="57">
        <v>9</v>
      </c>
      <c r="G3764" s="57" t="s">
        <v>7552</v>
      </c>
      <c r="H3764" s="57" t="s">
        <v>2979</v>
      </c>
    </row>
    <row r="3765" spans="2:9" ht="13.5" customHeight="1">
      <c r="B3765" s="57" t="s">
        <v>6912</v>
      </c>
      <c r="D3765" s="57" t="s">
        <v>6913</v>
      </c>
      <c r="F3765" s="57">
        <v>9</v>
      </c>
      <c r="G3765" s="57" t="s">
        <v>7552</v>
      </c>
      <c r="H3765" s="57" t="s">
        <v>2979</v>
      </c>
    </row>
    <row r="3766" spans="2:9" ht="13.5" customHeight="1">
      <c r="B3766" s="57" t="s">
        <v>7445</v>
      </c>
      <c r="D3766" s="57" t="s">
        <v>7446</v>
      </c>
      <c r="F3766" s="57">
        <v>10</v>
      </c>
      <c r="G3766" s="57" t="s">
        <v>7552</v>
      </c>
      <c r="H3766" s="57" t="s">
        <v>2979</v>
      </c>
    </row>
    <row r="3767" spans="2:9" ht="13.5" customHeight="1">
      <c r="B3767" s="57" t="s">
        <v>7064</v>
      </c>
      <c r="D3767" s="57" t="s">
        <v>7065</v>
      </c>
      <c r="F3767" s="57">
        <v>10</v>
      </c>
      <c r="G3767" s="57" t="s">
        <v>7552</v>
      </c>
      <c r="H3767" s="57" t="s">
        <v>2979</v>
      </c>
    </row>
    <row r="3768" spans="2:9" ht="13.5" customHeight="1">
      <c r="B3768" s="57" t="s">
        <v>7053</v>
      </c>
      <c r="D3768" s="57" t="s">
        <v>7054</v>
      </c>
      <c r="F3768" s="57">
        <v>10</v>
      </c>
      <c r="G3768" s="57" t="s">
        <v>7552</v>
      </c>
      <c r="H3768" s="57" t="s">
        <v>2979</v>
      </c>
    </row>
    <row r="3769" spans="2:9" ht="13.5" customHeight="1">
      <c r="B3769" s="57" t="s">
        <v>6884</v>
      </c>
      <c r="D3769" s="57" t="s">
        <v>6885</v>
      </c>
      <c r="F3769" s="57">
        <v>12</v>
      </c>
      <c r="G3769" s="57" t="s">
        <v>7552</v>
      </c>
      <c r="H3769" s="57" t="s">
        <v>2979</v>
      </c>
    </row>
    <row r="3770" spans="2:9" ht="13.5" customHeight="1">
      <c r="B3770" s="57" t="s">
        <v>7048</v>
      </c>
      <c r="D3770" s="57" t="s">
        <v>7049</v>
      </c>
      <c r="F3770" s="57">
        <v>15</v>
      </c>
      <c r="G3770" s="57" t="s">
        <v>7552</v>
      </c>
      <c r="H3770" s="57" t="s">
        <v>2979</v>
      </c>
    </row>
    <row r="3771" spans="2:9" ht="13.5" customHeight="1">
      <c r="B3771" s="57" t="s">
        <v>7278</v>
      </c>
      <c r="D3771" s="57" t="s">
        <v>7279</v>
      </c>
      <c r="F3771" s="57">
        <v>19</v>
      </c>
      <c r="G3771" s="57" t="s">
        <v>7552</v>
      </c>
      <c r="H3771" s="57" t="s">
        <v>2979</v>
      </c>
      <c r="I3771" s="57" t="s">
        <v>7546</v>
      </c>
    </row>
    <row r="3772" spans="2:9" ht="13.5" customHeight="1">
      <c r="B3772" s="57" t="s">
        <v>7444</v>
      </c>
      <c r="D3772" s="57" t="s">
        <v>5757</v>
      </c>
      <c r="F3772" s="57">
        <v>21</v>
      </c>
      <c r="G3772" s="57" t="s">
        <v>7552</v>
      </c>
      <c r="H3772" s="57" t="s">
        <v>2979</v>
      </c>
    </row>
    <row r="3773" spans="2:9" ht="13.5" customHeight="1">
      <c r="B3773" s="76" t="s">
        <v>9189</v>
      </c>
      <c r="D3773" s="57" t="s">
        <v>9188</v>
      </c>
      <c r="F3773" s="76">
        <v>23</v>
      </c>
      <c r="G3773" s="57" t="s">
        <v>7552</v>
      </c>
      <c r="H3773" s="57" t="s">
        <v>2979</v>
      </c>
    </row>
    <row r="3774" spans="2:9" ht="13.5" customHeight="1">
      <c r="B3774" s="57" t="s">
        <v>7044</v>
      </c>
      <c r="D3774" s="57" t="s">
        <v>7045</v>
      </c>
      <c r="F3774" s="57">
        <v>25</v>
      </c>
      <c r="G3774" s="57" t="s">
        <v>7552</v>
      </c>
      <c r="H3774" s="57" t="s">
        <v>2979</v>
      </c>
    </row>
    <row r="3775" spans="2:9" ht="13.5" customHeight="1">
      <c r="B3775" s="57" t="s">
        <v>6914</v>
      </c>
      <c r="D3775" s="57" t="s">
        <v>6915</v>
      </c>
      <c r="F3775" s="57">
        <v>35</v>
      </c>
      <c r="G3775" s="57" t="s">
        <v>7552</v>
      </c>
      <c r="H3775" s="57" t="s">
        <v>2979</v>
      </c>
    </row>
    <row r="3776" spans="2:9" ht="13.5" customHeight="1">
      <c r="B3776" s="57" t="s">
        <v>7282</v>
      </c>
      <c r="D3776" s="57" t="s">
        <v>7283</v>
      </c>
      <c r="F3776" s="57">
        <v>39</v>
      </c>
      <c r="G3776" s="57" t="s">
        <v>7552</v>
      </c>
      <c r="H3776" s="57" t="s">
        <v>2979</v>
      </c>
      <c r="I3776" s="57" t="s">
        <v>7546</v>
      </c>
    </row>
    <row r="3777" spans="2:9" ht="13.5" customHeight="1">
      <c r="B3777" s="57" t="s">
        <v>7447</v>
      </c>
      <c r="D3777" s="57" t="s">
        <v>7447</v>
      </c>
      <c r="F3777" s="57">
        <v>41</v>
      </c>
      <c r="G3777" s="57" t="s">
        <v>7552</v>
      </c>
      <c r="H3777" s="57" t="s">
        <v>2979</v>
      </c>
    </row>
    <row r="3778" spans="2:9" ht="13.5" customHeight="1">
      <c r="B3778" s="57" t="s">
        <v>7280</v>
      </c>
      <c r="D3778" s="57" t="s">
        <v>7281</v>
      </c>
      <c r="F3778" s="57">
        <v>57</v>
      </c>
      <c r="G3778" s="57" t="s">
        <v>7552</v>
      </c>
      <c r="H3778" s="57" t="s">
        <v>2979</v>
      </c>
      <c r="I3778" s="57" t="s">
        <v>7546</v>
      </c>
    </row>
    <row r="3779" spans="2:9" ht="13.5" customHeight="1">
      <c r="B3779" s="57" t="s">
        <v>7172</v>
      </c>
      <c r="D3779" s="57" t="s">
        <v>7173</v>
      </c>
      <c r="F3779" s="57">
        <v>70</v>
      </c>
      <c r="G3779" s="57" t="s">
        <v>7552</v>
      </c>
      <c r="H3779" s="57" t="s">
        <v>2979</v>
      </c>
    </row>
    <row r="3780" spans="2:9" ht="13.5" customHeight="1">
      <c r="B3780" s="57" t="s">
        <v>9190</v>
      </c>
      <c r="D3780" s="57" t="s">
        <v>9191</v>
      </c>
      <c r="F3780" s="76">
        <v>120</v>
      </c>
      <c r="G3780" s="57" t="s">
        <v>7552</v>
      </c>
      <c r="H3780" s="57" t="s">
        <v>2979</v>
      </c>
    </row>
    <row r="3781" spans="2:9" ht="13.5" customHeight="1">
      <c r="B3781" s="57" t="s">
        <v>6956</v>
      </c>
      <c r="D3781" s="57" t="s">
        <v>6957</v>
      </c>
      <c r="F3781" s="57">
        <v>193</v>
      </c>
      <c r="G3781" s="57" t="s">
        <v>7552</v>
      </c>
      <c r="H3781" s="57" t="s">
        <v>2979</v>
      </c>
    </row>
    <row r="3782" spans="2:9" ht="13.5" customHeight="1">
      <c r="B3782" s="57" t="s">
        <v>7042</v>
      </c>
      <c r="D3782" s="57" t="s">
        <v>7043</v>
      </c>
      <c r="F3782" s="57">
        <v>3</v>
      </c>
      <c r="G3782" s="57" t="s">
        <v>7552</v>
      </c>
      <c r="H3782" s="57" t="s">
        <v>6624</v>
      </c>
    </row>
    <row r="3783" spans="2:9" ht="13.5" customHeight="1">
      <c r="B3783" s="57" t="s">
        <v>7046</v>
      </c>
      <c r="D3783" s="57" t="s">
        <v>7047</v>
      </c>
      <c r="F3783" s="57">
        <v>3</v>
      </c>
      <c r="G3783" s="57" t="s">
        <v>7552</v>
      </c>
      <c r="H3783" s="57" t="s">
        <v>6624</v>
      </c>
    </row>
    <row r="3784" spans="2:9" ht="13.5" customHeight="1">
      <c r="B3784" s="57" t="s">
        <v>7072</v>
      </c>
      <c r="D3784" s="57" t="s">
        <v>7073</v>
      </c>
      <c r="F3784" s="57">
        <v>150</v>
      </c>
      <c r="G3784" s="57" t="s">
        <v>7552</v>
      </c>
      <c r="H3784" s="57" t="s">
        <v>6624</v>
      </c>
    </row>
    <row r="3785" spans="2:9" ht="13.5" customHeight="1">
      <c r="B3785" s="57" t="s">
        <v>7040</v>
      </c>
      <c r="D3785" s="57" t="s">
        <v>7041</v>
      </c>
      <c r="F3785" s="57">
        <v>896</v>
      </c>
      <c r="G3785" s="57" t="s">
        <v>7552</v>
      </c>
      <c r="H3785" s="57" t="s">
        <v>6624</v>
      </c>
    </row>
    <row r="3786" spans="2:9" ht="13.5" customHeight="1">
      <c r="B3786" s="57" t="s">
        <v>7068</v>
      </c>
      <c r="D3786" s="57" t="s">
        <v>7069</v>
      </c>
      <c r="F3786" s="57">
        <v>920</v>
      </c>
      <c r="G3786" s="57" t="s">
        <v>7552</v>
      </c>
      <c r="H3786" s="57" t="s">
        <v>6624</v>
      </c>
    </row>
    <row r="3787" spans="2:9" ht="13.5" customHeight="1">
      <c r="B3787" s="57" t="s">
        <v>6902</v>
      </c>
      <c r="D3787" s="57" t="s">
        <v>6903</v>
      </c>
      <c r="F3787" s="57">
        <v>4</v>
      </c>
      <c r="G3787" s="57" t="s">
        <v>7552</v>
      </c>
      <c r="H3787" s="57" t="s">
        <v>6625</v>
      </c>
    </row>
    <row r="3788" spans="2:9" ht="13.5" customHeight="1">
      <c r="B3788" s="57" t="s">
        <v>6888</v>
      </c>
      <c r="D3788" s="57" t="s">
        <v>442</v>
      </c>
      <c r="F3788" s="57">
        <v>4</v>
      </c>
      <c r="G3788" s="57" t="s">
        <v>7552</v>
      </c>
      <c r="H3788" s="57" t="s">
        <v>6625</v>
      </c>
    </row>
    <row r="3789" spans="2:9" ht="13.5" customHeight="1">
      <c r="B3789" s="57" t="s">
        <v>6906</v>
      </c>
      <c r="D3789" s="57" t="s">
        <v>6907</v>
      </c>
      <c r="F3789" s="57">
        <v>4</v>
      </c>
      <c r="G3789" s="57" t="s">
        <v>7552</v>
      </c>
      <c r="H3789" s="57" t="s">
        <v>6625</v>
      </c>
    </row>
    <row r="3790" spans="2:9" ht="13.5" customHeight="1">
      <c r="B3790" s="57" t="s">
        <v>6904</v>
      </c>
      <c r="D3790" s="57" t="s">
        <v>6905</v>
      </c>
      <c r="F3790" s="57">
        <v>4</v>
      </c>
      <c r="G3790" s="57" t="s">
        <v>7552</v>
      </c>
      <c r="H3790" s="57" t="s">
        <v>6625</v>
      </c>
    </row>
    <row r="3791" spans="2:9" ht="13.5" customHeight="1">
      <c r="B3791" s="57" t="s">
        <v>6686</v>
      </c>
      <c r="D3791" s="57" t="s">
        <v>6687</v>
      </c>
      <c r="F3791" s="57">
        <v>5</v>
      </c>
      <c r="G3791" s="57" t="s">
        <v>7552</v>
      </c>
      <c r="H3791" s="57" t="s">
        <v>6625</v>
      </c>
    </row>
    <row r="3792" spans="2:9" ht="13.5" customHeight="1">
      <c r="B3792" s="57" t="s">
        <v>7231</v>
      </c>
      <c r="D3792" s="57" t="s">
        <v>7232</v>
      </c>
      <c r="F3792" s="57">
        <v>5</v>
      </c>
      <c r="G3792" s="57" t="s">
        <v>7552</v>
      </c>
      <c r="H3792" s="57" t="s">
        <v>6625</v>
      </c>
    </row>
    <row r="3793" spans="2:9" ht="13.5" customHeight="1">
      <c r="B3793" s="57" t="s">
        <v>7229</v>
      </c>
      <c r="D3793" s="57" t="s">
        <v>7230</v>
      </c>
      <c r="F3793" s="57">
        <v>5</v>
      </c>
      <c r="G3793" s="57" t="s">
        <v>7552</v>
      </c>
      <c r="H3793" s="57" t="s">
        <v>6625</v>
      </c>
    </row>
    <row r="3794" spans="2:9" ht="13.5" customHeight="1">
      <c r="B3794" s="57" t="s">
        <v>7511</v>
      </c>
      <c r="F3794" s="57">
        <v>5</v>
      </c>
      <c r="G3794" s="57" t="s">
        <v>7552</v>
      </c>
      <c r="H3794" s="57" t="s">
        <v>6625</v>
      </c>
    </row>
    <row r="3795" spans="2:9" ht="13.5" customHeight="1">
      <c r="B3795" s="57" t="s">
        <v>5325</v>
      </c>
      <c r="D3795" s="57" t="s">
        <v>6688</v>
      </c>
      <c r="F3795" s="57">
        <v>6</v>
      </c>
      <c r="G3795" s="57" t="s">
        <v>7552</v>
      </c>
      <c r="H3795" s="57" t="s">
        <v>6625</v>
      </c>
    </row>
    <row r="3796" spans="2:9" ht="13.5" customHeight="1">
      <c r="B3796" s="57" t="s">
        <v>5264</v>
      </c>
      <c r="D3796" s="57" t="s">
        <v>6251</v>
      </c>
      <c r="F3796" s="57">
        <v>7</v>
      </c>
      <c r="G3796" s="57" t="s">
        <v>7552</v>
      </c>
      <c r="H3796" s="57" t="s">
        <v>6625</v>
      </c>
    </row>
    <row r="3797" spans="2:9" ht="13.5" customHeight="1">
      <c r="B3797" s="57" t="s">
        <v>7164</v>
      </c>
      <c r="D3797" s="57" t="s">
        <v>3112</v>
      </c>
      <c r="F3797" s="57">
        <v>8</v>
      </c>
      <c r="G3797" s="57" t="s">
        <v>7552</v>
      </c>
      <c r="H3797" s="57" t="s">
        <v>6625</v>
      </c>
    </row>
    <row r="3798" spans="2:9" ht="13.5" customHeight="1">
      <c r="B3798" s="57" t="s">
        <v>7286</v>
      </c>
      <c r="D3798" s="57" t="s">
        <v>7287</v>
      </c>
      <c r="F3798" s="57">
        <v>10</v>
      </c>
      <c r="G3798" s="57" t="s">
        <v>7552</v>
      </c>
      <c r="H3798" s="57" t="s">
        <v>6625</v>
      </c>
    </row>
    <row r="3799" spans="2:9" ht="13.5" customHeight="1">
      <c r="B3799" s="57" t="s">
        <v>7508</v>
      </c>
      <c r="D3799" s="57" t="s">
        <v>7509</v>
      </c>
      <c r="F3799" s="57">
        <v>10</v>
      </c>
      <c r="G3799" s="57" t="s">
        <v>7552</v>
      </c>
      <c r="H3799" s="57" t="s">
        <v>6625</v>
      </c>
    </row>
    <row r="3800" spans="2:9" ht="13.5" customHeight="1">
      <c r="B3800" s="57" t="s">
        <v>7510</v>
      </c>
      <c r="F3800" s="57">
        <v>12</v>
      </c>
      <c r="G3800" s="57" t="s">
        <v>7552</v>
      </c>
      <c r="H3800" s="57" t="s">
        <v>6625</v>
      </c>
    </row>
    <row r="3801" spans="2:9" ht="13.5" customHeight="1">
      <c r="B3801" s="57" t="s">
        <v>7032</v>
      </c>
      <c r="D3801" s="57" t="s">
        <v>7032</v>
      </c>
      <c r="F3801" s="57">
        <v>19</v>
      </c>
      <c r="G3801" s="57" t="s">
        <v>7552</v>
      </c>
      <c r="H3801" s="57" t="s">
        <v>6625</v>
      </c>
    </row>
    <row r="3802" spans="2:9" ht="13.5" customHeight="1">
      <c r="B3802" s="57" t="s">
        <v>7448</v>
      </c>
      <c r="D3802" s="57" t="s">
        <v>7449</v>
      </c>
      <c r="F3802" s="57">
        <v>20</v>
      </c>
      <c r="G3802" s="57" t="s">
        <v>7552</v>
      </c>
      <c r="H3802" s="57" t="s">
        <v>6625</v>
      </c>
    </row>
    <row r="3803" spans="2:9" ht="13.5" customHeight="1">
      <c r="B3803" s="57" t="s">
        <v>7272</v>
      </c>
      <c r="D3803" s="57" t="s">
        <v>7273</v>
      </c>
      <c r="F3803" s="57">
        <v>24</v>
      </c>
      <c r="G3803" s="57" t="s">
        <v>7552</v>
      </c>
      <c r="H3803" s="57" t="s">
        <v>6625</v>
      </c>
      <c r="I3803" s="57" t="s">
        <v>7546</v>
      </c>
    </row>
    <row r="3804" spans="2:9" ht="13.5" customHeight="1">
      <c r="B3804" s="57" t="s">
        <v>7506</v>
      </c>
      <c r="D3804" s="57" t="s">
        <v>7507</v>
      </c>
      <c r="F3804" s="57">
        <v>25</v>
      </c>
      <c r="G3804" s="57" t="s">
        <v>7552</v>
      </c>
      <c r="H3804" s="57" t="s">
        <v>6625</v>
      </c>
    </row>
    <row r="3805" spans="2:9" ht="13.5" customHeight="1">
      <c r="B3805" s="57" t="s">
        <v>7288</v>
      </c>
      <c r="D3805" s="57" t="s">
        <v>7289</v>
      </c>
      <c r="F3805" s="57">
        <v>32</v>
      </c>
      <c r="G3805" s="57" t="s">
        <v>7552</v>
      </c>
      <c r="H3805" s="57" t="s">
        <v>6625</v>
      </c>
    </row>
    <row r="3806" spans="2:9" ht="13.5" customHeight="1">
      <c r="B3806" s="57" t="s">
        <v>7174</v>
      </c>
      <c r="D3806" s="57" t="s">
        <v>7175</v>
      </c>
      <c r="F3806" s="57">
        <v>44</v>
      </c>
      <c r="G3806" s="57" t="s">
        <v>7552</v>
      </c>
      <c r="H3806" s="57" t="s">
        <v>6625</v>
      </c>
    </row>
    <row r="3807" spans="2:9" ht="13.5" customHeight="1">
      <c r="B3807" s="57" t="s">
        <v>7131</v>
      </c>
      <c r="D3807" s="57" t="s">
        <v>7132</v>
      </c>
      <c r="F3807" s="57">
        <v>50</v>
      </c>
      <c r="G3807" s="57" t="s">
        <v>7552</v>
      </c>
      <c r="H3807" s="57" t="s">
        <v>6625</v>
      </c>
    </row>
    <row r="3808" spans="2:9" ht="13.5" customHeight="1">
      <c r="B3808" s="57" t="s">
        <v>7167</v>
      </c>
      <c r="D3808" s="57" t="s">
        <v>7167</v>
      </c>
      <c r="F3808" s="57">
        <v>53</v>
      </c>
      <c r="G3808" s="57" t="s">
        <v>7552</v>
      </c>
      <c r="H3808" s="57" t="s">
        <v>6625</v>
      </c>
    </row>
    <row r="3809" spans="2:9" ht="13.5" customHeight="1">
      <c r="B3809" s="57" t="s">
        <v>6899</v>
      </c>
      <c r="D3809" s="57" t="s">
        <v>6899</v>
      </c>
      <c r="F3809" s="57">
        <v>54</v>
      </c>
      <c r="G3809" s="57" t="s">
        <v>7552</v>
      </c>
      <c r="H3809" s="57" t="s">
        <v>6625</v>
      </c>
    </row>
    <row r="3810" spans="2:9" ht="13.5" customHeight="1">
      <c r="B3810" s="57" t="s">
        <v>7504</v>
      </c>
      <c r="D3810" s="57">
        <v>430452401</v>
      </c>
      <c r="F3810" s="57">
        <v>59</v>
      </c>
      <c r="G3810" s="57" t="s">
        <v>7552</v>
      </c>
      <c r="H3810" s="57" t="s">
        <v>6625</v>
      </c>
    </row>
    <row r="3811" spans="2:9" ht="13.5" customHeight="1">
      <c r="B3811" s="57" t="s">
        <v>7505</v>
      </c>
      <c r="D3811" s="57" t="s">
        <v>7505</v>
      </c>
      <c r="F3811" s="57">
        <v>71</v>
      </c>
      <c r="G3811" s="57" t="s">
        <v>7552</v>
      </c>
      <c r="H3811" s="57" t="s">
        <v>6625</v>
      </c>
    </row>
    <row r="3812" spans="2:9" ht="13.5" customHeight="1">
      <c r="B3812" s="57" t="s">
        <v>6908</v>
      </c>
      <c r="D3812" s="57" t="s">
        <v>6909</v>
      </c>
      <c r="F3812" s="57">
        <v>305</v>
      </c>
      <c r="G3812" s="57" t="s">
        <v>7552</v>
      </c>
      <c r="H3812" s="57" t="s">
        <v>6625</v>
      </c>
      <c r="I3812" s="57" t="s">
        <v>7532</v>
      </c>
    </row>
    <row r="3813" spans="2:9" ht="13.5" customHeight="1">
      <c r="B3813" s="57" t="s">
        <v>6964</v>
      </c>
      <c r="D3813" s="57" t="s">
        <v>6965</v>
      </c>
      <c r="F3813" s="57">
        <v>2</v>
      </c>
      <c r="G3813" s="57" t="s">
        <v>7552</v>
      </c>
      <c r="H3813" s="57" t="s">
        <v>7533</v>
      </c>
    </row>
    <row r="3814" spans="2:9" ht="13.5" customHeight="1">
      <c r="B3814" s="57" t="s">
        <v>7158</v>
      </c>
      <c r="D3814" s="57" t="s">
        <v>7159</v>
      </c>
      <c r="F3814" s="57">
        <v>6</v>
      </c>
      <c r="G3814" s="57" t="s">
        <v>7552</v>
      </c>
      <c r="H3814" s="57" t="s">
        <v>7533</v>
      </c>
    </row>
    <row r="3815" spans="2:9" ht="13.5" customHeight="1">
      <c r="B3815" s="57" t="s">
        <v>6943</v>
      </c>
      <c r="D3815" s="57" t="s">
        <v>6944</v>
      </c>
      <c r="F3815" s="57">
        <v>9</v>
      </c>
      <c r="G3815" s="57" t="s">
        <v>7552</v>
      </c>
      <c r="H3815" s="57" t="s">
        <v>7533</v>
      </c>
    </row>
    <row r="3816" spans="2:9" ht="13.5" customHeight="1">
      <c r="B3816" s="57" t="s">
        <v>6958</v>
      </c>
      <c r="D3816" s="57" t="s">
        <v>6959</v>
      </c>
      <c r="F3816" s="57">
        <v>30</v>
      </c>
      <c r="G3816" s="57" t="s">
        <v>7552</v>
      </c>
      <c r="H3816" s="57" t="s">
        <v>7533</v>
      </c>
    </row>
    <row r="3817" spans="2:9" ht="13.5" customHeight="1">
      <c r="B3817" s="57" t="s">
        <v>6951</v>
      </c>
      <c r="D3817" s="57" t="s">
        <v>6952</v>
      </c>
      <c r="F3817" s="57">
        <v>30</v>
      </c>
      <c r="G3817" s="57" t="s">
        <v>7552</v>
      </c>
      <c r="H3817" s="57" t="s">
        <v>7533</v>
      </c>
    </row>
    <row r="3818" spans="2:9" ht="13.5" customHeight="1">
      <c r="B3818" s="57" t="s">
        <v>7149</v>
      </c>
      <c r="D3818" s="57" t="s">
        <v>7150</v>
      </c>
      <c r="F3818" s="57">
        <v>35</v>
      </c>
      <c r="G3818" s="57" t="s">
        <v>7552</v>
      </c>
      <c r="H3818" s="57" t="s">
        <v>7533</v>
      </c>
      <c r="I3818" s="57" t="s">
        <v>7539</v>
      </c>
    </row>
    <row r="3819" spans="2:9" ht="13.5" customHeight="1">
      <c r="B3819" s="57" t="s">
        <v>7146</v>
      </c>
      <c r="D3819" s="57" t="s">
        <v>7147</v>
      </c>
      <c r="F3819" s="57">
        <v>45</v>
      </c>
      <c r="G3819" s="57" t="s">
        <v>7552</v>
      </c>
      <c r="H3819" s="57" t="s">
        <v>7533</v>
      </c>
    </row>
    <row r="3820" spans="2:9" ht="13.5" customHeight="1">
      <c r="B3820" s="57" t="s">
        <v>7163</v>
      </c>
      <c r="D3820" s="57">
        <v>90</v>
      </c>
      <c r="F3820" s="57">
        <v>90</v>
      </c>
      <c r="G3820" s="57" t="s">
        <v>7552</v>
      </c>
      <c r="H3820" s="57" t="s">
        <v>7533</v>
      </c>
    </row>
    <row r="3821" spans="2:9" ht="13.5" customHeight="1">
      <c r="B3821" s="57" t="s">
        <v>7450</v>
      </c>
      <c r="D3821" s="57" t="s">
        <v>7451</v>
      </c>
      <c r="F3821" s="57">
        <v>99</v>
      </c>
      <c r="G3821" s="57" t="s">
        <v>7552</v>
      </c>
      <c r="H3821" s="57" t="s">
        <v>7533</v>
      </c>
    </row>
    <row r="3822" spans="2:9" ht="13.5" customHeight="1">
      <c r="B3822" s="57" t="s">
        <v>7170</v>
      </c>
      <c r="D3822" s="57" t="s">
        <v>7171</v>
      </c>
      <c r="F3822" s="57">
        <v>297</v>
      </c>
      <c r="G3822" s="57" t="s">
        <v>7552</v>
      </c>
      <c r="H3822" s="57" t="s">
        <v>7533</v>
      </c>
    </row>
    <row r="3823" spans="2:9" ht="13.5" customHeight="1">
      <c r="B3823" s="57" t="s">
        <v>7070</v>
      </c>
      <c r="D3823" s="57" t="s">
        <v>7071</v>
      </c>
      <c r="F3823" s="57">
        <v>2188</v>
      </c>
      <c r="G3823" s="57" t="s">
        <v>7552</v>
      </c>
      <c r="H3823" s="57" t="s">
        <v>7533</v>
      </c>
    </row>
    <row r="3824" spans="2:9" ht="13.5" customHeight="1">
      <c r="B3824" s="57" t="s">
        <v>7178</v>
      </c>
      <c r="D3824" s="57" t="s">
        <v>7179</v>
      </c>
      <c r="F3824" s="57">
        <v>2</v>
      </c>
      <c r="G3824" s="57" t="s">
        <v>7552</v>
      </c>
      <c r="H3824" s="57" t="s">
        <v>6626</v>
      </c>
    </row>
    <row r="3825" spans="2:9" ht="13.5" customHeight="1">
      <c r="B3825" s="57" t="s">
        <v>7180</v>
      </c>
      <c r="D3825" s="57" t="s">
        <v>7181</v>
      </c>
      <c r="F3825" s="57">
        <v>5</v>
      </c>
      <c r="G3825" s="57" t="s">
        <v>7552</v>
      </c>
      <c r="H3825" s="57" t="s">
        <v>6626</v>
      </c>
    </row>
    <row r="3826" spans="2:9" ht="13.5" customHeight="1">
      <c r="B3826" s="57" t="s">
        <v>7154</v>
      </c>
      <c r="D3826" s="57" t="s">
        <v>7155</v>
      </c>
      <c r="F3826" s="57">
        <v>6</v>
      </c>
      <c r="G3826" s="57" t="s">
        <v>7552</v>
      </c>
      <c r="H3826" s="57" t="s">
        <v>6626</v>
      </c>
    </row>
    <row r="3827" spans="2:9" ht="13.5" customHeight="1">
      <c r="B3827" s="57" t="s">
        <v>6833</v>
      </c>
      <c r="D3827" s="57" t="s">
        <v>6834</v>
      </c>
      <c r="F3827" s="57">
        <v>7</v>
      </c>
      <c r="G3827" s="57" t="s">
        <v>7552</v>
      </c>
      <c r="H3827" s="57" t="s">
        <v>6626</v>
      </c>
    </row>
    <row r="3828" spans="2:9" ht="13.5" customHeight="1">
      <c r="B3828" s="57" t="s">
        <v>7156</v>
      </c>
      <c r="D3828" s="57" t="s">
        <v>7157</v>
      </c>
      <c r="F3828" s="57">
        <v>9</v>
      </c>
      <c r="G3828" s="57" t="s">
        <v>7552</v>
      </c>
      <c r="H3828" s="57" t="s">
        <v>6626</v>
      </c>
    </row>
    <row r="3829" spans="2:9" ht="13.5" customHeight="1">
      <c r="B3829" s="57" t="s">
        <v>7284</v>
      </c>
      <c r="D3829" s="57" t="s">
        <v>7285</v>
      </c>
      <c r="F3829" s="57">
        <v>100</v>
      </c>
      <c r="G3829" s="57" t="s">
        <v>7552</v>
      </c>
      <c r="H3829" s="57" t="s">
        <v>6626</v>
      </c>
      <c r="I3829" s="57" t="s">
        <v>7546</v>
      </c>
    </row>
    <row r="3830" spans="2:9" ht="13.5" customHeight="1">
      <c r="B3830" s="57" t="s">
        <v>7148</v>
      </c>
      <c r="D3830" s="57" t="s">
        <v>7148</v>
      </c>
      <c r="F3830" s="57">
        <v>2592</v>
      </c>
      <c r="G3830" s="57" t="s">
        <v>7552</v>
      </c>
      <c r="H3830" s="57" t="s">
        <v>6626</v>
      </c>
      <c r="I3830" s="57" t="s">
        <v>7538</v>
      </c>
    </row>
    <row r="3831" spans="2:9" ht="13.5" customHeight="1">
      <c r="B3831" s="57" t="s">
        <v>6962</v>
      </c>
      <c r="D3831" s="57" t="s">
        <v>6963</v>
      </c>
      <c r="F3831" s="57">
        <v>2</v>
      </c>
      <c r="G3831" s="57" t="s">
        <v>7552</v>
      </c>
      <c r="H3831" s="57" t="s">
        <v>7531</v>
      </c>
    </row>
    <row r="3832" spans="2:9" ht="13.5" customHeight="1">
      <c r="B3832" s="57" t="s">
        <v>7274</v>
      </c>
      <c r="D3832" s="57" t="s">
        <v>7275</v>
      </c>
      <c r="F3832" s="57">
        <v>4</v>
      </c>
      <c r="G3832" s="57" t="s">
        <v>7552</v>
      </c>
      <c r="H3832" s="57" t="s">
        <v>7531</v>
      </c>
      <c r="I3832" s="57" t="s">
        <v>7546</v>
      </c>
    </row>
    <row r="3833" spans="2:9" ht="13.5" customHeight="1">
      <c r="B3833" s="57" t="s">
        <v>7456</v>
      </c>
      <c r="D3833" s="57" t="s">
        <v>7457</v>
      </c>
      <c r="F3833" s="57">
        <v>8</v>
      </c>
      <c r="G3833" s="57" t="s">
        <v>7552</v>
      </c>
      <c r="H3833" s="57" t="s">
        <v>7531</v>
      </c>
    </row>
    <row r="3834" spans="2:9" ht="13.5" customHeight="1">
      <c r="B3834" s="57" t="s">
        <v>7454</v>
      </c>
      <c r="D3834" s="57" t="s">
        <v>7455</v>
      </c>
      <c r="F3834" s="57">
        <v>8</v>
      </c>
      <c r="G3834" s="57" t="s">
        <v>7552</v>
      </c>
      <c r="H3834" s="57" t="s">
        <v>7531</v>
      </c>
    </row>
    <row r="3835" spans="2:9" ht="13.5" customHeight="1">
      <c r="B3835" s="57" t="s">
        <v>6886</v>
      </c>
      <c r="D3835" s="57" t="s">
        <v>6887</v>
      </c>
      <c r="F3835" s="57">
        <v>9</v>
      </c>
      <c r="G3835" s="57" t="s">
        <v>7552</v>
      </c>
      <c r="H3835" s="57" t="s">
        <v>7531</v>
      </c>
    </row>
    <row r="3836" spans="2:9" ht="13.5" customHeight="1">
      <c r="B3836" s="57" t="s">
        <v>7033</v>
      </c>
      <c r="D3836" s="57" t="s">
        <v>7034</v>
      </c>
      <c r="F3836" s="57">
        <v>10</v>
      </c>
      <c r="G3836" s="57" t="s">
        <v>7552</v>
      </c>
      <c r="H3836" s="57" t="s">
        <v>7531</v>
      </c>
    </row>
    <row r="3837" spans="2:9" ht="13.5" customHeight="1">
      <c r="B3837" s="57" t="s">
        <v>7031</v>
      </c>
      <c r="D3837" s="57" t="s">
        <v>7031</v>
      </c>
      <c r="F3837" s="57">
        <v>11</v>
      </c>
      <c r="G3837" s="57" t="s">
        <v>7552</v>
      </c>
      <c r="H3837" s="57" t="s">
        <v>7531</v>
      </c>
    </row>
    <row r="3838" spans="2:9" ht="13.5" customHeight="1">
      <c r="B3838" s="57" t="s">
        <v>6344</v>
      </c>
      <c r="D3838" s="57" t="s">
        <v>6344</v>
      </c>
      <c r="F3838" s="57">
        <v>15</v>
      </c>
      <c r="G3838" s="57" t="s">
        <v>7552</v>
      </c>
      <c r="H3838" s="57" t="s">
        <v>7531</v>
      </c>
    </row>
    <row r="3839" spans="2:9" ht="13.5" customHeight="1">
      <c r="B3839" s="57" t="s">
        <v>7176</v>
      </c>
      <c r="D3839" s="57" t="s">
        <v>7177</v>
      </c>
      <c r="F3839" s="57">
        <v>16</v>
      </c>
      <c r="G3839" s="57" t="s">
        <v>7552</v>
      </c>
      <c r="H3839" s="57" t="s">
        <v>7531</v>
      </c>
    </row>
    <row r="3840" spans="2:9" ht="13.5" customHeight="1">
      <c r="B3840" s="57" t="s">
        <v>7152</v>
      </c>
      <c r="D3840" s="57" t="s">
        <v>7153</v>
      </c>
      <c r="F3840" s="57">
        <v>25</v>
      </c>
      <c r="G3840" s="57" t="s">
        <v>7552</v>
      </c>
      <c r="H3840" s="57" t="s">
        <v>7531</v>
      </c>
      <c r="I3840" s="57" t="s">
        <v>7540</v>
      </c>
    </row>
    <row r="3841" spans="2:9" ht="13.5" customHeight="1">
      <c r="B3841" s="57" t="s">
        <v>7151</v>
      </c>
      <c r="D3841" s="57" t="s">
        <v>7151</v>
      </c>
      <c r="F3841" s="57">
        <v>49</v>
      </c>
      <c r="G3841" s="57" t="s">
        <v>7552</v>
      </c>
      <c r="H3841" s="57" t="s">
        <v>7531</v>
      </c>
    </row>
    <row r="3842" spans="2:9" ht="13.5" customHeight="1">
      <c r="B3842" s="57" t="s">
        <v>7496</v>
      </c>
      <c r="D3842" s="57" t="s">
        <v>7497</v>
      </c>
      <c r="F3842" s="57">
        <v>106</v>
      </c>
      <c r="G3842" s="57" t="s">
        <v>7552</v>
      </c>
      <c r="H3842" s="57" t="s">
        <v>7531</v>
      </c>
    </row>
    <row r="3843" spans="2:9" ht="13.5" customHeight="1">
      <c r="B3843" s="57" t="s">
        <v>6882</v>
      </c>
      <c r="D3843" s="57" t="s">
        <v>6883</v>
      </c>
      <c r="F3843" s="57">
        <v>225</v>
      </c>
      <c r="G3843" s="57" t="s">
        <v>7552</v>
      </c>
      <c r="H3843" s="57" t="s">
        <v>7531</v>
      </c>
    </row>
    <row r="3844" spans="2:9" ht="13.5" customHeight="1">
      <c r="B3844" s="57" t="s">
        <v>7162</v>
      </c>
      <c r="D3844" s="57" t="s">
        <v>7162</v>
      </c>
      <c r="F3844" s="57">
        <v>507</v>
      </c>
      <c r="G3844" s="57" t="s">
        <v>7552</v>
      </c>
      <c r="H3844" s="57" t="s">
        <v>7531</v>
      </c>
    </row>
    <row r="3845" spans="2:9" ht="13.5" customHeight="1">
      <c r="B3845" s="57" t="s">
        <v>7458</v>
      </c>
      <c r="D3845" s="57" t="s">
        <v>7459</v>
      </c>
      <c r="F3845" s="57">
        <v>1.5</v>
      </c>
      <c r="G3845" s="57" t="s">
        <v>7552</v>
      </c>
      <c r="H3845" s="57" t="s">
        <v>7543</v>
      </c>
      <c r="I3845" s="57" t="s">
        <v>7544</v>
      </c>
    </row>
    <row r="3846" spans="2:9" ht="13.5" customHeight="1">
      <c r="B3846" s="57" t="s">
        <v>7458</v>
      </c>
      <c r="D3846" s="57" t="s">
        <v>7461</v>
      </c>
      <c r="F3846" s="57">
        <v>2</v>
      </c>
      <c r="G3846" s="57" t="s">
        <v>7552</v>
      </c>
      <c r="H3846" s="57" t="s">
        <v>7543</v>
      </c>
      <c r="I3846" s="57" t="s">
        <v>7544</v>
      </c>
    </row>
    <row r="3847" spans="2:9" ht="13.5" customHeight="1">
      <c r="B3847" s="57" t="s">
        <v>7458</v>
      </c>
      <c r="D3847" s="57" t="s">
        <v>7460</v>
      </c>
      <c r="F3847" s="57">
        <v>5</v>
      </c>
      <c r="G3847" s="57" t="s">
        <v>7552</v>
      </c>
      <c r="H3847" s="57" t="s">
        <v>7543</v>
      </c>
      <c r="I3847" s="57" t="s">
        <v>7544</v>
      </c>
    </row>
    <row r="3848" spans="2:9" ht="13.5" customHeight="1">
      <c r="B3848" s="57" t="s">
        <v>7260</v>
      </c>
      <c r="D3848" s="57" t="s">
        <v>7261</v>
      </c>
      <c r="F3848" s="57">
        <v>74</v>
      </c>
      <c r="G3848" s="57" t="s">
        <v>7552</v>
      </c>
      <c r="H3848" s="57" t="s">
        <v>7543</v>
      </c>
      <c r="I3848" s="57" t="s">
        <v>7544</v>
      </c>
    </row>
    <row r="3849" spans="2:9" ht="13.5" customHeight="1">
      <c r="B3849" s="57" t="s">
        <v>6910</v>
      </c>
      <c r="D3849" s="57" t="s">
        <v>6911</v>
      </c>
      <c r="F3849" s="57">
        <v>248</v>
      </c>
      <c r="G3849" s="57" t="s">
        <v>7552</v>
      </c>
      <c r="H3849" s="57" t="s">
        <v>1358</v>
      </c>
    </row>
    <row r="3850" spans="2:9" ht="13.5" customHeight="1">
      <c r="B3850" s="57" t="s">
        <v>8113</v>
      </c>
      <c r="D3850" s="57" t="s">
        <v>8113</v>
      </c>
      <c r="F3850" s="57">
        <v>500</v>
      </c>
      <c r="G3850" s="57" t="s">
        <v>7552</v>
      </c>
      <c r="H3850" s="57" t="s">
        <v>1358</v>
      </c>
      <c r="I3850" s="68"/>
    </row>
    <row r="3851" spans="2:9" ht="13.5" customHeight="1">
      <c r="B3851" s="57" t="s">
        <v>7268</v>
      </c>
      <c r="D3851" s="57" t="s">
        <v>7269</v>
      </c>
      <c r="F3851" s="57">
        <v>820</v>
      </c>
      <c r="G3851" s="57" t="s">
        <v>7552</v>
      </c>
      <c r="H3851" s="57" t="s">
        <v>1358</v>
      </c>
    </row>
    <row r="3852" spans="2:9" ht="13.5" customHeight="1">
      <c r="B3852" s="57" t="s">
        <v>7470</v>
      </c>
      <c r="F3852" s="57">
        <v>992</v>
      </c>
      <c r="G3852" s="57" t="s">
        <v>7552</v>
      </c>
      <c r="H3852" s="57" t="s">
        <v>1358</v>
      </c>
      <c r="I3852" s="57" t="s">
        <v>7536</v>
      </c>
    </row>
    <row r="3853" spans="2:9" ht="13.5" customHeight="1">
      <c r="B3853" s="57" t="s">
        <v>7468</v>
      </c>
      <c r="D3853" s="57" t="s">
        <v>7469</v>
      </c>
      <c r="F3853" s="57">
        <v>8</v>
      </c>
      <c r="G3853" s="57" t="s">
        <v>7552</v>
      </c>
      <c r="H3853" s="57" t="s">
        <v>7549</v>
      </c>
      <c r="I3853" s="57" t="s">
        <v>7536</v>
      </c>
    </row>
    <row r="3854" spans="2:9" ht="13.5" customHeight="1">
      <c r="B3854" s="57" t="s">
        <v>7466</v>
      </c>
      <c r="D3854" s="57" t="s">
        <v>7467</v>
      </c>
      <c r="F3854" s="57">
        <v>33</v>
      </c>
      <c r="G3854" s="57" t="s">
        <v>7552</v>
      </c>
      <c r="H3854" s="57" t="s">
        <v>7549</v>
      </c>
      <c r="I3854" s="57" t="s">
        <v>7536</v>
      </c>
    </row>
    <row r="3855" spans="2:9" ht="13.5" customHeight="1">
      <c r="B3855" s="57" t="s">
        <v>7462</v>
      </c>
      <c r="D3855" s="57" t="s">
        <v>7463</v>
      </c>
      <c r="F3855" s="57">
        <v>41</v>
      </c>
      <c r="G3855" s="57" t="s">
        <v>7552</v>
      </c>
      <c r="H3855" s="57" t="s">
        <v>7549</v>
      </c>
      <c r="I3855" s="57" t="s">
        <v>7536</v>
      </c>
    </row>
    <row r="3856" spans="2:9" ht="13.5" customHeight="1">
      <c r="B3856" s="57" t="s">
        <v>7464</v>
      </c>
      <c r="D3856" s="57" t="s">
        <v>7465</v>
      </c>
      <c r="F3856" s="57">
        <v>80</v>
      </c>
      <c r="G3856" s="57" t="s">
        <v>7552</v>
      </c>
      <c r="H3856" s="57" t="s">
        <v>7549</v>
      </c>
      <c r="I3856" s="57" t="s">
        <v>7536</v>
      </c>
    </row>
    <row r="3857" spans="2:9" ht="13.5" customHeight="1">
      <c r="B3857" s="57" t="s">
        <v>7472</v>
      </c>
      <c r="F3857" s="57">
        <v>80</v>
      </c>
      <c r="G3857" s="57" t="s">
        <v>7552</v>
      </c>
      <c r="H3857" s="57" t="s">
        <v>7549</v>
      </c>
      <c r="I3857" s="57" t="s">
        <v>7536</v>
      </c>
    </row>
    <row r="3858" spans="2:9" ht="13.5" customHeight="1">
      <c r="B3858" s="57" t="s">
        <v>7160</v>
      </c>
      <c r="D3858" s="57" t="s">
        <v>7161</v>
      </c>
      <c r="F3858" s="57">
        <v>3</v>
      </c>
      <c r="G3858" s="57" t="s">
        <v>7552</v>
      </c>
      <c r="H3858" s="57" t="s">
        <v>7535</v>
      </c>
      <c r="I3858" s="57" t="s">
        <v>7536</v>
      </c>
    </row>
    <row r="3859" spans="2:9" ht="13.5" customHeight="1">
      <c r="B3859" s="57" t="s">
        <v>7006</v>
      </c>
      <c r="D3859" s="57" t="s">
        <v>7016</v>
      </c>
      <c r="F3859" s="57">
        <v>8</v>
      </c>
      <c r="G3859" s="57" t="s">
        <v>7552</v>
      </c>
      <c r="H3859" s="57" t="s">
        <v>7535</v>
      </c>
      <c r="I3859" s="57" t="s">
        <v>7536</v>
      </c>
    </row>
    <row r="3860" spans="2:9" ht="13.5" customHeight="1">
      <c r="B3860" s="57" t="s">
        <v>7476</v>
      </c>
      <c r="F3860" s="57">
        <v>17</v>
      </c>
      <c r="G3860" s="57" t="s">
        <v>7552</v>
      </c>
      <c r="H3860" s="57" t="s">
        <v>7535</v>
      </c>
      <c r="I3860" s="57" t="s">
        <v>7536</v>
      </c>
    </row>
    <row r="3861" spans="2:9" ht="13.5" customHeight="1">
      <c r="B3861" s="57" t="s">
        <v>7006</v>
      </c>
      <c r="D3861" s="57" t="s">
        <v>7007</v>
      </c>
      <c r="F3861" s="57">
        <v>18</v>
      </c>
      <c r="G3861" s="57" t="s">
        <v>7552</v>
      </c>
      <c r="H3861" s="57" t="s">
        <v>7535</v>
      </c>
    </row>
    <row r="3862" spans="2:9" ht="13.5" customHeight="1">
      <c r="B3862" s="57" t="s">
        <v>7471</v>
      </c>
      <c r="F3862" s="57">
        <v>90</v>
      </c>
      <c r="G3862" s="57" t="s">
        <v>7552</v>
      </c>
      <c r="H3862" s="57" t="s">
        <v>7535</v>
      </c>
      <c r="I3862" s="57" t="s">
        <v>7536</v>
      </c>
    </row>
    <row r="3863" spans="2:9" ht="13.5" customHeight="1">
      <c r="B3863" s="57" t="s">
        <v>7473</v>
      </c>
      <c r="D3863" s="57" t="s">
        <v>7475</v>
      </c>
      <c r="F3863" s="57">
        <v>300</v>
      </c>
      <c r="G3863" s="57" t="s">
        <v>7552</v>
      </c>
      <c r="H3863" s="57" t="s">
        <v>7535</v>
      </c>
      <c r="I3863" s="57" t="s">
        <v>7536</v>
      </c>
    </row>
    <row r="3864" spans="2:9" ht="13.5" customHeight="1">
      <c r="B3864" s="57" t="s">
        <v>7473</v>
      </c>
      <c r="D3864" s="57" t="s">
        <v>7474</v>
      </c>
      <c r="F3864" s="57">
        <v>300</v>
      </c>
      <c r="G3864" s="57" t="s">
        <v>7552</v>
      </c>
      <c r="H3864" s="57" t="s">
        <v>7535</v>
      </c>
      <c r="I3864" s="57" t="s">
        <v>7536</v>
      </c>
    </row>
    <row r="3865" spans="2:9" ht="13.5" customHeight="1">
      <c r="B3865" s="57" t="s">
        <v>7493</v>
      </c>
      <c r="D3865" s="57" t="s">
        <v>6217</v>
      </c>
      <c r="F3865" s="57">
        <v>10</v>
      </c>
      <c r="G3865" s="57" t="s">
        <v>7552</v>
      </c>
      <c r="H3865" s="57" t="s">
        <v>7550</v>
      </c>
    </row>
    <row r="3866" spans="2:9" ht="13.5" customHeight="1">
      <c r="B3866" s="57" t="s">
        <v>7492</v>
      </c>
      <c r="D3866" s="57" t="s">
        <v>1007</v>
      </c>
      <c r="F3866" s="57">
        <v>25</v>
      </c>
      <c r="G3866" s="57" t="s">
        <v>7552</v>
      </c>
      <c r="H3866" s="57" t="s">
        <v>7550</v>
      </c>
    </row>
    <row r="3867" spans="2:9" ht="13.5" customHeight="1">
      <c r="B3867" s="57" t="s">
        <v>7489</v>
      </c>
      <c r="D3867" s="57" t="s">
        <v>993</v>
      </c>
      <c r="F3867" s="57">
        <v>28</v>
      </c>
      <c r="G3867" s="57" t="s">
        <v>7552</v>
      </c>
      <c r="H3867" s="57" t="s">
        <v>7550</v>
      </c>
    </row>
    <row r="3868" spans="2:9" ht="13.5" customHeight="1">
      <c r="B3868" s="57" t="s">
        <v>7494</v>
      </c>
      <c r="D3868" s="57" t="s">
        <v>6184</v>
      </c>
      <c r="F3868" s="57">
        <v>40</v>
      </c>
      <c r="G3868" s="57" t="s">
        <v>7552</v>
      </c>
      <c r="H3868" s="57" t="s">
        <v>7550</v>
      </c>
    </row>
    <row r="3869" spans="2:9" ht="13.5" customHeight="1">
      <c r="B3869" s="57" t="s">
        <v>5340</v>
      </c>
      <c r="D3869" s="57" t="s">
        <v>7480</v>
      </c>
      <c r="F3869" s="57">
        <v>54</v>
      </c>
      <c r="G3869" s="57" t="s">
        <v>7552</v>
      </c>
      <c r="H3869" s="57" t="s">
        <v>7550</v>
      </c>
    </row>
    <row r="3870" spans="2:9" ht="13.5" customHeight="1">
      <c r="B3870" s="57" t="s">
        <v>7490</v>
      </c>
      <c r="D3870" s="57" t="s">
        <v>7491</v>
      </c>
      <c r="F3870" s="57">
        <v>250</v>
      </c>
      <c r="G3870" s="57" t="s">
        <v>7552</v>
      </c>
      <c r="H3870" s="57" t="s">
        <v>7550</v>
      </c>
    </row>
    <row r="3871" spans="2:9" ht="13.5" customHeight="1">
      <c r="B3871" s="57" t="s">
        <v>7495</v>
      </c>
      <c r="D3871" s="57" t="s">
        <v>7495</v>
      </c>
      <c r="F3871" s="57">
        <v>259</v>
      </c>
      <c r="G3871" s="57" t="s">
        <v>7552</v>
      </c>
      <c r="H3871" s="57" t="s">
        <v>7550</v>
      </c>
    </row>
    <row r="3872" spans="2:9" ht="13.5" customHeight="1">
      <c r="B3872" s="57" t="s">
        <v>827</v>
      </c>
      <c r="D3872" s="57" t="s">
        <v>270</v>
      </c>
      <c r="F3872" s="57">
        <v>308</v>
      </c>
      <c r="G3872" s="57" t="s">
        <v>7552</v>
      </c>
      <c r="H3872" s="57" t="s">
        <v>7550</v>
      </c>
    </row>
    <row r="3873" spans="2:8" ht="13.5" customHeight="1">
      <c r="B3873" s="57" t="s">
        <v>5221</v>
      </c>
      <c r="D3873" s="57" t="s">
        <v>7477</v>
      </c>
      <c r="F3873" s="57">
        <v>326</v>
      </c>
      <c r="G3873" s="57" t="s">
        <v>7552</v>
      </c>
      <c r="H3873" s="57" t="s">
        <v>7550</v>
      </c>
    </row>
    <row r="3874" spans="2:8" ht="13.5" customHeight="1">
      <c r="B3874" s="57" t="s">
        <v>7485</v>
      </c>
      <c r="D3874" s="57" t="s">
        <v>7486</v>
      </c>
      <c r="F3874" s="57">
        <v>537</v>
      </c>
      <c r="G3874" s="57" t="s">
        <v>7552</v>
      </c>
      <c r="H3874" s="57" t="s">
        <v>7550</v>
      </c>
    </row>
    <row r="3875" spans="2:8" ht="13.5" customHeight="1">
      <c r="B3875" s="57" t="s">
        <v>7499</v>
      </c>
      <c r="D3875" s="57" t="s">
        <v>7499</v>
      </c>
      <c r="F3875" s="57">
        <v>30</v>
      </c>
      <c r="G3875" s="57" t="s">
        <v>7552</v>
      </c>
      <c r="H3875" s="57" t="s">
        <v>7551</v>
      </c>
    </row>
    <row r="3876" spans="2:8" ht="13.5" customHeight="1">
      <c r="B3876" s="57" t="s">
        <v>7501</v>
      </c>
      <c r="D3876" s="57" t="s">
        <v>7501</v>
      </c>
      <c r="F3876" s="57">
        <v>100</v>
      </c>
      <c r="G3876" s="57" t="s">
        <v>7552</v>
      </c>
      <c r="H3876" s="57" t="s">
        <v>7551</v>
      </c>
    </row>
    <row r="3877" spans="2:8" ht="13.5" customHeight="1">
      <c r="B3877" s="57" t="s">
        <v>7500</v>
      </c>
      <c r="D3877" s="57" t="s">
        <v>7500</v>
      </c>
      <c r="F3877" s="57">
        <v>149</v>
      </c>
      <c r="G3877" s="57" t="s">
        <v>7552</v>
      </c>
      <c r="H3877" s="57" t="s">
        <v>7551</v>
      </c>
    </row>
    <row r="3878" spans="2:8" ht="13.5" customHeight="1">
      <c r="B3878" s="57" t="s">
        <v>7498</v>
      </c>
      <c r="D3878" s="57" t="s">
        <v>7498</v>
      </c>
      <c r="F3878" s="57">
        <v>410</v>
      </c>
      <c r="G3878" s="57" t="s">
        <v>7552</v>
      </c>
      <c r="H3878" s="57" t="s">
        <v>7551</v>
      </c>
    </row>
    <row r="3879" spans="2:8" ht="13.5" customHeight="1">
      <c r="B3879" s="57" t="s">
        <v>7869</v>
      </c>
      <c r="D3879" s="57" t="s">
        <v>7870</v>
      </c>
      <c r="F3879" s="57">
        <v>555</v>
      </c>
      <c r="G3879" s="57" t="s">
        <v>7552</v>
      </c>
      <c r="H3879" s="57" t="s">
        <v>1116</v>
      </c>
    </row>
    <row r="3880" spans="2:8" ht="13.5" customHeight="1">
      <c r="B3880" s="57" t="s">
        <v>7596</v>
      </c>
      <c r="D3880" s="57" t="s">
        <v>7597</v>
      </c>
      <c r="F3880" s="57">
        <v>20</v>
      </c>
      <c r="G3880" s="57" t="s">
        <v>7898</v>
      </c>
      <c r="H3880" s="57" t="s">
        <v>7887</v>
      </c>
    </row>
    <row r="3881" spans="2:8" ht="13.5" customHeight="1">
      <c r="D3881" s="57" t="s">
        <v>7610</v>
      </c>
      <c r="F3881" s="57">
        <v>25</v>
      </c>
      <c r="G3881" s="57" t="s">
        <v>7898</v>
      </c>
      <c r="H3881" s="57" t="s">
        <v>7887</v>
      </c>
    </row>
    <row r="3882" spans="2:8" ht="13.5" customHeight="1">
      <c r="B3882" s="57" t="s">
        <v>7582</v>
      </c>
      <c r="D3882" s="57" t="s">
        <v>7583</v>
      </c>
      <c r="F3882" s="57">
        <v>47</v>
      </c>
      <c r="G3882" s="57" t="s">
        <v>7898</v>
      </c>
      <c r="H3882" s="57" t="s">
        <v>7887</v>
      </c>
    </row>
    <row r="3883" spans="2:8" ht="13.5" customHeight="1">
      <c r="B3883" s="57" t="s">
        <v>7586</v>
      </c>
      <c r="D3883" s="57" t="s">
        <v>7587</v>
      </c>
      <c r="F3883" s="57">
        <v>307</v>
      </c>
      <c r="G3883" s="57" t="s">
        <v>7898</v>
      </c>
      <c r="H3883" s="57" t="s">
        <v>7887</v>
      </c>
    </row>
    <row r="3884" spans="2:8" ht="13.5" customHeight="1">
      <c r="B3884" s="57" t="s">
        <v>7598</v>
      </c>
      <c r="D3884" s="57" t="s">
        <v>7599</v>
      </c>
      <c r="F3884" s="57">
        <v>391</v>
      </c>
      <c r="G3884" s="57" t="s">
        <v>7898</v>
      </c>
      <c r="H3884" s="57" t="s">
        <v>7887</v>
      </c>
    </row>
    <row r="3885" spans="2:8" ht="13.5" customHeight="1">
      <c r="B3885" s="57" t="s">
        <v>7595</v>
      </c>
      <c r="D3885" s="57" t="s">
        <v>5717</v>
      </c>
      <c r="F3885" s="57">
        <v>406</v>
      </c>
      <c r="G3885" s="57" t="s">
        <v>7898</v>
      </c>
      <c r="H3885" s="57" t="s">
        <v>7887</v>
      </c>
    </row>
    <row r="3886" spans="2:8" ht="13.5" customHeight="1">
      <c r="B3886" s="57" t="s">
        <v>7600</v>
      </c>
      <c r="D3886" s="57" t="s">
        <v>7601</v>
      </c>
      <c r="F3886" s="57">
        <v>471</v>
      </c>
      <c r="G3886" s="57" t="s">
        <v>7898</v>
      </c>
      <c r="H3886" s="57" t="s">
        <v>7887</v>
      </c>
    </row>
    <row r="3887" spans="2:8" ht="13.5" customHeight="1">
      <c r="D3887" s="57" t="s">
        <v>7563</v>
      </c>
      <c r="F3887" s="57">
        <v>479</v>
      </c>
      <c r="G3887" s="57" t="s">
        <v>7898</v>
      </c>
      <c r="H3887" s="57" t="s">
        <v>7887</v>
      </c>
    </row>
    <row r="3888" spans="2:8" ht="13.5" customHeight="1">
      <c r="B3888" s="57" t="s">
        <v>7554</v>
      </c>
      <c r="D3888" s="57" t="s">
        <v>7555</v>
      </c>
      <c r="F3888" s="57">
        <v>554</v>
      </c>
      <c r="G3888" s="57" t="s">
        <v>7898</v>
      </c>
      <c r="H3888" s="57" t="s">
        <v>7887</v>
      </c>
    </row>
    <row r="3889" spans="2:8" ht="13.5" customHeight="1">
      <c r="B3889" s="57" t="s">
        <v>7608</v>
      </c>
      <c r="D3889" s="57" t="s">
        <v>7609</v>
      </c>
      <c r="F3889" s="57">
        <v>561</v>
      </c>
      <c r="G3889" s="57" t="s">
        <v>7898</v>
      </c>
      <c r="H3889" s="57" t="s">
        <v>7887</v>
      </c>
    </row>
    <row r="3890" spans="2:8" ht="13.5" customHeight="1">
      <c r="B3890" s="57" t="s">
        <v>7553</v>
      </c>
      <c r="D3890" s="57">
        <v>473460001</v>
      </c>
      <c r="F3890" s="57">
        <v>793</v>
      </c>
      <c r="G3890" s="57" t="s">
        <v>7898</v>
      </c>
      <c r="H3890" s="57" t="s">
        <v>7887</v>
      </c>
    </row>
    <row r="3891" spans="2:8" ht="13.5" customHeight="1">
      <c r="B3891" s="57" t="s">
        <v>7577</v>
      </c>
      <c r="D3891" s="57" t="s">
        <v>7578</v>
      </c>
      <c r="F3891" s="57">
        <v>800</v>
      </c>
      <c r="G3891" s="57" t="s">
        <v>7898</v>
      </c>
      <c r="H3891" s="57" t="s">
        <v>7887</v>
      </c>
    </row>
    <row r="3892" spans="2:8" ht="13.5" customHeight="1">
      <c r="B3892" s="57" t="s">
        <v>7579</v>
      </c>
      <c r="D3892" s="57" t="s">
        <v>7580</v>
      </c>
      <c r="F3892" s="57">
        <v>928</v>
      </c>
      <c r="G3892" s="57" t="s">
        <v>7898</v>
      </c>
      <c r="H3892" s="57" t="s">
        <v>7887</v>
      </c>
    </row>
    <row r="3893" spans="2:8" ht="13.5" customHeight="1">
      <c r="B3893" s="57" t="s">
        <v>6205</v>
      </c>
      <c r="D3893" s="57" t="s">
        <v>6206</v>
      </c>
      <c r="F3893" s="57">
        <v>967</v>
      </c>
      <c r="G3893" s="57" t="s">
        <v>7898</v>
      </c>
      <c r="H3893" s="57" t="s">
        <v>7887</v>
      </c>
    </row>
    <row r="3894" spans="2:8" ht="13.5" customHeight="1">
      <c r="B3894" s="57" t="s">
        <v>7581</v>
      </c>
      <c r="D3894" s="57" t="s">
        <v>4288</v>
      </c>
      <c r="F3894" s="57">
        <v>1212</v>
      </c>
      <c r="G3894" s="57" t="s">
        <v>7898</v>
      </c>
      <c r="H3894" s="57" t="s">
        <v>7887</v>
      </c>
    </row>
    <row r="3895" spans="2:8" ht="13.5" customHeight="1">
      <c r="B3895" s="57" t="s">
        <v>7589</v>
      </c>
      <c r="D3895" s="57" t="s">
        <v>7590</v>
      </c>
      <c r="F3895" s="57">
        <v>1249</v>
      </c>
      <c r="G3895" s="57" t="s">
        <v>7898</v>
      </c>
      <c r="H3895" s="57" t="s">
        <v>7887</v>
      </c>
    </row>
    <row r="3896" spans="2:8" ht="13.5" customHeight="1">
      <c r="B3896" s="57" t="s">
        <v>7612</v>
      </c>
      <c r="D3896" s="57" t="s">
        <v>7613</v>
      </c>
      <c r="F3896" s="57">
        <v>1380</v>
      </c>
      <c r="G3896" s="57" t="s">
        <v>7898</v>
      </c>
      <c r="H3896" s="57" t="s">
        <v>7887</v>
      </c>
    </row>
    <row r="3897" spans="2:8" ht="13.5" customHeight="1">
      <c r="B3897" s="57" t="s">
        <v>7584</v>
      </c>
      <c r="D3897" s="57" t="s">
        <v>7585</v>
      </c>
      <c r="F3897" s="57">
        <v>1719</v>
      </c>
      <c r="G3897" s="57" t="s">
        <v>7898</v>
      </c>
      <c r="H3897" s="57" t="s">
        <v>7887</v>
      </c>
    </row>
    <row r="3898" spans="2:8" ht="13.5" customHeight="1">
      <c r="B3898" s="57" t="s">
        <v>7614</v>
      </c>
      <c r="D3898" s="57" t="s">
        <v>7615</v>
      </c>
      <c r="F3898" s="57">
        <v>2053</v>
      </c>
      <c r="G3898" s="57" t="s">
        <v>7898</v>
      </c>
      <c r="H3898" s="57" t="s">
        <v>7887</v>
      </c>
    </row>
    <row r="3899" spans="2:8" ht="13.5" customHeight="1">
      <c r="B3899" s="57" t="s">
        <v>7568</v>
      </c>
      <c r="D3899" s="57" t="s">
        <v>3816</v>
      </c>
      <c r="F3899" s="57">
        <v>2365</v>
      </c>
      <c r="G3899" s="57" t="s">
        <v>7898</v>
      </c>
      <c r="H3899" s="57" t="s">
        <v>7887</v>
      </c>
    </row>
    <row r="3900" spans="2:8" ht="13.5" customHeight="1">
      <c r="B3900" s="57" t="s">
        <v>7606</v>
      </c>
      <c r="D3900" s="57" t="s">
        <v>7607</v>
      </c>
      <c r="F3900" s="57">
        <v>2533</v>
      </c>
      <c r="G3900" s="57" t="s">
        <v>7898</v>
      </c>
      <c r="H3900" s="57" t="s">
        <v>7887</v>
      </c>
    </row>
    <row r="3901" spans="2:8" ht="13.5" customHeight="1">
      <c r="B3901" s="57" t="s">
        <v>7593</v>
      </c>
      <c r="D3901" s="57" t="s">
        <v>7594</v>
      </c>
      <c r="F3901" s="57">
        <v>2658</v>
      </c>
      <c r="G3901" s="57" t="s">
        <v>7898</v>
      </c>
      <c r="H3901" s="57" t="s">
        <v>7887</v>
      </c>
    </row>
    <row r="3902" spans="2:8" ht="13.5" customHeight="1">
      <c r="B3902" s="57" t="s">
        <v>7611</v>
      </c>
      <c r="D3902" s="57" t="s">
        <v>3732</v>
      </c>
      <c r="F3902" s="57">
        <v>2738</v>
      </c>
      <c r="G3902" s="57" t="s">
        <v>7898</v>
      </c>
      <c r="H3902" s="57" t="s">
        <v>7887</v>
      </c>
    </row>
    <row r="3903" spans="2:8" ht="13.5" customHeight="1">
      <c r="B3903" s="57" t="s">
        <v>7591</v>
      </c>
      <c r="D3903" s="57" t="s">
        <v>7592</v>
      </c>
      <c r="F3903" s="57">
        <v>3476</v>
      </c>
      <c r="G3903" s="57" t="s">
        <v>7898</v>
      </c>
      <c r="H3903" s="57" t="s">
        <v>7887</v>
      </c>
    </row>
    <row r="3904" spans="2:8" ht="13.5" customHeight="1">
      <c r="D3904" s="57" t="s">
        <v>7562</v>
      </c>
      <c r="F3904" s="57">
        <v>3510</v>
      </c>
      <c r="G3904" s="57" t="s">
        <v>7898</v>
      </c>
      <c r="H3904" s="57" t="s">
        <v>7887</v>
      </c>
    </row>
    <row r="3905" spans="2:8" ht="13.5" customHeight="1">
      <c r="B3905" s="57" t="s">
        <v>302</v>
      </c>
      <c r="D3905" s="57" t="s">
        <v>7588</v>
      </c>
      <c r="F3905" s="57">
        <v>4000</v>
      </c>
      <c r="G3905" s="57" t="s">
        <v>7898</v>
      </c>
      <c r="H3905" s="57" t="s">
        <v>7887</v>
      </c>
    </row>
    <row r="3906" spans="2:8" ht="13.5" customHeight="1">
      <c r="B3906" s="57" t="s">
        <v>7604</v>
      </c>
      <c r="D3906" s="57" t="s">
        <v>7605</v>
      </c>
      <c r="F3906" s="57">
        <v>4000</v>
      </c>
      <c r="G3906" s="57" t="s">
        <v>7898</v>
      </c>
      <c r="H3906" s="57" t="s">
        <v>7887</v>
      </c>
    </row>
    <row r="3907" spans="2:8" ht="13.5" customHeight="1">
      <c r="B3907" s="57" t="s">
        <v>7571</v>
      </c>
      <c r="D3907" s="57" t="s">
        <v>7572</v>
      </c>
      <c r="F3907" s="57">
        <v>4123</v>
      </c>
      <c r="G3907" s="57" t="s">
        <v>7898</v>
      </c>
      <c r="H3907" s="57" t="s">
        <v>7887</v>
      </c>
    </row>
    <row r="3908" spans="2:8" ht="13.5" customHeight="1">
      <c r="B3908" s="57" t="s">
        <v>7566</v>
      </c>
      <c r="D3908" s="57" t="s">
        <v>7567</v>
      </c>
      <c r="F3908" s="57">
        <v>4163</v>
      </c>
      <c r="G3908" s="57" t="s">
        <v>7898</v>
      </c>
      <c r="H3908" s="57" t="s">
        <v>7887</v>
      </c>
    </row>
    <row r="3909" spans="2:8" ht="13.5" customHeight="1">
      <c r="B3909" s="57" t="s">
        <v>7558</v>
      </c>
      <c r="D3909" s="57" t="s">
        <v>7559</v>
      </c>
      <c r="F3909" s="57">
        <v>4256</v>
      </c>
      <c r="G3909" s="57" t="s">
        <v>7898</v>
      </c>
      <c r="H3909" s="57" t="s">
        <v>7887</v>
      </c>
    </row>
    <row r="3910" spans="2:8" ht="13.5" customHeight="1">
      <c r="B3910" s="57" t="s">
        <v>7602</v>
      </c>
      <c r="D3910" s="57" t="s">
        <v>7603</v>
      </c>
      <c r="F3910" s="57">
        <v>4429</v>
      </c>
      <c r="G3910" s="57" t="s">
        <v>7898</v>
      </c>
      <c r="H3910" s="57" t="s">
        <v>7887</v>
      </c>
    </row>
    <row r="3911" spans="2:8" ht="13.5" customHeight="1">
      <c r="B3911" s="57" t="s">
        <v>7556</v>
      </c>
      <c r="D3911" s="57" t="s">
        <v>7557</v>
      </c>
      <c r="F3911" s="57">
        <v>4637</v>
      </c>
      <c r="G3911" s="57" t="s">
        <v>7898</v>
      </c>
      <c r="H3911" s="57" t="s">
        <v>7887</v>
      </c>
    </row>
    <row r="3912" spans="2:8" ht="13.5" customHeight="1">
      <c r="B3912" s="57" t="s">
        <v>7564</v>
      </c>
      <c r="D3912" s="57" t="s">
        <v>7565</v>
      </c>
      <c r="F3912" s="57">
        <v>5000</v>
      </c>
      <c r="G3912" s="57" t="s">
        <v>7898</v>
      </c>
      <c r="H3912" s="57" t="s">
        <v>7887</v>
      </c>
    </row>
    <row r="3913" spans="2:8" ht="13.5" customHeight="1">
      <c r="B3913" s="57" t="s">
        <v>7575</v>
      </c>
      <c r="D3913" s="57" t="s">
        <v>7576</v>
      </c>
      <c r="F3913" s="57">
        <v>5000</v>
      </c>
      <c r="G3913" s="57" t="s">
        <v>7898</v>
      </c>
      <c r="H3913" s="57" t="s">
        <v>7887</v>
      </c>
    </row>
    <row r="3914" spans="2:8" ht="13.5" customHeight="1">
      <c r="B3914" s="57" t="s">
        <v>7569</v>
      </c>
      <c r="D3914" s="57" t="s">
        <v>7570</v>
      </c>
      <c r="F3914" s="57">
        <v>5781</v>
      </c>
      <c r="G3914" s="57" t="s">
        <v>7898</v>
      </c>
      <c r="H3914" s="57" t="s">
        <v>7887</v>
      </c>
    </row>
    <row r="3915" spans="2:8" ht="13.5" customHeight="1">
      <c r="B3915" s="57" t="s">
        <v>7573</v>
      </c>
      <c r="D3915" s="57" t="s">
        <v>7574</v>
      </c>
      <c r="F3915" s="57">
        <v>9985</v>
      </c>
      <c r="G3915" s="57" t="s">
        <v>7898</v>
      </c>
      <c r="H3915" s="57" t="s">
        <v>7887</v>
      </c>
    </row>
    <row r="3916" spans="2:8" ht="13.5" customHeight="1">
      <c r="B3916" s="57" t="s">
        <v>7560</v>
      </c>
      <c r="D3916" s="57" t="s">
        <v>7561</v>
      </c>
      <c r="F3916" s="57">
        <v>11205</v>
      </c>
      <c r="G3916" s="57" t="s">
        <v>7898</v>
      </c>
      <c r="H3916" s="57" t="s">
        <v>7887</v>
      </c>
    </row>
    <row r="3917" spans="2:8" ht="13.5" customHeight="1">
      <c r="B3917" s="57" t="s">
        <v>7636</v>
      </c>
      <c r="D3917" s="57" t="s">
        <v>7637</v>
      </c>
      <c r="F3917" s="57">
        <v>21</v>
      </c>
      <c r="G3917" s="57" t="s">
        <v>7898</v>
      </c>
      <c r="H3917" s="57" t="s">
        <v>7890</v>
      </c>
    </row>
    <row r="3918" spans="2:8" ht="13.5" customHeight="1">
      <c r="B3918" s="57" t="s">
        <v>7634</v>
      </c>
      <c r="D3918" s="57" t="s">
        <v>7635</v>
      </c>
      <c r="F3918" s="57">
        <v>22</v>
      </c>
      <c r="G3918" s="57" t="s">
        <v>7898</v>
      </c>
      <c r="H3918" s="57" t="s">
        <v>7890</v>
      </c>
    </row>
    <row r="3919" spans="2:8" ht="13.5" customHeight="1">
      <c r="B3919" s="57" t="s">
        <v>7627</v>
      </c>
      <c r="D3919" s="57" t="s">
        <v>7627</v>
      </c>
      <c r="F3919" s="57">
        <v>23</v>
      </c>
      <c r="G3919" s="57" t="s">
        <v>7898</v>
      </c>
      <c r="H3919" s="57" t="s">
        <v>7890</v>
      </c>
    </row>
    <row r="3920" spans="2:8" ht="13.5" customHeight="1">
      <c r="B3920" s="57" t="s">
        <v>7656</v>
      </c>
      <c r="D3920" s="57" t="s">
        <v>7657</v>
      </c>
      <c r="F3920" s="57">
        <v>29</v>
      </c>
      <c r="G3920" s="57" t="s">
        <v>7898</v>
      </c>
      <c r="H3920" s="57" t="s">
        <v>7890</v>
      </c>
    </row>
    <row r="3921" spans="2:8" ht="13.5" customHeight="1">
      <c r="B3921" s="57" t="s">
        <v>7640</v>
      </c>
      <c r="D3921" s="57" t="s">
        <v>7641</v>
      </c>
      <c r="F3921" s="57">
        <v>32</v>
      </c>
      <c r="G3921" s="57" t="s">
        <v>7898</v>
      </c>
      <c r="H3921" s="57" t="s">
        <v>7890</v>
      </c>
    </row>
    <row r="3922" spans="2:8" ht="13.5" customHeight="1">
      <c r="B3922" s="57" t="s">
        <v>7650</v>
      </c>
      <c r="D3922" s="57" t="s">
        <v>7651</v>
      </c>
      <c r="F3922" s="57">
        <v>40</v>
      </c>
      <c r="G3922" s="57" t="s">
        <v>7898</v>
      </c>
      <c r="H3922" s="57" t="s">
        <v>7890</v>
      </c>
    </row>
    <row r="3923" spans="2:8" ht="13.5" customHeight="1">
      <c r="B3923" s="57" t="s">
        <v>7624</v>
      </c>
      <c r="D3923" s="57" t="s">
        <v>7625</v>
      </c>
      <c r="F3923" s="57">
        <v>45</v>
      </c>
      <c r="G3923" s="57" t="s">
        <v>7898</v>
      </c>
      <c r="H3923" s="57" t="s">
        <v>7890</v>
      </c>
    </row>
    <row r="3924" spans="2:8" ht="13.5" customHeight="1">
      <c r="B3924" s="57" t="s">
        <v>7628</v>
      </c>
      <c r="D3924" s="57" t="s">
        <v>7629</v>
      </c>
      <c r="F3924" s="57">
        <v>67</v>
      </c>
      <c r="G3924" s="57" t="s">
        <v>7898</v>
      </c>
      <c r="H3924" s="57" t="s">
        <v>7890</v>
      </c>
    </row>
    <row r="3925" spans="2:8" ht="13.5" customHeight="1">
      <c r="B3925" s="57" t="s">
        <v>7654</v>
      </c>
      <c r="D3925" s="57" t="s">
        <v>7655</v>
      </c>
      <c r="F3925" s="57">
        <v>101</v>
      </c>
      <c r="G3925" s="57" t="s">
        <v>7898</v>
      </c>
      <c r="H3925" s="57" t="s">
        <v>7890</v>
      </c>
    </row>
    <row r="3926" spans="2:8" ht="13.5" customHeight="1">
      <c r="B3926" s="57" t="s">
        <v>7646</v>
      </c>
      <c r="D3926" s="57" t="s">
        <v>7647</v>
      </c>
      <c r="F3926" s="57">
        <v>110</v>
      </c>
      <c r="G3926" s="57" t="s">
        <v>7898</v>
      </c>
      <c r="H3926" s="57" t="s">
        <v>7890</v>
      </c>
    </row>
    <row r="3927" spans="2:8" ht="13.5" customHeight="1">
      <c r="B3927" s="57" t="s">
        <v>7630</v>
      </c>
      <c r="D3927" s="57" t="s">
        <v>7631</v>
      </c>
      <c r="F3927" s="57">
        <v>174</v>
      </c>
      <c r="G3927" s="57" t="s">
        <v>7898</v>
      </c>
      <c r="H3927" s="57" t="s">
        <v>7890</v>
      </c>
    </row>
    <row r="3928" spans="2:8" ht="13.5" customHeight="1">
      <c r="B3928" s="57" t="s">
        <v>7652</v>
      </c>
      <c r="D3928" s="57" t="s">
        <v>7653</v>
      </c>
      <c r="F3928" s="57">
        <v>178</v>
      </c>
      <c r="G3928" s="57" t="s">
        <v>7898</v>
      </c>
      <c r="H3928" s="57" t="s">
        <v>7890</v>
      </c>
    </row>
    <row r="3929" spans="2:8" ht="13.5" customHeight="1">
      <c r="B3929" s="57" t="s">
        <v>7642</v>
      </c>
      <c r="D3929" s="57" t="s">
        <v>7643</v>
      </c>
      <c r="F3929" s="57">
        <v>327</v>
      </c>
      <c r="G3929" s="57" t="s">
        <v>7898</v>
      </c>
      <c r="H3929" s="57" t="s">
        <v>7890</v>
      </c>
    </row>
    <row r="3930" spans="2:8" ht="13.5" customHeight="1">
      <c r="B3930" s="57" t="s">
        <v>7632</v>
      </c>
      <c r="D3930" s="57" t="s">
        <v>7633</v>
      </c>
      <c r="F3930" s="57">
        <v>627</v>
      </c>
      <c r="G3930" s="57" t="s">
        <v>7898</v>
      </c>
      <c r="H3930" s="57" t="s">
        <v>7890</v>
      </c>
    </row>
    <row r="3931" spans="2:8" ht="13.5" customHeight="1">
      <c r="B3931" s="57" t="s">
        <v>7658</v>
      </c>
      <c r="D3931" s="57" t="s">
        <v>7659</v>
      </c>
      <c r="F3931" s="57">
        <v>694</v>
      </c>
      <c r="G3931" s="57" t="s">
        <v>7898</v>
      </c>
      <c r="H3931" s="57" t="s">
        <v>7890</v>
      </c>
    </row>
    <row r="3932" spans="2:8" ht="13.5" customHeight="1">
      <c r="B3932" s="57" t="s">
        <v>7626</v>
      </c>
      <c r="D3932" s="57" t="s">
        <v>4779</v>
      </c>
      <c r="F3932" s="57">
        <v>1022</v>
      </c>
      <c r="G3932" s="57" t="s">
        <v>7898</v>
      </c>
      <c r="H3932" s="57" t="s">
        <v>7890</v>
      </c>
    </row>
    <row r="3933" spans="2:8" ht="13.5" customHeight="1">
      <c r="B3933" s="57" t="s">
        <v>7832</v>
      </c>
      <c r="D3933" s="57" t="s">
        <v>7833</v>
      </c>
      <c r="F3933" s="57">
        <v>4</v>
      </c>
      <c r="G3933" s="57" t="s">
        <v>7898</v>
      </c>
      <c r="H3933" s="57" t="s">
        <v>7897</v>
      </c>
    </row>
    <row r="3934" spans="2:8" ht="13.5" customHeight="1">
      <c r="B3934" s="57" t="s">
        <v>7834</v>
      </c>
      <c r="D3934" s="57">
        <v>74477020</v>
      </c>
      <c r="F3934" s="57">
        <v>5</v>
      </c>
      <c r="G3934" s="57" t="s">
        <v>7898</v>
      </c>
      <c r="H3934" s="57" t="s">
        <v>7897</v>
      </c>
    </row>
    <row r="3935" spans="2:8" ht="13.5" customHeight="1">
      <c r="B3935" s="57" t="s">
        <v>7837</v>
      </c>
      <c r="D3935" s="57" t="s">
        <v>7838</v>
      </c>
      <c r="F3935" s="57">
        <v>5</v>
      </c>
      <c r="G3935" s="57" t="s">
        <v>7898</v>
      </c>
      <c r="H3935" s="57" t="s">
        <v>7897</v>
      </c>
    </row>
    <row r="3936" spans="2:8" ht="13.5" customHeight="1">
      <c r="B3936" s="57" t="s">
        <v>827</v>
      </c>
      <c r="D3936" s="57" t="s">
        <v>270</v>
      </c>
      <c r="F3936" s="57">
        <v>15</v>
      </c>
      <c r="G3936" s="57" t="s">
        <v>7898</v>
      </c>
      <c r="H3936" s="57" t="s">
        <v>7897</v>
      </c>
    </row>
    <row r="3937" spans="2:8" ht="13.5" customHeight="1">
      <c r="B3937" s="57" t="s">
        <v>7827</v>
      </c>
      <c r="D3937" s="57">
        <v>7445610</v>
      </c>
      <c r="F3937" s="57">
        <v>20</v>
      </c>
      <c r="G3937" s="57" t="s">
        <v>7898</v>
      </c>
      <c r="H3937" s="57" t="s">
        <v>7897</v>
      </c>
    </row>
    <row r="3938" spans="2:8" ht="13.5" customHeight="1">
      <c r="B3938" s="57" t="s">
        <v>7835</v>
      </c>
      <c r="D3938" s="57" t="s">
        <v>7836</v>
      </c>
      <c r="F3938" s="57">
        <v>20</v>
      </c>
      <c r="G3938" s="57" t="s">
        <v>7898</v>
      </c>
      <c r="H3938" s="57" t="s">
        <v>7897</v>
      </c>
    </row>
    <row r="3939" spans="2:8" ht="13.5" customHeight="1">
      <c r="B3939" s="57" t="s">
        <v>7839</v>
      </c>
      <c r="D3939" s="57" t="s">
        <v>7840</v>
      </c>
      <c r="F3939" s="57">
        <v>25</v>
      </c>
      <c r="G3939" s="57" t="s">
        <v>7898</v>
      </c>
      <c r="H3939" s="57" t="s">
        <v>7897</v>
      </c>
    </row>
    <row r="3940" spans="2:8" ht="13.5" customHeight="1">
      <c r="B3940" s="57" t="s">
        <v>7842</v>
      </c>
      <c r="D3940" s="57" t="s">
        <v>7842</v>
      </c>
      <c r="F3940" s="57">
        <v>41</v>
      </c>
      <c r="G3940" s="57" t="s">
        <v>7898</v>
      </c>
      <c r="H3940" s="57" t="s">
        <v>7897</v>
      </c>
    </row>
    <row r="3941" spans="2:8" ht="13.5" customHeight="1">
      <c r="B3941" s="57" t="s">
        <v>7828</v>
      </c>
      <c r="D3941" s="57" t="s">
        <v>7829</v>
      </c>
      <c r="F3941" s="57">
        <v>50</v>
      </c>
      <c r="G3941" s="57" t="s">
        <v>7898</v>
      </c>
      <c r="H3941" s="57" t="s">
        <v>7897</v>
      </c>
    </row>
    <row r="3942" spans="2:8" ht="13.5" customHeight="1">
      <c r="B3942" s="57" t="s">
        <v>7830</v>
      </c>
      <c r="D3942" s="57" t="s">
        <v>7831</v>
      </c>
      <c r="F3942" s="57">
        <v>50</v>
      </c>
      <c r="G3942" s="57" t="s">
        <v>7898</v>
      </c>
      <c r="H3942" s="57" t="s">
        <v>7897</v>
      </c>
    </row>
    <row r="3943" spans="2:8" ht="13.5" customHeight="1">
      <c r="B3943" s="57" t="s">
        <v>7841</v>
      </c>
      <c r="D3943" s="57" t="s">
        <v>7841</v>
      </c>
      <c r="F3943" s="57">
        <v>73</v>
      </c>
      <c r="G3943" s="57" t="s">
        <v>7898</v>
      </c>
      <c r="H3943" s="57" t="s">
        <v>7897</v>
      </c>
    </row>
    <row r="3944" spans="2:8" ht="13.5" customHeight="1">
      <c r="B3944" s="57" t="s">
        <v>7481</v>
      </c>
      <c r="D3944" s="57" t="s">
        <v>2051</v>
      </c>
      <c r="F3944" s="57">
        <v>80</v>
      </c>
      <c r="G3944" s="57" t="s">
        <v>7898</v>
      </c>
      <c r="H3944" s="57" t="s">
        <v>7897</v>
      </c>
    </row>
    <row r="3945" spans="2:8" ht="13.5" customHeight="1">
      <c r="B3945" s="57" t="s">
        <v>7669</v>
      </c>
      <c r="D3945" s="57" t="s">
        <v>7670</v>
      </c>
      <c r="F3945" s="57">
        <v>12</v>
      </c>
      <c r="G3945" s="57" t="s">
        <v>7898</v>
      </c>
      <c r="H3945" s="57" t="s">
        <v>7888</v>
      </c>
    </row>
    <row r="3946" spans="2:8" ht="13.5" customHeight="1">
      <c r="B3946" s="57" t="s">
        <v>7681</v>
      </c>
      <c r="D3946" s="57" t="s">
        <v>7682</v>
      </c>
      <c r="F3946" s="57">
        <v>15</v>
      </c>
      <c r="G3946" s="57" t="s">
        <v>7898</v>
      </c>
      <c r="H3946" s="57" t="s">
        <v>7888</v>
      </c>
    </row>
    <row r="3947" spans="2:8" ht="13.5" customHeight="1">
      <c r="B3947" s="57" t="s">
        <v>7638</v>
      </c>
      <c r="D3947" s="57" t="s">
        <v>7639</v>
      </c>
      <c r="F3947" s="57">
        <v>15</v>
      </c>
      <c r="G3947" s="57" t="s">
        <v>7898</v>
      </c>
      <c r="H3947" s="57" t="s">
        <v>7888</v>
      </c>
    </row>
    <row r="3948" spans="2:8" ht="13.5" customHeight="1">
      <c r="B3948" s="57" t="s">
        <v>7678</v>
      </c>
      <c r="D3948" s="57" t="s">
        <v>7679</v>
      </c>
      <c r="F3948" s="57">
        <v>18</v>
      </c>
      <c r="G3948" s="57" t="s">
        <v>7898</v>
      </c>
      <c r="H3948" s="57" t="s">
        <v>7888</v>
      </c>
    </row>
    <row r="3949" spans="2:8" ht="13.5" customHeight="1">
      <c r="B3949" s="57" t="s">
        <v>7671</v>
      </c>
      <c r="D3949" s="57" t="s">
        <v>7672</v>
      </c>
      <c r="F3949" s="57">
        <v>22</v>
      </c>
      <c r="G3949" s="57" t="s">
        <v>7898</v>
      </c>
      <c r="H3949" s="57" t="s">
        <v>7888</v>
      </c>
    </row>
    <row r="3950" spans="2:8" ht="13.5" customHeight="1">
      <c r="B3950" s="57" t="s">
        <v>7675</v>
      </c>
      <c r="D3950" s="57" t="s">
        <v>274</v>
      </c>
      <c r="F3950" s="57">
        <v>23</v>
      </c>
      <c r="G3950" s="57" t="s">
        <v>7898</v>
      </c>
      <c r="H3950" s="57" t="s">
        <v>7888</v>
      </c>
    </row>
    <row r="3951" spans="2:8" ht="13.5" customHeight="1">
      <c r="B3951" s="57" t="s">
        <v>7680</v>
      </c>
      <c r="D3951" s="57" t="s">
        <v>7680</v>
      </c>
      <c r="F3951" s="57">
        <v>26</v>
      </c>
      <c r="G3951" s="57" t="s">
        <v>7898</v>
      </c>
      <c r="H3951" s="57" t="s">
        <v>7888</v>
      </c>
    </row>
    <row r="3952" spans="2:8" ht="13.5" customHeight="1">
      <c r="B3952" s="57" t="s">
        <v>7667</v>
      </c>
      <c r="D3952" s="57" t="s">
        <v>7668</v>
      </c>
      <c r="F3952" s="57">
        <v>27</v>
      </c>
      <c r="G3952" s="57" t="s">
        <v>7898</v>
      </c>
      <c r="H3952" s="57" t="s">
        <v>7888</v>
      </c>
    </row>
    <row r="3953" spans="2:8" ht="13.5" customHeight="1">
      <c r="B3953" s="57" t="s">
        <v>7663</v>
      </c>
      <c r="D3953" s="57" t="s">
        <v>7664</v>
      </c>
      <c r="F3953" s="57">
        <v>50</v>
      </c>
      <c r="G3953" s="57" t="s">
        <v>7898</v>
      </c>
      <c r="H3953" s="57" t="s">
        <v>7888</v>
      </c>
    </row>
    <row r="3954" spans="2:8" ht="13.5" customHeight="1">
      <c r="B3954" s="57" t="s">
        <v>7687</v>
      </c>
      <c r="D3954" s="57" t="s">
        <v>7688</v>
      </c>
      <c r="F3954" s="57">
        <v>79</v>
      </c>
      <c r="G3954" s="57" t="s">
        <v>7898</v>
      </c>
      <c r="H3954" s="57" t="s">
        <v>7888</v>
      </c>
    </row>
    <row r="3955" spans="2:8" ht="13.5" customHeight="1">
      <c r="B3955" s="57" t="s">
        <v>7685</v>
      </c>
      <c r="D3955" s="57" t="s">
        <v>7686</v>
      </c>
      <c r="F3955" s="57">
        <v>82</v>
      </c>
      <c r="G3955" s="57" t="s">
        <v>7898</v>
      </c>
      <c r="H3955" s="57" t="s">
        <v>7888</v>
      </c>
    </row>
    <row r="3956" spans="2:8" ht="13.5" customHeight="1">
      <c r="B3956" s="57" t="s">
        <v>7616</v>
      </c>
      <c r="D3956" s="57" t="s">
        <v>7617</v>
      </c>
      <c r="F3956" s="57">
        <v>90</v>
      </c>
      <c r="G3956" s="57" t="s">
        <v>7898</v>
      </c>
      <c r="H3956" s="57" t="s">
        <v>7888</v>
      </c>
    </row>
    <row r="3957" spans="2:8" ht="13.5" customHeight="1">
      <c r="B3957" s="57" t="s">
        <v>7676</v>
      </c>
      <c r="D3957" s="57" t="s">
        <v>7677</v>
      </c>
      <c r="F3957" s="57">
        <v>102</v>
      </c>
      <c r="G3957" s="57" t="s">
        <v>7898</v>
      </c>
      <c r="H3957" s="57" t="s">
        <v>7888</v>
      </c>
    </row>
    <row r="3958" spans="2:8" ht="13.5" customHeight="1">
      <c r="B3958" s="57" t="s">
        <v>7620</v>
      </c>
      <c r="D3958" s="57" t="s">
        <v>7621</v>
      </c>
      <c r="F3958" s="57">
        <v>112</v>
      </c>
      <c r="G3958" s="57" t="s">
        <v>7898</v>
      </c>
      <c r="H3958" s="57" t="s">
        <v>7888</v>
      </c>
    </row>
    <row r="3959" spans="2:8" ht="13.5" customHeight="1">
      <c r="B3959" s="57" t="s">
        <v>7673</v>
      </c>
      <c r="D3959" s="57" t="s">
        <v>7674</v>
      </c>
      <c r="F3959" s="57">
        <v>130</v>
      </c>
      <c r="G3959" s="57" t="s">
        <v>7898</v>
      </c>
      <c r="H3959" s="57" t="s">
        <v>7888</v>
      </c>
    </row>
    <row r="3960" spans="2:8" ht="13.5" customHeight="1">
      <c r="B3960" s="57" t="s">
        <v>7618</v>
      </c>
      <c r="D3960" s="57" t="s">
        <v>7619</v>
      </c>
      <c r="F3960" s="57">
        <v>175</v>
      </c>
      <c r="G3960" s="57" t="s">
        <v>7898</v>
      </c>
      <c r="H3960" s="57" t="s">
        <v>7888</v>
      </c>
    </row>
    <row r="3961" spans="2:8" ht="13.5" customHeight="1">
      <c r="B3961" s="57" t="s">
        <v>7665</v>
      </c>
      <c r="D3961" s="57" t="s">
        <v>7666</v>
      </c>
      <c r="F3961" s="57">
        <v>274</v>
      </c>
      <c r="G3961" s="57" t="s">
        <v>7898</v>
      </c>
      <c r="H3961" s="57" t="s">
        <v>7888</v>
      </c>
    </row>
    <row r="3962" spans="2:8" ht="13.5" customHeight="1">
      <c r="B3962" s="57" t="s">
        <v>3983</v>
      </c>
      <c r="D3962" s="57" t="s">
        <v>7660</v>
      </c>
      <c r="F3962" s="57">
        <v>847</v>
      </c>
      <c r="G3962" s="57" t="s">
        <v>7898</v>
      </c>
      <c r="H3962" s="57" t="s">
        <v>7888</v>
      </c>
    </row>
    <row r="3963" spans="2:8" ht="13.5" customHeight="1">
      <c r="B3963" s="57" t="s">
        <v>7683</v>
      </c>
      <c r="D3963" s="57" t="s">
        <v>7684</v>
      </c>
      <c r="F3963" s="57">
        <v>1067</v>
      </c>
      <c r="G3963" s="57" t="s">
        <v>7898</v>
      </c>
      <c r="H3963" s="57" t="s">
        <v>7888</v>
      </c>
    </row>
    <row r="3964" spans="2:8" ht="13.5" customHeight="1">
      <c r="B3964" s="57" t="s">
        <v>7661</v>
      </c>
      <c r="D3964" s="57" t="s">
        <v>7662</v>
      </c>
      <c r="F3964" s="57">
        <v>1730</v>
      </c>
      <c r="G3964" s="57" t="s">
        <v>7898</v>
      </c>
      <c r="H3964" s="57" t="s">
        <v>7888</v>
      </c>
    </row>
    <row r="3965" spans="2:8" ht="13.5" customHeight="1">
      <c r="B3965" s="57" t="s">
        <v>7709</v>
      </c>
      <c r="D3965" s="57" t="s">
        <v>7710</v>
      </c>
      <c r="F3965" s="57">
        <v>7</v>
      </c>
      <c r="G3965" s="57" t="s">
        <v>7898</v>
      </c>
      <c r="H3965" s="57" t="s">
        <v>7893</v>
      </c>
    </row>
    <row r="3966" spans="2:8" ht="13.5" customHeight="1">
      <c r="D3966" s="57" t="s">
        <v>7733</v>
      </c>
      <c r="F3966" s="57">
        <v>10</v>
      </c>
      <c r="G3966" s="57" t="s">
        <v>7898</v>
      </c>
      <c r="H3966" s="57" t="s">
        <v>7893</v>
      </c>
    </row>
    <row r="3967" spans="2:8" ht="13.5" customHeight="1">
      <c r="B3967" s="57" t="s">
        <v>7732</v>
      </c>
      <c r="D3967" s="57" t="s">
        <v>7732</v>
      </c>
      <c r="F3967" s="57">
        <v>10</v>
      </c>
      <c r="G3967" s="57" t="s">
        <v>7898</v>
      </c>
      <c r="H3967" s="57" t="s">
        <v>7893</v>
      </c>
    </row>
    <row r="3968" spans="2:8" ht="13.5" customHeight="1">
      <c r="D3968" s="57" t="s">
        <v>7734</v>
      </c>
      <c r="F3968" s="57">
        <v>15</v>
      </c>
      <c r="G3968" s="57" t="s">
        <v>7898</v>
      </c>
      <c r="H3968" s="57" t="s">
        <v>7893</v>
      </c>
    </row>
    <row r="3969" spans="2:8" ht="13.5" customHeight="1">
      <c r="B3969" s="57" t="s">
        <v>7730</v>
      </c>
      <c r="D3969" s="57" t="s">
        <v>7731</v>
      </c>
      <c r="F3969" s="57">
        <v>15</v>
      </c>
      <c r="G3969" s="57" t="s">
        <v>7898</v>
      </c>
      <c r="H3969" s="57" t="s">
        <v>7893</v>
      </c>
    </row>
    <row r="3970" spans="2:8" ht="13.5" customHeight="1">
      <c r="B3970" s="57" t="s">
        <v>5221</v>
      </c>
      <c r="D3970" s="57" t="s">
        <v>5311</v>
      </c>
      <c r="F3970" s="57">
        <v>17</v>
      </c>
      <c r="G3970" s="57" t="s">
        <v>7898</v>
      </c>
      <c r="H3970" s="57" t="s">
        <v>7893</v>
      </c>
    </row>
    <row r="3971" spans="2:8" ht="13.5" customHeight="1">
      <c r="B3971" s="57" t="s">
        <v>7711</v>
      </c>
      <c r="D3971" s="57" t="s">
        <v>7712</v>
      </c>
      <c r="F3971" s="57">
        <v>18</v>
      </c>
      <c r="G3971" s="57" t="s">
        <v>7898</v>
      </c>
      <c r="H3971" s="57" t="s">
        <v>7893</v>
      </c>
    </row>
    <row r="3972" spans="2:8" ht="13.5" customHeight="1">
      <c r="D3972" s="57" t="s">
        <v>7708</v>
      </c>
      <c r="F3972" s="57">
        <v>33</v>
      </c>
      <c r="G3972" s="57" t="s">
        <v>7898</v>
      </c>
      <c r="H3972" s="57" t="s">
        <v>7893</v>
      </c>
    </row>
    <row r="3973" spans="2:8" ht="13.5" customHeight="1">
      <c r="B3973" s="57" t="s">
        <v>7725</v>
      </c>
      <c r="D3973" s="57" t="s">
        <v>7726</v>
      </c>
      <c r="F3973" s="57">
        <v>37</v>
      </c>
      <c r="G3973" s="57" t="s">
        <v>7898</v>
      </c>
      <c r="H3973" s="57" t="s">
        <v>7893</v>
      </c>
    </row>
    <row r="3974" spans="2:8" ht="13.5" customHeight="1">
      <c r="D3974" s="57" t="s">
        <v>7705</v>
      </c>
      <c r="F3974" s="57">
        <v>45</v>
      </c>
      <c r="G3974" s="57" t="s">
        <v>7898</v>
      </c>
      <c r="H3974" s="57" t="s">
        <v>7893</v>
      </c>
    </row>
    <row r="3975" spans="2:8" ht="13.5" customHeight="1">
      <c r="D3975" s="57" t="s">
        <v>7700</v>
      </c>
      <c r="F3975" s="57">
        <v>58</v>
      </c>
      <c r="G3975" s="57" t="s">
        <v>7898</v>
      </c>
      <c r="H3975" s="57" t="s">
        <v>7893</v>
      </c>
    </row>
    <row r="3976" spans="2:8" ht="13.5" customHeight="1">
      <c r="B3976" s="57" t="s">
        <v>7698</v>
      </c>
      <c r="D3976" s="57" t="s">
        <v>7699</v>
      </c>
      <c r="F3976" s="57">
        <v>63</v>
      </c>
      <c r="G3976" s="57" t="s">
        <v>7898</v>
      </c>
      <c r="H3976" s="57" t="s">
        <v>7893</v>
      </c>
    </row>
    <row r="3977" spans="2:8" ht="13.5" customHeight="1">
      <c r="D3977" s="57" t="s">
        <v>7720</v>
      </c>
      <c r="F3977" s="57">
        <v>64</v>
      </c>
      <c r="G3977" s="57" t="s">
        <v>7898</v>
      </c>
      <c r="H3977" s="57" t="s">
        <v>7893</v>
      </c>
    </row>
    <row r="3978" spans="2:8" ht="13.5" customHeight="1">
      <c r="B3978" s="57" t="s">
        <v>7723</v>
      </c>
      <c r="D3978" s="57" t="s">
        <v>7724</v>
      </c>
      <c r="F3978" s="57">
        <v>79</v>
      </c>
      <c r="G3978" s="57" t="s">
        <v>7898</v>
      </c>
      <c r="H3978" s="57" t="s">
        <v>7893</v>
      </c>
    </row>
    <row r="3979" spans="2:8" ht="13.5" customHeight="1">
      <c r="B3979" s="57" t="s">
        <v>7718</v>
      </c>
      <c r="D3979" s="57" t="s">
        <v>7719</v>
      </c>
      <c r="F3979" s="57">
        <v>87</v>
      </c>
      <c r="G3979" s="57" t="s">
        <v>7898</v>
      </c>
      <c r="H3979" s="57" t="s">
        <v>7893</v>
      </c>
    </row>
    <row r="3980" spans="2:8" ht="13.5" customHeight="1">
      <c r="B3980" s="57" t="s">
        <v>7717</v>
      </c>
      <c r="D3980" s="57" t="s">
        <v>7717</v>
      </c>
      <c r="F3980" s="57">
        <v>89</v>
      </c>
      <c r="G3980" s="57" t="s">
        <v>7898</v>
      </c>
      <c r="H3980" s="57" t="s">
        <v>7893</v>
      </c>
    </row>
    <row r="3981" spans="2:8" ht="13.5" customHeight="1">
      <c r="B3981" s="57" t="s">
        <v>7694</v>
      </c>
      <c r="D3981" s="57" t="s">
        <v>7695</v>
      </c>
      <c r="F3981" s="57">
        <v>93</v>
      </c>
      <c r="G3981" s="57" t="s">
        <v>7898</v>
      </c>
      <c r="H3981" s="57" t="s">
        <v>7893</v>
      </c>
    </row>
    <row r="3982" spans="2:8" ht="13.5" customHeight="1">
      <c r="B3982" s="57" t="s">
        <v>7706</v>
      </c>
      <c r="D3982" s="57" t="s">
        <v>7707</v>
      </c>
      <c r="F3982" s="57">
        <v>94</v>
      </c>
      <c r="G3982" s="57" t="s">
        <v>7898</v>
      </c>
      <c r="H3982" s="57" t="s">
        <v>7893</v>
      </c>
    </row>
    <row r="3983" spans="2:8" ht="13.5" customHeight="1">
      <c r="B3983" s="57" t="s">
        <v>7727</v>
      </c>
      <c r="D3983" s="57" t="s">
        <v>7728</v>
      </c>
      <c r="F3983" s="57">
        <v>114</v>
      </c>
      <c r="G3983" s="57" t="s">
        <v>7898</v>
      </c>
      <c r="H3983" s="57" t="s">
        <v>7893</v>
      </c>
    </row>
    <row r="3984" spans="2:8" ht="13.5" customHeight="1">
      <c r="B3984" s="57" t="s">
        <v>7696</v>
      </c>
      <c r="D3984" s="57" t="s">
        <v>7697</v>
      </c>
      <c r="F3984" s="57">
        <v>187</v>
      </c>
      <c r="G3984" s="57" t="s">
        <v>7898</v>
      </c>
      <c r="H3984" s="57" t="s">
        <v>7893</v>
      </c>
    </row>
    <row r="3985" spans="2:8" ht="13.5" customHeight="1">
      <c r="B3985" s="57" t="s">
        <v>7692</v>
      </c>
      <c r="D3985" s="57" t="s">
        <v>7693</v>
      </c>
      <c r="F3985" s="57">
        <v>192</v>
      </c>
      <c r="G3985" s="57" t="s">
        <v>7898</v>
      </c>
      <c r="H3985" s="57" t="s">
        <v>7893</v>
      </c>
    </row>
    <row r="3986" spans="2:8" ht="13.5" customHeight="1">
      <c r="B3986" s="57" t="s">
        <v>7713</v>
      </c>
      <c r="D3986" s="57" t="s">
        <v>7714</v>
      </c>
      <c r="F3986" s="57">
        <v>493</v>
      </c>
      <c r="G3986" s="57" t="s">
        <v>7898</v>
      </c>
      <c r="H3986" s="57" t="s">
        <v>7893</v>
      </c>
    </row>
    <row r="3987" spans="2:8" ht="13.5" customHeight="1">
      <c r="B3987" s="57" t="s">
        <v>7735</v>
      </c>
      <c r="D3987" s="57" t="s">
        <v>7736</v>
      </c>
      <c r="F3987" s="57">
        <v>668</v>
      </c>
      <c r="G3987" s="57" t="s">
        <v>7898</v>
      </c>
      <c r="H3987" s="57" t="s">
        <v>7893</v>
      </c>
    </row>
    <row r="3988" spans="2:8" ht="13.5" customHeight="1">
      <c r="B3988" s="57" t="s">
        <v>7703</v>
      </c>
      <c r="D3988" s="57" t="s">
        <v>7704</v>
      </c>
      <c r="F3988" s="57">
        <v>674</v>
      </c>
      <c r="G3988" s="57" t="s">
        <v>7898</v>
      </c>
      <c r="H3988" s="57" t="s">
        <v>7893</v>
      </c>
    </row>
    <row r="3989" spans="2:8" ht="13.5" customHeight="1">
      <c r="B3989" s="57" t="s">
        <v>7715</v>
      </c>
      <c r="D3989" s="57" t="s">
        <v>7716</v>
      </c>
      <c r="F3989" s="57">
        <v>823</v>
      </c>
      <c r="G3989" s="57" t="s">
        <v>7898</v>
      </c>
      <c r="H3989" s="57" t="s">
        <v>7893</v>
      </c>
    </row>
    <row r="3990" spans="2:8" ht="13.5" customHeight="1">
      <c r="B3990" s="57" t="s">
        <v>1468</v>
      </c>
      <c r="D3990" s="57" t="s">
        <v>4540</v>
      </c>
      <c r="F3990" s="57">
        <v>853</v>
      </c>
      <c r="G3990" s="57" t="s">
        <v>7898</v>
      </c>
      <c r="H3990" s="57" t="s">
        <v>7893</v>
      </c>
    </row>
    <row r="3991" spans="2:8" ht="13.5" customHeight="1">
      <c r="B3991" s="57" t="s">
        <v>7614</v>
      </c>
      <c r="D3991" s="57" t="s">
        <v>7615</v>
      </c>
      <c r="F3991" s="57">
        <v>1691</v>
      </c>
      <c r="G3991" s="57" t="s">
        <v>7898</v>
      </c>
      <c r="H3991" s="57" t="s">
        <v>7893</v>
      </c>
    </row>
    <row r="3992" spans="2:8" ht="13.5" customHeight="1">
      <c r="B3992" s="57" t="s">
        <v>7775</v>
      </c>
      <c r="D3992" s="57" t="s">
        <v>7776</v>
      </c>
      <c r="F3992" s="57">
        <v>4</v>
      </c>
      <c r="G3992" s="57" t="s">
        <v>7898</v>
      </c>
      <c r="H3992" s="57" t="s">
        <v>7894</v>
      </c>
    </row>
    <row r="3993" spans="2:8" ht="13.5" customHeight="1">
      <c r="B3993" s="57" t="s">
        <v>7773</v>
      </c>
      <c r="D3993" s="57" t="s">
        <v>7774</v>
      </c>
      <c r="F3993" s="57">
        <v>15</v>
      </c>
      <c r="G3993" s="57" t="s">
        <v>7898</v>
      </c>
      <c r="H3993" s="57" t="s">
        <v>7894</v>
      </c>
    </row>
    <row r="3994" spans="2:8" ht="13.5" customHeight="1">
      <c r="D3994" s="57" t="s">
        <v>7765</v>
      </c>
      <c r="F3994" s="57">
        <v>16</v>
      </c>
      <c r="G3994" s="57" t="s">
        <v>7898</v>
      </c>
      <c r="H3994" s="57" t="s">
        <v>7894</v>
      </c>
    </row>
    <row r="3995" spans="2:8" ht="24" customHeight="1">
      <c r="B3995" s="57" t="s">
        <v>7770</v>
      </c>
      <c r="D3995" s="57" t="s">
        <v>7771</v>
      </c>
      <c r="F3995" s="57">
        <v>17</v>
      </c>
      <c r="G3995" s="57" t="s">
        <v>7898</v>
      </c>
      <c r="H3995" s="57" t="s">
        <v>7894</v>
      </c>
    </row>
    <row r="3996" spans="2:8" ht="13.5" customHeight="1">
      <c r="B3996" s="57" t="s">
        <v>7742</v>
      </c>
      <c r="D3996" s="57" t="s">
        <v>7742</v>
      </c>
      <c r="F3996" s="57">
        <v>18</v>
      </c>
      <c r="G3996" s="57" t="s">
        <v>7898</v>
      </c>
      <c r="H3996" s="57" t="s">
        <v>7894</v>
      </c>
    </row>
    <row r="3997" spans="2:8" ht="13.5" customHeight="1">
      <c r="B3997" s="57" t="s">
        <v>7764</v>
      </c>
      <c r="D3997" s="57" t="s">
        <v>7764</v>
      </c>
      <c r="F3997" s="57">
        <v>20</v>
      </c>
      <c r="G3997" s="57" t="s">
        <v>7898</v>
      </c>
      <c r="H3997" s="57" t="s">
        <v>7894</v>
      </c>
    </row>
    <row r="3998" spans="2:8" ht="13.5" customHeight="1">
      <c r="B3998" s="57" t="s">
        <v>7752</v>
      </c>
      <c r="D3998" s="57" t="s">
        <v>7753</v>
      </c>
      <c r="F3998" s="57">
        <v>20</v>
      </c>
      <c r="G3998" s="57" t="s">
        <v>7898</v>
      </c>
      <c r="H3998" s="57" t="s">
        <v>7894</v>
      </c>
    </row>
    <row r="3999" spans="2:8" ht="13.5" customHeight="1">
      <c r="B3999" s="57" t="s">
        <v>7751</v>
      </c>
      <c r="D3999" s="57" t="s">
        <v>652</v>
      </c>
      <c r="F3999" s="57">
        <v>24</v>
      </c>
      <c r="G3999" s="57" t="s">
        <v>7898</v>
      </c>
      <c r="H3999" s="57" t="s">
        <v>7894</v>
      </c>
    </row>
    <row r="4000" spans="2:8" ht="13.5" customHeight="1">
      <c r="B4000" s="57" t="s">
        <v>7577</v>
      </c>
      <c r="D4000" s="57" t="s">
        <v>7738</v>
      </c>
      <c r="F4000" s="57">
        <v>40</v>
      </c>
      <c r="G4000" s="57" t="s">
        <v>7898</v>
      </c>
      <c r="H4000" s="57" t="s">
        <v>7894</v>
      </c>
    </row>
    <row r="4001" spans="2:8" ht="13.5" customHeight="1">
      <c r="B4001" s="57" t="s">
        <v>5211</v>
      </c>
      <c r="D4001" s="57" t="s">
        <v>7748</v>
      </c>
      <c r="F4001" s="57">
        <v>42</v>
      </c>
      <c r="G4001" s="57" t="s">
        <v>7898</v>
      </c>
      <c r="H4001" s="57" t="s">
        <v>7894</v>
      </c>
    </row>
    <row r="4002" spans="2:8" ht="13.5" customHeight="1">
      <c r="B4002" s="57" t="s">
        <v>7743</v>
      </c>
      <c r="D4002" s="57" t="s">
        <v>7744</v>
      </c>
      <c r="F4002" s="57">
        <v>43</v>
      </c>
      <c r="G4002" s="57" t="s">
        <v>7898</v>
      </c>
      <c r="H4002" s="57" t="s">
        <v>7894</v>
      </c>
    </row>
    <row r="4003" spans="2:8" ht="13.5" customHeight="1">
      <c r="B4003" s="57" t="s">
        <v>7758</v>
      </c>
      <c r="D4003" s="57" t="s">
        <v>7759</v>
      </c>
      <c r="F4003" s="57">
        <v>70</v>
      </c>
      <c r="G4003" s="57" t="s">
        <v>7898</v>
      </c>
      <c r="H4003" s="57" t="s">
        <v>7894</v>
      </c>
    </row>
    <row r="4004" spans="2:8" ht="13.5" customHeight="1">
      <c r="D4004" s="57" t="s">
        <v>7772</v>
      </c>
      <c r="F4004" s="57">
        <v>84</v>
      </c>
      <c r="G4004" s="57" t="s">
        <v>7898</v>
      </c>
      <c r="H4004" s="57" t="s">
        <v>7894</v>
      </c>
    </row>
    <row r="4005" spans="2:8" ht="13.5" customHeight="1">
      <c r="B4005" s="57" t="s">
        <v>7766</v>
      </c>
      <c r="D4005" s="57" t="s">
        <v>7767</v>
      </c>
      <c r="F4005" s="57">
        <v>86</v>
      </c>
      <c r="G4005" s="57" t="s">
        <v>7898</v>
      </c>
      <c r="H4005" s="57" t="s">
        <v>7894</v>
      </c>
    </row>
    <row r="4006" spans="2:8" ht="13.5" customHeight="1">
      <c r="B4006" s="57" t="s">
        <v>7737</v>
      </c>
      <c r="D4006" s="57" t="s">
        <v>4166</v>
      </c>
      <c r="F4006" s="57">
        <v>110</v>
      </c>
      <c r="G4006" s="57" t="s">
        <v>7898</v>
      </c>
      <c r="H4006" s="57" t="s">
        <v>7894</v>
      </c>
    </row>
    <row r="4007" spans="2:8" ht="13.5" customHeight="1">
      <c r="B4007" s="57" t="s">
        <v>7777</v>
      </c>
      <c r="D4007" s="57" t="s">
        <v>7778</v>
      </c>
      <c r="F4007" s="57">
        <v>115</v>
      </c>
      <c r="G4007" s="57" t="s">
        <v>7898</v>
      </c>
      <c r="H4007" s="57" t="s">
        <v>7894</v>
      </c>
    </row>
    <row r="4008" spans="2:8" ht="13.5" customHeight="1">
      <c r="B4008" s="57" t="s">
        <v>7768</v>
      </c>
      <c r="D4008" s="57" t="s">
        <v>7769</v>
      </c>
      <c r="F4008" s="57">
        <v>128</v>
      </c>
      <c r="G4008" s="57" t="s">
        <v>7898</v>
      </c>
      <c r="H4008" s="57" t="s">
        <v>7894</v>
      </c>
    </row>
    <row r="4009" spans="2:8" ht="13.5" customHeight="1">
      <c r="B4009" s="57" t="s">
        <v>7739</v>
      </c>
      <c r="D4009" s="57" t="s">
        <v>7740</v>
      </c>
      <c r="F4009" s="57">
        <v>130</v>
      </c>
      <c r="G4009" s="57" t="s">
        <v>7898</v>
      </c>
      <c r="H4009" s="57" t="s">
        <v>7894</v>
      </c>
    </row>
    <row r="4010" spans="2:8" ht="13.5" customHeight="1">
      <c r="B4010" s="57" t="s">
        <v>7756</v>
      </c>
      <c r="D4010" s="57" t="s">
        <v>7757</v>
      </c>
      <c r="F4010" s="57">
        <v>136</v>
      </c>
      <c r="G4010" s="57" t="s">
        <v>7898</v>
      </c>
      <c r="H4010" s="57" t="s">
        <v>7894</v>
      </c>
    </row>
    <row r="4011" spans="2:8" ht="13.5" customHeight="1">
      <c r="B4011" s="57" t="s">
        <v>7745</v>
      </c>
      <c r="D4011" s="57" t="s">
        <v>7631</v>
      </c>
      <c r="F4011" s="57">
        <v>150</v>
      </c>
      <c r="G4011" s="57" t="s">
        <v>7898</v>
      </c>
      <c r="H4011" s="57" t="s">
        <v>7894</v>
      </c>
    </row>
    <row r="4012" spans="2:8" ht="13.5" customHeight="1">
      <c r="B4012" s="57" t="s">
        <v>7749</v>
      </c>
      <c r="D4012" s="57" t="s">
        <v>7750</v>
      </c>
      <c r="F4012" s="57">
        <v>554</v>
      </c>
      <c r="G4012" s="57" t="s">
        <v>7898</v>
      </c>
      <c r="H4012" s="57" t="s">
        <v>7894</v>
      </c>
    </row>
    <row r="4013" spans="2:8" ht="13.5" customHeight="1">
      <c r="B4013" s="57" t="s">
        <v>7746</v>
      </c>
      <c r="D4013" s="57" t="s">
        <v>7747</v>
      </c>
      <c r="F4013" s="57">
        <v>601</v>
      </c>
      <c r="G4013" s="57" t="s">
        <v>7898</v>
      </c>
      <c r="H4013" s="57" t="s">
        <v>7894</v>
      </c>
    </row>
    <row r="4014" spans="2:8" ht="13.5" customHeight="1">
      <c r="B4014" s="57" t="s">
        <v>7762</v>
      </c>
      <c r="D4014" s="57" t="s">
        <v>7763</v>
      </c>
      <c r="F4014" s="57">
        <v>626</v>
      </c>
      <c r="G4014" s="57" t="s">
        <v>7898</v>
      </c>
      <c r="H4014" s="57" t="s">
        <v>7894</v>
      </c>
    </row>
    <row r="4015" spans="2:8" ht="13.5" customHeight="1">
      <c r="B4015" s="57" t="s">
        <v>7787</v>
      </c>
      <c r="D4015" s="57" t="s">
        <v>7788</v>
      </c>
      <c r="F4015" s="57">
        <v>2</v>
      </c>
      <c r="G4015" s="57" t="s">
        <v>7898</v>
      </c>
      <c r="H4015" s="57" t="s">
        <v>7895</v>
      </c>
    </row>
    <row r="4016" spans="2:8" ht="13.5" customHeight="1">
      <c r="B4016" s="57" t="s">
        <v>7779</v>
      </c>
      <c r="D4016" s="57" t="s">
        <v>7780</v>
      </c>
      <c r="F4016" s="57">
        <v>11</v>
      </c>
      <c r="G4016" s="57" t="s">
        <v>7898</v>
      </c>
      <c r="H4016" s="57" t="s">
        <v>7895</v>
      </c>
    </row>
    <row r="4017" spans="2:8" ht="13.5" customHeight="1">
      <c r="B4017" s="57" t="s">
        <v>7781</v>
      </c>
      <c r="D4017" s="57" t="s">
        <v>7782</v>
      </c>
      <c r="F4017" s="57">
        <v>18</v>
      </c>
      <c r="G4017" s="57" t="s">
        <v>7898</v>
      </c>
      <c r="H4017" s="57" t="s">
        <v>7895</v>
      </c>
    </row>
    <row r="4018" spans="2:8" ht="13.5" customHeight="1">
      <c r="B4018" s="57" t="s">
        <v>7795</v>
      </c>
      <c r="D4018" s="57" t="s">
        <v>200</v>
      </c>
      <c r="F4018" s="57">
        <v>21</v>
      </c>
      <c r="G4018" s="57" t="s">
        <v>7898</v>
      </c>
      <c r="H4018" s="57" t="s">
        <v>7895</v>
      </c>
    </row>
    <row r="4019" spans="2:8" ht="13.5" customHeight="1">
      <c r="B4019" s="57" t="s">
        <v>7793</v>
      </c>
      <c r="D4019" s="57" t="s">
        <v>7794</v>
      </c>
      <c r="F4019" s="57">
        <v>27</v>
      </c>
      <c r="G4019" s="57" t="s">
        <v>7898</v>
      </c>
      <c r="H4019" s="57" t="s">
        <v>7895</v>
      </c>
    </row>
    <row r="4020" spans="2:8" ht="13.5" customHeight="1">
      <c r="B4020" s="57" t="s">
        <v>7789</v>
      </c>
      <c r="D4020" s="57" t="s">
        <v>7790</v>
      </c>
      <c r="F4020" s="57">
        <v>29</v>
      </c>
      <c r="G4020" s="57" t="s">
        <v>7898</v>
      </c>
      <c r="H4020" s="57" t="s">
        <v>7895</v>
      </c>
    </row>
    <row r="4021" spans="2:8" ht="13.5" customHeight="1">
      <c r="B4021" s="57" t="s">
        <v>7783</v>
      </c>
      <c r="D4021" s="57" t="s">
        <v>7784</v>
      </c>
      <c r="F4021" s="57">
        <v>54</v>
      </c>
      <c r="G4021" s="57" t="s">
        <v>7898</v>
      </c>
      <c r="H4021" s="57" t="s">
        <v>7895</v>
      </c>
    </row>
    <row r="4022" spans="2:8" ht="13.5" customHeight="1">
      <c r="B4022" s="57" t="s">
        <v>7796</v>
      </c>
      <c r="D4022" s="57" t="s">
        <v>7796</v>
      </c>
      <c r="F4022" s="57">
        <v>98</v>
      </c>
      <c r="G4022" s="57" t="s">
        <v>7898</v>
      </c>
      <c r="H4022" s="57" t="s">
        <v>7895</v>
      </c>
    </row>
    <row r="4023" spans="2:8" ht="13.5" customHeight="1">
      <c r="B4023" s="57" t="s">
        <v>7785</v>
      </c>
      <c r="D4023" s="57" t="s">
        <v>7786</v>
      </c>
      <c r="F4023" s="57">
        <v>137</v>
      </c>
      <c r="G4023" s="57" t="s">
        <v>7898</v>
      </c>
      <c r="H4023" s="57" t="s">
        <v>7895</v>
      </c>
    </row>
    <row r="4024" spans="2:8" ht="13.5" customHeight="1">
      <c r="B4024" s="57" t="s">
        <v>7791</v>
      </c>
      <c r="D4024" s="57" t="s">
        <v>7792</v>
      </c>
      <c r="F4024" s="57">
        <v>308</v>
      </c>
      <c r="G4024" s="57" t="s">
        <v>7898</v>
      </c>
      <c r="H4024" s="57" t="s">
        <v>7895</v>
      </c>
    </row>
    <row r="4025" spans="2:8" ht="13.5" customHeight="1">
      <c r="B4025" s="57" t="s">
        <v>7579</v>
      </c>
      <c r="D4025" s="57" t="s">
        <v>7580</v>
      </c>
      <c r="F4025" s="57">
        <v>100</v>
      </c>
      <c r="G4025" s="57" t="s">
        <v>7898</v>
      </c>
      <c r="H4025" s="57" t="s">
        <v>7896</v>
      </c>
    </row>
    <row r="4026" spans="2:8" ht="13.5" customHeight="1">
      <c r="B4026" s="57" t="s">
        <v>4698</v>
      </c>
      <c r="D4026" s="57" t="s">
        <v>7813</v>
      </c>
      <c r="F4026" s="57">
        <v>105</v>
      </c>
      <c r="G4026" s="57" t="s">
        <v>7898</v>
      </c>
      <c r="H4026" s="57" t="s">
        <v>7896</v>
      </c>
    </row>
    <row r="4027" spans="2:8" ht="13.5" customHeight="1">
      <c r="B4027" s="57" t="s">
        <v>7611</v>
      </c>
      <c r="D4027" s="57" t="s">
        <v>3732</v>
      </c>
      <c r="F4027" s="57">
        <v>141</v>
      </c>
      <c r="G4027" s="57" t="s">
        <v>7898</v>
      </c>
      <c r="H4027" s="57" t="s">
        <v>7896</v>
      </c>
    </row>
    <row r="4028" spans="2:8" ht="13.5" customHeight="1">
      <c r="B4028" s="57" t="s">
        <v>7566</v>
      </c>
      <c r="D4028" s="57" t="s">
        <v>7567</v>
      </c>
      <c r="F4028" s="57">
        <v>149</v>
      </c>
      <c r="G4028" s="57" t="s">
        <v>7898</v>
      </c>
      <c r="H4028" s="57" t="s">
        <v>7896</v>
      </c>
    </row>
    <row r="4029" spans="2:8" ht="13.5" customHeight="1">
      <c r="B4029" s="57" t="s">
        <v>7801</v>
      </c>
      <c r="D4029" s="57" t="s">
        <v>7802</v>
      </c>
      <c r="F4029" s="57">
        <v>194</v>
      </c>
      <c r="G4029" s="57" t="s">
        <v>7898</v>
      </c>
      <c r="H4029" s="57" t="s">
        <v>7896</v>
      </c>
    </row>
    <row r="4030" spans="2:8" ht="13.5" customHeight="1">
      <c r="B4030" s="57" t="s">
        <v>3227</v>
      </c>
      <c r="D4030" s="57" t="s">
        <v>7818</v>
      </c>
      <c r="F4030" s="57">
        <v>205</v>
      </c>
      <c r="G4030" s="57" t="s">
        <v>7898</v>
      </c>
      <c r="H4030" s="57" t="s">
        <v>7896</v>
      </c>
    </row>
    <row r="4031" spans="2:8" ht="13.5" customHeight="1">
      <c r="B4031" s="57" t="s">
        <v>7816</v>
      </c>
      <c r="D4031" s="57" t="s">
        <v>7817</v>
      </c>
      <c r="F4031" s="57">
        <v>205</v>
      </c>
      <c r="G4031" s="57" t="s">
        <v>7898</v>
      </c>
      <c r="H4031" s="57" t="s">
        <v>7896</v>
      </c>
    </row>
    <row r="4032" spans="2:8" ht="13.5" customHeight="1">
      <c r="B4032" s="57" t="s">
        <v>7571</v>
      </c>
      <c r="D4032" s="57" t="s">
        <v>7572</v>
      </c>
      <c r="F4032" s="57">
        <v>286</v>
      </c>
      <c r="G4032" s="57" t="s">
        <v>7898</v>
      </c>
      <c r="H4032" s="57" t="s">
        <v>7896</v>
      </c>
    </row>
    <row r="4033" spans="2:8" ht="13.5" customHeight="1">
      <c r="B4033" s="57" t="s">
        <v>7608</v>
      </c>
      <c r="D4033" s="57" t="s">
        <v>7609</v>
      </c>
      <c r="F4033" s="57">
        <v>291</v>
      </c>
      <c r="G4033" s="57" t="s">
        <v>7898</v>
      </c>
      <c r="H4033" s="57" t="s">
        <v>7896</v>
      </c>
    </row>
    <row r="4034" spans="2:8" ht="13.5" customHeight="1">
      <c r="B4034" s="57" t="s">
        <v>7814</v>
      </c>
      <c r="D4034" s="57" t="s">
        <v>7815</v>
      </c>
      <c r="F4034" s="57">
        <v>298</v>
      </c>
      <c r="G4034" s="57" t="s">
        <v>7898</v>
      </c>
      <c r="H4034" s="57" t="s">
        <v>7896</v>
      </c>
    </row>
    <row r="4035" spans="2:8" ht="13.5" customHeight="1">
      <c r="B4035" s="57" t="s">
        <v>7809</v>
      </c>
      <c r="D4035" s="57" t="s">
        <v>7810</v>
      </c>
      <c r="F4035" s="57">
        <v>311</v>
      </c>
      <c r="G4035" s="57" t="s">
        <v>7898</v>
      </c>
      <c r="H4035" s="57" t="s">
        <v>7896</v>
      </c>
    </row>
    <row r="4036" spans="2:8" ht="13.5" customHeight="1">
      <c r="B4036" s="57" t="s">
        <v>7805</v>
      </c>
      <c r="D4036" s="57" t="s">
        <v>7806</v>
      </c>
      <c r="F4036" s="57">
        <v>313</v>
      </c>
      <c r="G4036" s="57" t="s">
        <v>7898</v>
      </c>
      <c r="H4036" s="57" t="s">
        <v>7896</v>
      </c>
    </row>
    <row r="4037" spans="2:8" ht="13.5" customHeight="1">
      <c r="B4037" s="57" t="s">
        <v>7799</v>
      </c>
      <c r="D4037" s="57" t="s">
        <v>7800</v>
      </c>
      <c r="F4037" s="57">
        <v>319</v>
      </c>
      <c r="G4037" s="57" t="s">
        <v>7898</v>
      </c>
      <c r="H4037" s="57" t="s">
        <v>7896</v>
      </c>
    </row>
    <row r="4038" spans="2:8" ht="13.5" customHeight="1">
      <c r="B4038" s="57" t="s">
        <v>7803</v>
      </c>
      <c r="D4038" s="57" t="s">
        <v>7804</v>
      </c>
      <c r="F4038" s="57">
        <v>346</v>
      </c>
      <c r="G4038" s="57" t="s">
        <v>7898</v>
      </c>
      <c r="H4038" s="57" t="s">
        <v>7896</v>
      </c>
    </row>
    <row r="4039" spans="2:8" ht="13.5" customHeight="1">
      <c r="B4039" s="57" t="s">
        <v>7807</v>
      </c>
      <c r="D4039" s="57" t="s">
        <v>7808</v>
      </c>
      <c r="F4039" s="57">
        <v>392</v>
      </c>
      <c r="G4039" s="57" t="s">
        <v>7898</v>
      </c>
      <c r="H4039" s="57" t="s">
        <v>7896</v>
      </c>
    </row>
    <row r="4040" spans="2:8" ht="13.5" customHeight="1">
      <c r="B4040" s="57" t="s">
        <v>7558</v>
      </c>
      <c r="D4040" s="57" t="s">
        <v>7559</v>
      </c>
      <c r="F4040" s="57">
        <v>440</v>
      </c>
      <c r="G4040" s="57" t="s">
        <v>7898</v>
      </c>
      <c r="H4040" s="57" t="s">
        <v>7896</v>
      </c>
    </row>
    <row r="4041" spans="2:8" ht="13.5" customHeight="1">
      <c r="B4041" s="57" t="s">
        <v>7811</v>
      </c>
      <c r="D4041" s="57" t="s">
        <v>7812</v>
      </c>
      <c r="F4041" s="57">
        <v>1023</v>
      </c>
      <c r="G4041" s="57" t="s">
        <v>7898</v>
      </c>
      <c r="H4041" s="57" t="s">
        <v>7896</v>
      </c>
    </row>
    <row r="4042" spans="2:8" ht="13.5" customHeight="1">
      <c r="B4042" s="57" t="s">
        <v>7821</v>
      </c>
      <c r="D4042" s="57" t="s">
        <v>7822</v>
      </c>
      <c r="F4042" s="57">
        <v>113</v>
      </c>
      <c r="G4042" s="57" t="s">
        <v>7898</v>
      </c>
      <c r="H4042" s="57" t="s">
        <v>7892</v>
      </c>
    </row>
    <row r="4043" spans="2:8" ht="13.5" customHeight="1">
      <c r="B4043" s="57" t="s">
        <v>5211</v>
      </c>
      <c r="D4043" s="57" t="s">
        <v>7691</v>
      </c>
      <c r="F4043" s="57">
        <v>120</v>
      </c>
      <c r="G4043" s="57" t="s">
        <v>7898</v>
      </c>
      <c r="H4043" s="57" t="s">
        <v>7892</v>
      </c>
    </row>
    <row r="4044" spans="2:8" ht="13.5" customHeight="1">
      <c r="B4044" s="57" t="s">
        <v>7819</v>
      </c>
      <c r="D4044" s="57" t="s">
        <v>7820</v>
      </c>
      <c r="F4044" s="57">
        <v>149</v>
      </c>
      <c r="G4044" s="57" t="s">
        <v>7898</v>
      </c>
      <c r="H4044" s="57" t="s">
        <v>7892</v>
      </c>
    </row>
    <row r="4045" spans="2:8" ht="13.5" customHeight="1">
      <c r="B4045" s="57" t="s">
        <v>7568</v>
      </c>
      <c r="D4045" s="57" t="s">
        <v>3816</v>
      </c>
      <c r="F4045" s="57">
        <v>193</v>
      </c>
      <c r="G4045" s="57" t="s">
        <v>7898</v>
      </c>
      <c r="H4045" s="57" t="s">
        <v>7892</v>
      </c>
    </row>
    <row r="4046" spans="2:8" ht="13.5" customHeight="1">
      <c r="B4046" s="57" t="s">
        <v>6205</v>
      </c>
      <c r="D4046" s="57" t="s">
        <v>6206</v>
      </c>
      <c r="F4046" s="57">
        <v>220</v>
      </c>
      <c r="G4046" s="57" t="s">
        <v>7898</v>
      </c>
      <c r="H4046" s="57" t="s">
        <v>7892</v>
      </c>
    </row>
    <row r="4047" spans="2:8" ht="13.5" customHeight="1">
      <c r="B4047" s="57" t="s">
        <v>7760</v>
      </c>
      <c r="D4047" s="57" t="s">
        <v>7761</v>
      </c>
      <c r="F4047" s="57">
        <v>449</v>
      </c>
      <c r="G4047" s="57" t="s">
        <v>7898</v>
      </c>
      <c r="H4047" s="57" t="s">
        <v>7892</v>
      </c>
    </row>
    <row r="4048" spans="2:8" ht="13.5" customHeight="1">
      <c r="B4048" s="57" t="s">
        <v>7797</v>
      </c>
      <c r="D4048" s="57" t="s">
        <v>3561</v>
      </c>
      <c r="F4048" s="57">
        <v>701</v>
      </c>
      <c r="G4048" s="57" t="s">
        <v>7898</v>
      </c>
      <c r="H4048" s="57" t="s">
        <v>7892</v>
      </c>
    </row>
    <row r="4049" spans="2:8" ht="13.5" customHeight="1">
      <c r="B4049" s="57" t="s">
        <v>3560</v>
      </c>
      <c r="D4049" s="57" t="s">
        <v>7798</v>
      </c>
      <c r="F4049" s="57">
        <v>798</v>
      </c>
      <c r="G4049" s="57" t="s">
        <v>7898</v>
      </c>
      <c r="H4049" s="57" t="s">
        <v>7892</v>
      </c>
    </row>
    <row r="4050" spans="2:8" ht="13.5" customHeight="1">
      <c r="B4050" s="57" t="s">
        <v>7689</v>
      </c>
      <c r="D4050" s="57" t="s">
        <v>7690</v>
      </c>
      <c r="F4050" s="57">
        <v>85</v>
      </c>
      <c r="G4050" s="57" t="s">
        <v>7898</v>
      </c>
      <c r="H4050" s="57" t="s">
        <v>7891</v>
      </c>
    </row>
    <row r="4051" spans="2:8" ht="13.5" customHeight="1">
      <c r="B4051" s="57" t="s">
        <v>7701</v>
      </c>
      <c r="D4051" s="57" t="s">
        <v>7702</v>
      </c>
      <c r="F4051" s="57">
        <v>122</v>
      </c>
      <c r="G4051" s="57" t="s">
        <v>7898</v>
      </c>
      <c r="H4051" s="57" t="s">
        <v>7891</v>
      </c>
    </row>
    <row r="4052" spans="2:8" ht="13.5" customHeight="1">
      <c r="B4052" s="57" t="s">
        <v>7644</v>
      </c>
      <c r="D4052" s="57" t="s">
        <v>7645</v>
      </c>
      <c r="F4052" s="57">
        <v>134</v>
      </c>
      <c r="G4052" s="57" t="s">
        <v>7898</v>
      </c>
      <c r="H4052" s="57" t="s">
        <v>7891</v>
      </c>
    </row>
    <row r="4053" spans="2:8" ht="13.5" customHeight="1">
      <c r="B4053" s="57" t="s">
        <v>7669</v>
      </c>
      <c r="D4053" s="57" t="s">
        <v>7729</v>
      </c>
      <c r="F4053" s="57">
        <v>159</v>
      </c>
      <c r="G4053" s="57" t="s">
        <v>7898</v>
      </c>
      <c r="H4053" s="57" t="s">
        <v>7891</v>
      </c>
    </row>
    <row r="4054" spans="2:8" ht="13.5" customHeight="1">
      <c r="B4054" s="57" t="s">
        <v>7721</v>
      </c>
      <c r="D4054" s="57" t="s">
        <v>7722</v>
      </c>
      <c r="F4054" s="57">
        <v>42</v>
      </c>
      <c r="G4054" s="57" t="s">
        <v>7898</v>
      </c>
      <c r="H4054" s="57" t="s">
        <v>7889</v>
      </c>
    </row>
    <row r="4055" spans="2:8" ht="13.5" customHeight="1">
      <c r="B4055" s="57" t="s">
        <v>7648</v>
      </c>
      <c r="D4055" s="57" t="s">
        <v>7649</v>
      </c>
      <c r="F4055" s="57">
        <v>43</v>
      </c>
      <c r="G4055" s="57" t="s">
        <v>7898</v>
      </c>
      <c r="H4055" s="57" t="s">
        <v>7889</v>
      </c>
    </row>
    <row r="4056" spans="2:8" ht="13.5" customHeight="1">
      <c r="B4056" s="57" t="s">
        <v>7825</v>
      </c>
      <c r="D4056" s="57" t="s">
        <v>7826</v>
      </c>
      <c r="F4056" s="57">
        <v>88</v>
      </c>
      <c r="G4056" s="57" t="s">
        <v>7898</v>
      </c>
      <c r="H4056" s="57" t="s">
        <v>7889</v>
      </c>
    </row>
    <row r="4057" spans="2:8" ht="13.5" customHeight="1">
      <c r="B4057" s="57" t="s">
        <v>7823</v>
      </c>
      <c r="D4057" s="57" t="s">
        <v>7824</v>
      </c>
      <c r="F4057" s="57">
        <v>120</v>
      </c>
      <c r="G4057" s="57" t="s">
        <v>7898</v>
      </c>
      <c r="H4057" s="57" t="s">
        <v>7889</v>
      </c>
    </row>
    <row r="4058" spans="2:8" ht="13.5" customHeight="1">
      <c r="B4058" s="57" t="s">
        <v>7622</v>
      </c>
      <c r="D4058" s="57" t="s">
        <v>7623</v>
      </c>
      <c r="F4058" s="57">
        <v>296</v>
      </c>
      <c r="G4058" s="57" t="s">
        <v>7898</v>
      </c>
      <c r="H4058" s="57" t="s">
        <v>7889</v>
      </c>
    </row>
    <row r="4059" spans="2:8" ht="13.5" customHeight="1">
      <c r="B4059" s="57" t="s">
        <v>7846</v>
      </c>
      <c r="D4059" s="57" t="s">
        <v>7847</v>
      </c>
      <c r="F4059" s="57">
        <v>133</v>
      </c>
      <c r="G4059" s="57" t="s">
        <v>7898</v>
      </c>
      <c r="H4059" s="57" t="s">
        <v>2661</v>
      </c>
    </row>
    <row r="4060" spans="2:8" ht="13.5" customHeight="1">
      <c r="B4060" s="57" t="s">
        <v>7850</v>
      </c>
      <c r="D4060" s="57" t="s">
        <v>7851</v>
      </c>
      <c r="F4060" s="57">
        <v>275</v>
      </c>
      <c r="G4060" s="57" t="s">
        <v>7898</v>
      </c>
      <c r="H4060" s="57" t="s">
        <v>2661</v>
      </c>
    </row>
    <row r="4061" spans="2:8" ht="13.5" customHeight="1">
      <c r="D4061" s="57" t="s">
        <v>7555</v>
      </c>
      <c r="F4061" s="57">
        <v>449</v>
      </c>
      <c r="G4061" s="57" t="s">
        <v>7898</v>
      </c>
      <c r="H4061" s="57" t="s">
        <v>2661</v>
      </c>
    </row>
    <row r="4062" spans="2:8" ht="13.5" customHeight="1">
      <c r="D4062" s="57" t="s">
        <v>7854</v>
      </c>
      <c r="F4062" s="57">
        <v>583</v>
      </c>
      <c r="G4062" s="57" t="s">
        <v>7898</v>
      </c>
      <c r="H4062" s="57" t="s">
        <v>2661</v>
      </c>
    </row>
    <row r="4063" spans="2:8" ht="13.5" customHeight="1">
      <c r="B4063" s="57" t="s">
        <v>7848</v>
      </c>
      <c r="D4063" s="57" t="s">
        <v>7849</v>
      </c>
      <c r="F4063" s="57">
        <v>606</v>
      </c>
      <c r="G4063" s="57" t="s">
        <v>7898</v>
      </c>
      <c r="H4063" s="57" t="s">
        <v>2661</v>
      </c>
    </row>
    <row r="4064" spans="2:8" ht="13.5" customHeight="1">
      <c r="B4064" s="57" t="s">
        <v>5554</v>
      </c>
      <c r="D4064" s="57" t="s">
        <v>5555</v>
      </c>
      <c r="F4064" s="57">
        <v>704</v>
      </c>
      <c r="G4064" s="57" t="s">
        <v>7898</v>
      </c>
      <c r="H4064" s="57" t="s">
        <v>2661</v>
      </c>
    </row>
    <row r="4065" spans="2:8" ht="13.5" customHeight="1">
      <c r="B4065" s="57" t="s">
        <v>3366</v>
      </c>
      <c r="D4065" s="57" t="s">
        <v>3367</v>
      </c>
      <c r="F4065" s="57">
        <v>945</v>
      </c>
      <c r="G4065" s="57" t="s">
        <v>7898</v>
      </c>
      <c r="H4065" s="57" t="s">
        <v>2661</v>
      </c>
    </row>
    <row r="4066" spans="2:8" ht="13.5" customHeight="1">
      <c r="B4066" s="57" t="s">
        <v>7844</v>
      </c>
      <c r="D4066" s="57" t="s">
        <v>7845</v>
      </c>
      <c r="F4066" s="57">
        <v>1046</v>
      </c>
      <c r="G4066" s="57" t="s">
        <v>7898</v>
      </c>
      <c r="H4066" s="57" t="s">
        <v>2661</v>
      </c>
    </row>
    <row r="4067" spans="2:8" ht="13.5" customHeight="1">
      <c r="B4067" s="57" t="s">
        <v>2820</v>
      </c>
      <c r="D4067" s="57" t="s">
        <v>2027</v>
      </c>
      <c r="F4067" s="57">
        <v>1341</v>
      </c>
      <c r="G4067" s="57" t="s">
        <v>7898</v>
      </c>
      <c r="H4067" s="57" t="s">
        <v>2661</v>
      </c>
    </row>
    <row r="4068" spans="2:8" ht="13.5" customHeight="1">
      <c r="B4068" s="57" t="s">
        <v>7852</v>
      </c>
      <c r="D4068" s="57" t="s">
        <v>7853</v>
      </c>
      <c r="F4068" s="57">
        <v>4995</v>
      </c>
      <c r="G4068" s="57" t="s">
        <v>7898</v>
      </c>
      <c r="H4068" s="57" t="s">
        <v>2661</v>
      </c>
    </row>
    <row r="4069" spans="2:8" ht="13.5" customHeight="1">
      <c r="B4069" s="57" t="s">
        <v>5561</v>
      </c>
      <c r="D4069" s="57" t="s">
        <v>7885</v>
      </c>
      <c r="F4069" s="57">
        <v>151</v>
      </c>
      <c r="G4069" s="57" t="s">
        <v>7898</v>
      </c>
      <c r="H4069" s="57" t="s">
        <v>2657</v>
      </c>
    </row>
    <row r="4070" spans="2:8" ht="13.5" customHeight="1">
      <c r="B4070" s="57" t="s">
        <v>7874</v>
      </c>
      <c r="D4070" s="57" t="s">
        <v>7875</v>
      </c>
      <c r="F4070" s="57">
        <v>249</v>
      </c>
      <c r="G4070" s="57" t="s">
        <v>7898</v>
      </c>
      <c r="H4070" s="57" t="s">
        <v>2657</v>
      </c>
    </row>
    <row r="4071" spans="2:8" ht="13.5" customHeight="1">
      <c r="B4071" s="57" t="s">
        <v>7861</v>
      </c>
      <c r="D4071" s="57" t="s">
        <v>3698</v>
      </c>
      <c r="F4071" s="57">
        <v>460</v>
      </c>
      <c r="G4071" s="57" t="s">
        <v>7898</v>
      </c>
      <c r="H4071" s="57" t="s">
        <v>2657</v>
      </c>
    </row>
    <row r="4072" spans="2:8" ht="13.5" customHeight="1">
      <c r="B4072" s="57" t="s">
        <v>7863</v>
      </c>
      <c r="D4072" s="57" t="s">
        <v>3674</v>
      </c>
      <c r="F4072" s="57">
        <v>563</v>
      </c>
      <c r="G4072" s="57" t="s">
        <v>7898</v>
      </c>
      <c r="H4072" s="57" t="s">
        <v>2657</v>
      </c>
    </row>
    <row r="4073" spans="2:8" ht="13.5" customHeight="1">
      <c r="B4073" s="57" t="s">
        <v>7883</v>
      </c>
      <c r="D4073" s="57" t="s">
        <v>7884</v>
      </c>
      <c r="F4073" s="57">
        <v>594</v>
      </c>
      <c r="G4073" s="57" t="s">
        <v>7898</v>
      </c>
      <c r="H4073" s="57" t="s">
        <v>2657</v>
      </c>
    </row>
    <row r="4074" spans="2:8" ht="13.5" customHeight="1">
      <c r="B4074" s="57" t="s">
        <v>7879</v>
      </c>
      <c r="D4074" s="57" t="s">
        <v>7880</v>
      </c>
      <c r="F4074" s="57">
        <v>650</v>
      </c>
      <c r="G4074" s="57" t="s">
        <v>7898</v>
      </c>
      <c r="H4074" s="57" t="s">
        <v>2657</v>
      </c>
    </row>
    <row r="4075" spans="2:8" ht="13.5" customHeight="1">
      <c r="B4075" s="57" t="s">
        <v>7865</v>
      </c>
      <c r="D4075" s="57" t="s">
        <v>7866</v>
      </c>
      <c r="F4075" s="57">
        <v>740</v>
      </c>
      <c r="G4075" s="57" t="s">
        <v>7898</v>
      </c>
      <c r="H4075" s="57" t="s">
        <v>2657</v>
      </c>
    </row>
    <row r="4076" spans="2:8" ht="13.5" customHeight="1">
      <c r="B4076" s="57" t="s">
        <v>290</v>
      </c>
      <c r="D4076" s="57" t="s">
        <v>7877</v>
      </c>
      <c r="F4076" s="57">
        <v>1147</v>
      </c>
      <c r="G4076" s="57" t="s">
        <v>7898</v>
      </c>
      <c r="H4076" s="57" t="s">
        <v>2657</v>
      </c>
    </row>
    <row r="4077" spans="2:8" ht="13.5" customHeight="1">
      <c r="B4077" s="57" t="s">
        <v>7749</v>
      </c>
      <c r="D4077" s="57" t="s">
        <v>7750</v>
      </c>
      <c r="F4077" s="57">
        <v>1339</v>
      </c>
      <c r="G4077" s="57" t="s">
        <v>7898</v>
      </c>
      <c r="H4077" s="57" t="s">
        <v>2657</v>
      </c>
    </row>
    <row r="4078" spans="2:8" ht="13.5" customHeight="1">
      <c r="B4078" s="57" t="s">
        <v>7858</v>
      </c>
      <c r="D4078" s="57" t="s">
        <v>7859</v>
      </c>
      <c r="F4078" s="57">
        <v>1403</v>
      </c>
      <c r="G4078" s="57" t="s">
        <v>7898</v>
      </c>
      <c r="H4078" s="57" t="s">
        <v>2657</v>
      </c>
    </row>
    <row r="4079" spans="2:8" ht="13.5" customHeight="1">
      <c r="B4079" s="57" t="s">
        <v>7852</v>
      </c>
      <c r="D4079" s="57" t="s">
        <v>7886</v>
      </c>
      <c r="F4079" s="57">
        <v>1498</v>
      </c>
      <c r="G4079" s="57" t="s">
        <v>7898</v>
      </c>
      <c r="H4079" s="57" t="s">
        <v>2657</v>
      </c>
    </row>
    <row r="4080" spans="2:8" ht="13.5" customHeight="1">
      <c r="B4080" s="57" t="s">
        <v>7881</v>
      </c>
      <c r="D4080" s="57" t="s">
        <v>7882</v>
      </c>
      <c r="F4080" s="57">
        <v>1900</v>
      </c>
      <c r="G4080" s="57" t="s">
        <v>7898</v>
      </c>
      <c r="H4080" s="57" t="s">
        <v>2657</v>
      </c>
    </row>
    <row r="4081" spans="2:9" ht="13.5" customHeight="1">
      <c r="B4081" s="57" t="s">
        <v>5304</v>
      </c>
      <c r="D4081" s="57" t="s">
        <v>5306</v>
      </c>
      <c r="F4081" s="57">
        <v>2449</v>
      </c>
      <c r="G4081" s="57" t="s">
        <v>7898</v>
      </c>
      <c r="H4081" s="57" t="s">
        <v>2657</v>
      </c>
    </row>
    <row r="4082" spans="2:9" ht="13.5" customHeight="1">
      <c r="B4082" s="57" t="s">
        <v>5897</v>
      </c>
      <c r="D4082" s="57" t="s">
        <v>5898</v>
      </c>
      <c r="F4082" s="57">
        <v>3162</v>
      </c>
      <c r="G4082" s="57" t="s">
        <v>7898</v>
      </c>
      <c r="H4082" s="57" t="s">
        <v>2657</v>
      </c>
    </row>
    <row r="4083" spans="2:9" ht="13.5" customHeight="1">
      <c r="B4083" s="57" t="s">
        <v>7856</v>
      </c>
      <c r="D4083" s="57" t="s">
        <v>7857</v>
      </c>
      <c r="F4083" s="57">
        <v>3933</v>
      </c>
      <c r="G4083" s="57" t="s">
        <v>7898</v>
      </c>
      <c r="H4083" s="57" t="s">
        <v>2657</v>
      </c>
    </row>
    <row r="4084" spans="2:9" ht="13.5" customHeight="1">
      <c r="B4084" s="57" t="s">
        <v>7867</v>
      </c>
      <c r="D4084" s="57" t="s">
        <v>7868</v>
      </c>
      <c r="F4084" s="57">
        <v>3980</v>
      </c>
      <c r="G4084" s="57" t="s">
        <v>7898</v>
      </c>
      <c r="H4084" s="57" t="s">
        <v>2657</v>
      </c>
    </row>
    <row r="4085" spans="2:9" ht="13.5" customHeight="1">
      <c r="B4085" s="57" t="s">
        <v>7713</v>
      </c>
      <c r="D4085" s="57" t="s">
        <v>7714</v>
      </c>
      <c r="F4085" s="57">
        <v>3987</v>
      </c>
      <c r="G4085" s="57" t="s">
        <v>7898</v>
      </c>
      <c r="H4085" s="57" t="s">
        <v>2657</v>
      </c>
    </row>
    <row r="4086" spans="2:9" ht="13.5" customHeight="1">
      <c r="B4086" s="57" t="s">
        <v>7878</v>
      </c>
      <c r="D4086" s="57" t="s">
        <v>1103</v>
      </c>
      <c r="F4086" s="57">
        <v>4771</v>
      </c>
      <c r="G4086" s="57" t="s">
        <v>7898</v>
      </c>
      <c r="H4086" s="57" t="s">
        <v>2657</v>
      </c>
    </row>
    <row r="4087" spans="2:9" ht="13.5" customHeight="1">
      <c r="D4087" s="57" t="s">
        <v>4300</v>
      </c>
      <c r="F4087" s="57">
        <v>5000</v>
      </c>
      <c r="G4087" s="57" t="s">
        <v>7898</v>
      </c>
      <c r="H4087" s="57" t="s">
        <v>2657</v>
      </c>
    </row>
    <row r="4088" spans="2:9" ht="13.5" customHeight="1">
      <c r="B4088" s="57" t="s">
        <v>7871</v>
      </c>
      <c r="D4088" s="57" t="s">
        <v>7872</v>
      </c>
      <c r="F4088" s="57">
        <v>5000</v>
      </c>
      <c r="G4088" s="57" t="s">
        <v>7898</v>
      </c>
      <c r="H4088" s="57" t="s">
        <v>2657</v>
      </c>
    </row>
    <row r="4089" spans="2:9" ht="13.5" customHeight="1">
      <c r="B4089" s="57" t="s">
        <v>4486</v>
      </c>
      <c r="D4089" s="57" t="s">
        <v>7864</v>
      </c>
      <c r="F4089" s="57">
        <v>5364</v>
      </c>
      <c r="G4089" s="57" t="s">
        <v>7898</v>
      </c>
      <c r="H4089" s="57" t="s">
        <v>2657</v>
      </c>
    </row>
    <row r="4090" spans="2:9" ht="13.5" customHeight="1">
      <c r="B4090" s="57" t="s">
        <v>7876</v>
      </c>
      <c r="D4090" s="57" t="s">
        <v>6917</v>
      </c>
      <c r="F4090" s="57">
        <v>5975</v>
      </c>
      <c r="G4090" s="57" t="s">
        <v>7898</v>
      </c>
      <c r="H4090" s="57" t="s">
        <v>2657</v>
      </c>
    </row>
    <row r="4091" spans="2:9" ht="13.5" customHeight="1">
      <c r="B4091" s="57" t="s">
        <v>6826</v>
      </c>
      <c r="D4091" s="57" t="s">
        <v>3173</v>
      </c>
      <c r="F4091" s="57">
        <v>6709</v>
      </c>
      <c r="G4091" s="57" t="s">
        <v>7898</v>
      </c>
      <c r="H4091" s="57" t="s">
        <v>2657</v>
      </c>
    </row>
    <row r="4092" spans="2:9" ht="13.5" customHeight="1">
      <c r="B4092" s="57" t="s">
        <v>7860</v>
      </c>
      <c r="D4092" s="57" t="s">
        <v>3674</v>
      </c>
      <c r="F4092" s="57">
        <v>8138</v>
      </c>
      <c r="G4092" s="57" t="s">
        <v>7898</v>
      </c>
      <c r="H4092" s="57" t="s">
        <v>2657</v>
      </c>
    </row>
    <row r="4093" spans="2:9" ht="13.5" customHeight="1">
      <c r="B4093" s="57" t="s">
        <v>7855</v>
      </c>
      <c r="D4093" s="57" t="s">
        <v>3203</v>
      </c>
      <c r="F4093" s="57">
        <v>8982</v>
      </c>
      <c r="G4093" s="57" t="s">
        <v>7898</v>
      </c>
      <c r="H4093" s="57" t="s">
        <v>2657</v>
      </c>
    </row>
    <row r="4094" spans="2:9" ht="13.5" customHeight="1">
      <c r="B4094" s="57" t="s">
        <v>4376</v>
      </c>
      <c r="D4094" s="57" t="s">
        <v>7873</v>
      </c>
      <c r="F4094" s="57">
        <v>34228</v>
      </c>
      <c r="G4094" s="57" t="s">
        <v>7898</v>
      </c>
      <c r="H4094" s="57" t="s">
        <v>2657</v>
      </c>
    </row>
    <row r="4095" spans="2:9" ht="13.5" customHeight="1">
      <c r="D4095" s="57" t="s">
        <v>5569</v>
      </c>
      <c r="F4095" s="57">
        <v>1</v>
      </c>
      <c r="G4095" s="57" t="s">
        <v>5597</v>
      </c>
      <c r="H4095" s="57" t="s">
        <v>363</v>
      </c>
      <c r="I4095" s="57" t="s">
        <v>5594</v>
      </c>
    </row>
    <row r="4096" spans="2:9" ht="13.5" customHeight="1">
      <c r="B4096" s="57" t="s">
        <v>5552</v>
      </c>
      <c r="D4096" s="57" t="s">
        <v>5553</v>
      </c>
      <c r="F4096" s="57">
        <v>1</v>
      </c>
      <c r="G4096" s="57" t="s">
        <v>5597</v>
      </c>
      <c r="H4096" s="57" t="s">
        <v>363</v>
      </c>
    </row>
    <row r="4097" spans="2:9" ht="13.5" customHeight="1">
      <c r="B4097" s="57" t="s">
        <v>5556</v>
      </c>
      <c r="D4097" s="57" t="s">
        <v>5557</v>
      </c>
      <c r="F4097" s="57">
        <v>1</v>
      </c>
      <c r="G4097" s="57" t="s">
        <v>5597</v>
      </c>
      <c r="H4097" s="57" t="s">
        <v>363</v>
      </c>
    </row>
    <row r="4098" spans="2:9" ht="13.5" customHeight="1">
      <c r="D4098" s="57" t="s">
        <v>2482</v>
      </c>
      <c r="F4098" s="57">
        <v>1</v>
      </c>
      <c r="G4098" s="57" t="s">
        <v>5597</v>
      </c>
      <c r="H4098" s="57" t="s">
        <v>363</v>
      </c>
    </row>
    <row r="4099" spans="2:9" ht="13.5" customHeight="1">
      <c r="D4099" s="57" t="s">
        <v>5560</v>
      </c>
      <c r="F4099" s="57">
        <v>1</v>
      </c>
      <c r="G4099" s="57" t="s">
        <v>5597</v>
      </c>
      <c r="H4099" s="57" t="s">
        <v>363</v>
      </c>
    </row>
    <row r="4100" spans="2:9" ht="13.5" customHeight="1">
      <c r="B4100" s="57" t="s">
        <v>5550</v>
      </c>
      <c r="D4100" s="57" t="s">
        <v>5551</v>
      </c>
      <c r="F4100" s="57">
        <v>1</v>
      </c>
      <c r="G4100" s="57" t="s">
        <v>5597</v>
      </c>
      <c r="H4100" s="57" t="s">
        <v>363</v>
      </c>
    </row>
    <row r="4101" spans="2:9" ht="13.5" customHeight="1">
      <c r="D4101" s="57" t="s">
        <v>5586</v>
      </c>
      <c r="F4101" s="57">
        <v>1</v>
      </c>
      <c r="G4101" s="57" t="s">
        <v>5597</v>
      </c>
      <c r="H4101" s="57" t="s">
        <v>363</v>
      </c>
      <c r="I4101" s="57" t="s">
        <v>5596</v>
      </c>
    </row>
    <row r="4102" spans="2:9" ht="13.5" customHeight="1">
      <c r="B4102" s="57" t="s">
        <v>5587</v>
      </c>
      <c r="D4102" s="57" t="s">
        <v>5588</v>
      </c>
      <c r="F4102" s="57">
        <v>1</v>
      </c>
      <c r="G4102" s="57" t="s">
        <v>5597</v>
      </c>
      <c r="H4102" s="57" t="s">
        <v>363</v>
      </c>
    </row>
    <row r="4103" spans="2:9" ht="13.5" customHeight="1">
      <c r="D4103" s="57" t="s">
        <v>5593</v>
      </c>
      <c r="F4103" s="57">
        <v>1</v>
      </c>
      <c r="G4103" s="57" t="s">
        <v>5597</v>
      </c>
      <c r="H4103" s="57" t="s">
        <v>363</v>
      </c>
    </row>
    <row r="4104" spans="2:9" ht="13.5" customHeight="1">
      <c r="B4104" s="57" t="s">
        <v>5537</v>
      </c>
      <c r="D4104" s="57" t="s">
        <v>5589</v>
      </c>
      <c r="F4104" s="57">
        <v>1</v>
      </c>
      <c r="G4104" s="57" t="s">
        <v>5597</v>
      </c>
      <c r="H4104" s="57" t="s">
        <v>363</v>
      </c>
    </row>
    <row r="4105" spans="2:9" ht="13.5" customHeight="1">
      <c r="B4105" s="57" t="s">
        <v>5577</v>
      </c>
      <c r="D4105" s="57" t="s">
        <v>5578</v>
      </c>
      <c r="F4105" s="57">
        <v>1</v>
      </c>
      <c r="G4105" s="57" t="s">
        <v>5597</v>
      </c>
      <c r="H4105" s="57" t="s">
        <v>363</v>
      </c>
    </row>
    <row r="4106" spans="2:9" ht="13.5" customHeight="1">
      <c r="B4106" s="57" t="s">
        <v>5561</v>
      </c>
      <c r="D4106" s="57" t="s">
        <v>5562</v>
      </c>
      <c r="F4106" s="57">
        <v>2</v>
      </c>
      <c r="G4106" s="57" t="s">
        <v>5597</v>
      </c>
      <c r="H4106" s="57" t="s">
        <v>363</v>
      </c>
    </row>
    <row r="4107" spans="2:9" ht="13.5" customHeight="1">
      <c r="B4107" s="57" t="s">
        <v>5590</v>
      </c>
      <c r="D4107" s="57" t="s">
        <v>5590</v>
      </c>
      <c r="F4107" s="57">
        <v>2</v>
      </c>
      <c r="G4107" s="57" t="s">
        <v>5597</v>
      </c>
      <c r="H4107" s="57" t="s">
        <v>363</v>
      </c>
    </row>
    <row r="4108" spans="2:9" ht="13.5" customHeight="1">
      <c r="B4108" s="57" t="s">
        <v>5571</v>
      </c>
      <c r="D4108" s="57" t="s">
        <v>5572</v>
      </c>
      <c r="F4108" s="57">
        <v>2</v>
      </c>
      <c r="G4108" s="57" t="s">
        <v>5597</v>
      </c>
      <c r="H4108" s="57" t="s">
        <v>363</v>
      </c>
    </row>
    <row r="4109" spans="2:9" ht="13.5" customHeight="1">
      <c r="B4109" s="57" t="s">
        <v>5591</v>
      </c>
      <c r="D4109" s="57" t="s">
        <v>5592</v>
      </c>
      <c r="F4109" s="57">
        <v>2</v>
      </c>
      <c r="G4109" s="57" t="s">
        <v>5597</v>
      </c>
      <c r="H4109" s="57" t="s">
        <v>363</v>
      </c>
    </row>
    <row r="4110" spans="2:9" ht="13.5" customHeight="1">
      <c r="B4110" s="57" t="s">
        <v>5584</v>
      </c>
      <c r="D4110" s="57" t="s">
        <v>5585</v>
      </c>
      <c r="F4110" s="57">
        <v>2</v>
      </c>
      <c r="G4110" s="57" t="s">
        <v>5597</v>
      </c>
      <c r="H4110" s="57" t="s">
        <v>363</v>
      </c>
    </row>
    <row r="4111" spans="2:9" ht="13.5" customHeight="1">
      <c r="B4111" s="57" t="s">
        <v>5564</v>
      </c>
      <c r="D4111" s="57" t="s">
        <v>5565</v>
      </c>
      <c r="F4111" s="57">
        <v>3</v>
      </c>
      <c r="G4111" s="57" t="s">
        <v>5597</v>
      </c>
      <c r="H4111" s="57" t="s">
        <v>363</v>
      </c>
    </row>
    <row r="4112" spans="2:9" ht="13.5" customHeight="1">
      <c r="D4112" s="57" t="s">
        <v>5582</v>
      </c>
      <c r="F4112" s="57">
        <v>3</v>
      </c>
      <c r="G4112" s="57" t="s">
        <v>5597</v>
      </c>
      <c r="H4112" s="57" t="s">
        <v>363</v>
      </c>
      <c r="I4112" s="57" t="s">
        <v>5595</v>
      </c>
    </row>
    <row r="4113" spans="2:9" ht="13.5" customHeight="1">
      <c r="B4113" s="57" t="s">
        <v>5535</v>
      </c>
      <c r="D4113" s="57" t="s">
        <v>5536</v>
      </c>
      <c r="F4113" s="57">
        <v>4</v>
      </c>
      <c r="G4113" s="57" t="s">
        <v>5597</v>
      </c>
      <c r="H4113" s="57" t="s">
        <v>363</v>
      </c>
    </row>
    <row r="4114" spans="2:9" ht="13.5" customHeight="1">
      <c r="D4114" s="57" t="s">
        <v>5581</v>
      </c>
      <c r="F4114" s="57">
        <v>4</v>
      </c>
      <c r="G4114" s="57" t="s">
        <v>5597</v>
      </c>
      <c r="H4114" s="57" t="s">
        <v>363</v>
      </c>
      <c r="I4114" s="57" t="s">
        <v>5595</v>
      </c>
    </row>
    <row r="4115" spans="2:9" ht="13.5" customHeight="1">
      <c r="D4115" s="57" t="s">
        <v>5568</v>
      </c>
      <c r="F4115" s="57">
        <v>5</v>
      </c>
      <c r="G4115" s="57" t="s">
        <v>5597</v>
      </c>
      <c r="H4115" s="57" t="s">
        <v>363</v>
      </c>
      <c r="I4115" s="57" t="s">
        <v>5594</v>
      </c>
    </row>
    <row r="4116" spans="2:9" ht="13.5" customHeight="1">
      <c r="B4116" s="57" t="s">
        <v>5537</v>
      </c>
      <c r="D4116" s="57" t="s">
        <v>5538</v>
      </c>
      <c r="F4116" s="57">
        <v>5</v>
      </c>
      <c r="G4116" s="57" t="s">
        <v>5597</v>
      </c>
      <c r="H4116" s="57" t="s">
        <v>363</v>
      </c>
    </row>
    <row r="4117" spans="2:9" ht="13.5" customHeight="1">
      <c r="B4117" s="57" t="s">
        <v>5548</v>
      </c>
      <c r="D4117" s="57" t="s">
        <v>5549</v>
      </c>
      <c r="F4117" s="57">
        <v>5</v>
      </c>
      <c r="G4117" s="57" t="s">
        <v>5597</v>
      </c>
      <c r="H4117" s="57" t="s">
        <v>363</v>
      </c>
    </row>
    <row r="4118" spans="2:9" ht="13.5" customHeight="1">
      <c r="B4118" s="57" t="s">
        <v>5544</v>
      </c>
      <c r="D4118" s="57" t="s">
        <v>5545</v>
      </c>
      <c r="F4118" s="57">
        <v>5</v>
      </c>
      <c r="G4118" s="57" t="s">
        <v>5597</v>
      </c>
      <c r="H4118" s="57" t="s">
        <v>363</v>
      </c>
    </row>
    <row r="4119" spans="2:9" ht="13.5" customHeight="1">
      <c r="B4119" s="57" t="s">
        <v>5583</v>
      </c>
      <c r="D4119" s="57" t="s">
        <v>484</v>
      </c>
      <c r="F4119" s="57">
        <v>5</v>
      </c>
      <c r="G4119" s="57" t="s">
        <v>5597</v>
      </c>
      <c r="H4119" s="57" t="s">
        <v>363</v>
      </c>
    </row>
    <row r="4120" spans="2:9" ht="13.5" customHeight="1">
      <c r="B4120" s="57" t="s">
        <v>5570</v>
      </c>
      <c r="D4120" s="57" t="s">
        <v>4935</v>
      </c>
      <c r="F4120" s="57">
        <v>5</v>
      </c>
      <c r="G4120" s="57" t="s">
        <v>5597</v>
      </c>
      <c r="H4120" s="57" t="s">
        <v>363</v>
      </c>
    </row>
    <row r="4121" spans="2:9" ht="13.5" customHeight="1">
      <c r="B4121" s="57" t="s">
        <v>3050</v>
      </c>
      <c r="D4121" s="57" t="s">
        <v>5533</v>
      </c>
      <c r="F4121" s="57">
        <v>6</v>
      </c>
      <c r="G4121" s="57" t="s">
        <v>5597</v>
      </c>
      <c r="H4121" s="57" t="s">
        <v>363</v>
      </c>
    </row>
    <row r="4122" spans="2:9" ht="13.5" customHeight="1">
      <c r="B4122" s="57" t="s">
        <v>5546</v>
      </c>
      <c r="D4122" s="57" t="s">
        <v>5547</v>
      </c>
      <c r="F4122" s="57">
        <v>6</v>
      </c>
      <c r="G4122" s="57" t="s">
        <v>5597</v>
      </c>
      <c r="H4122" s="57" t="s">
        <v>363</v>
      </c>
    </row>
    <row r="4123" spans="2:9" ht="13.5" customHeight="1">
      <c r="B4123" s="57" t="s">
        <v>5558</v>
      </c>
      <c r="D4123" s="57" t="s">
        <v>5559</v>
      </c>
      <c r="F4123" s="57">
        <v>6</v>
      </c>
      <c r="G4123" s="57" t="s">
        <v>5597</v>
      </c>
      <c r="H4123" s="57" t="s">
        <v>363</v>
      </c>
    </row>
    <row r="4124" spans="2:9" ht="13.5" customHeight="1">
      <c r="B4124" s="57" t="s">
        <v>3884</v>
      </c>
      <c r="D4124" s="57" t="s">
        <v>3995</v>
      </c>
      <c r="F4124" s="57">
        <v>6</v>
      </c>
      <c r="G4124" s="57" t="s">
        <v>5597</v>
      </c>
      <c r="H4124" s="57" t="s">
        <v>363</v>
      </c>
    </row>
    <row r="4125" spans="2:9" ht="13.5" customHeight="1">
      <c r="B4125" s="57" t="s">
        <v>4122</v>
      </c>
      <c r="D4125" s="57" t="s">
        <v>5532</v>
      </c>
      <c r="F4125" s="57">
        <v>7</v>
      </c>
      <c r="G4125" s="57" t="s">
        <v>5597</v>
      </c>
      <c r="H4125" s="57" t="s">
        <v>363</v>
      </c>
    </row>
    <row r="4126" spans="2:9" ht="13.5" customHeight="1">
      <c r="D4126" s="57" t="s">
        <v>5563</v>
      </c>
      <c r="F4126" s="57">
        <v>7</v>
      </c>
      <c r="G4126" s="57" t="s">
        <v>5597</v>
      </c>
      <c r="H4126" s="57" t="s">
        <v>363</v>
      </c>
    </row>
    <row r="4127" spans="2:9" ht="13.5" customHeight="1">
      <c r="B4127" s="57" t="s">
        <v>5386</v>
      </c>
      <c r="D4127" s="57" t="s">
        <v>3090</v>
      </c>
      <c r="F4127" s="57">
        <v>8</v>
      </c>
      <c r="G4127" s="57" t="s">
        <v>5597</v>
      </c>
      <c r="H4127" s="57" t="s">
        <v>363</v>
      </c>
    </row>
    <row r="4128" spans="2:9" ht="13.5" customHeight="1">
      <c r="B4128" s="57" t="s">
        <v>5539</v>
      </c>
      <c r="D4128" s="57" t="s">
        <v>1102</v>
      </c>
      <c r="F4128" s="57">
        <v>8</v>
      </c>
      <c r="G4128" s="57" t="s">
        <v>5597</v>
      </c>
      <c r="H4128" s="57" t="s">
        <v>363</v>
      </c>
    </row>
    <row r="4129" spans="2:8" ht="13.5" customHeight="1">
      <c r="B4129" s="57" t="s">
        <v>5542</v>
      </c>
      <c r="D4129" s="57" t="s">
        <v>5543</v>
      </c>
      <c r="F4129" s="57">
        <v>8</v>
      </c>
      <c r="G4129" s="57" t="s">
        <v>5597</v>
      </c>
      <c r="H4129" s="57" t="s">
        <v>363</v>
      </c>
    </row>
    <row r="4130" spans="2:8" ht="13.5" customHeight="1">
      <c r="B4130" s="57" t="s">
        <v>5575</v>
      </c>
      <c r="D4130" s="57" t="s">
        <v>5576</v>
      </c>
      <c r="F4130" s="57">
        <v>8</v>
      </c>
      <c r="G4130" s="57" t="s">
        <v>5597</v>
      </c>
      <c r="H4130" s="57" t="s">
        <v>363</v>
      </c>
    </row>
    <row r="4131" spans="2:8" ht="13.5" customHeight="1">
      <c r="B4131" s="57" t="s">
        <v>5579</v>
      </c>
      <c r="D4131" s="57" t="s">
        <v>5579</v>
      </c>
      <c r="F4131" s="57">
        <v>8</v>
      </c>
      <c r="G4131" s="57" t="s">
        <v>5597</v>
      </c>
      <c r="H4131" s="57" t="s">
        <v>363</v>
      </c>
    </row>
    <row r="4132" spans="2:8" ht="13.5" customHeight="1">
      <c r="B4132" s="57" t="s">
        <v>376</v>
      </c>
      <c r="D4132" s="57" t="s">
        <v>5573</v>
      </c>
      <c r="F4132" s="57">
        <v>9</v>
      </c>
      <c r="G4132" s="57" t="s">
        <v>5597</v>
      </c>
      <c r="H4132" s="57" t="s">
        <v>363</v>
      </c>
    </row>
    <row r="4133" spans="2:8" ht="13.5" customHeight="1">
      <c r="B4133" s="57" t="s">
        <v>5566</v>
      </c>
      <c r="D4133" s="57" t="s">
        <v>5567</v>
      </c>
      <c r="F4133" s="57">
        <v>12</v>
      </c>
      <c r="G4133" s="57" t="s">
        <v>5597</v>
      </c>
      <c r="H4133" s="57" t="s">
        <v>363</v>
      </c>
    </row>
    <row r="4134" spans="2:8" ht="13.5" customHeight="1">
      <c r="B4134" s="57" t="s">
        <v>4003</v>
      </c>
      <c r="D4134" s="57" t="s">
        <v>5219</v>
      </c>
      <c r="F4134" s="57">
        <v>17</v>
      </c>
      <c r="G4134" s="57" t="s">
        <v>5597</v>
      </c>
      <c r="H4134" s="57" t="s">
        <v>363</v>
      </c>
    </row>
    <row r="4135" spans="2:8" ht="13.5" customHeight="1">
      <c r="B4135" s="57" t="s">
        <v>376</v>
      </c>
      <c r="D4135" s="57" t="s">
        <v>3086</v>
      </c>
      <c r="F4135" s="57">
        <v>20</v>
      </c>
      <c r="G4135" s="57" t="s">
        <v>5597</v>
      </c>
      <c r="H4135" s="57" t="s">
        <v>363</v>
      </c>
    </row>
    <row r="4136" spans="2:8" ht="13.5" customHeight="1">
      <c r="B4136" s="57" t="s">
        <v>5540</v>
      </c>
      <c r="D4136" s="57" t="s">
        <v>5541</v>
      </c>
      <c r="F4136" s="57">
        <v>21</v>
      </c>
      <c r="G4136" s="57" t="s">
        <v>5597</v>
      </c>
      <c r="H4136" s="57" t="s">
        <v>363</v>
      </c>
    </row>
    <row r="4137" spans="2:8" ht="13.5" customHeight="1">
      <c r="B4137" s="57" t="s">
        <v>3493</v>
      </c>
      <c r="D4137" s="57" t="s">
        <v>5216</v>
      </c>
      <c r="F4137" s="57">
        <v>21</v>
      </c>
      <c r="G4137" s="57" t="s">
        <v>5597</v>
      </c>
      <c r="H4137" s="57" t="s">
        <v>363</v>
      </c>
    </row>
    <row r="4138" spans="2:8" ht="13.5" customHeight="1">
      <c r="D4138" s="57" t="s">
        <v>5580</v>
      </c>
      <c r="F4138" s="57">
        <v>24</v>
      </c>
      <c r="G4138" s="57" t="s">
        <v>5597</v>
      </c>
      <c r="H4138" s="57" t="s">
        <v>363</v>
      </c>
    </row>
    <row r="4139" spans="2:8" ht="13.5" customHeight="1">
      <c r="B4139" s="57" t="s">
        <v>5574</v>
      </c>
      <c r="D4139" s="57" t="s">
        <v>4654</v>
      </c>
      <c r="F4139" s="57">
        <v>80</v>
      </c>
      <c r="G4139" s="57" t="s">
        <v>5597</v>
      </c>
      <c r="H4139" s="57" t="s">
        <v>363</v>
      </c>
    </row>
    <row r="4140" spans="2:8" ht="13.5" customHeight="1">
      <c r="B4140" s="57" t="s">
        <v>5554</v>
      </c>
      <c r="D4140" s="57" t="s">
        <v>5555</v>
      </c>
      <c r="F4140" s="57">
        <v>95</v>
      </c>
      <c r="G4140" s="57" t="s">
        <v>5597</v>
      </c>
      <c r="H4140" s="57" t="s">
        <v>363</v>
      </c>
    </row>
    <row r="4141" spans="2:8" ht="13.5" customHeight="1">
      <c r="B4141" s="140" t="s">
        <v>466</v>
      </c>
      <c r="D4141" s="140" t="s">
        <v>8529</v>
      </c>
      <c r="F4141" s="76">
        <v>401</v>
      </c>
      <c r="G4141" s="57" t="s">
        <v>5764</v>
      </c>
      <c r="H4141" s="106" t="s">
        <v>8530</v>
      </c>
    </row>
    <row r="4142" spans="2:8" ht="13.5" customHeight="1">
      <c r="B4142" s="140" t="s">
        <v>8690</v>
      </c>
      <c r="C4142" s="140"/>
      <c r="D4142" s="140" t="s">
        <v>8691</v>
      </c>
      <c r="F4142" s="57">
        <v>3</v>
      </c>
      <c r="G4142" s="57" t="s">
        <v>5764</v>
      </c>
      <c r="H4142" s="57" t="s">
        <v>1116</v>
      </c>
    </row>
    <row r="4143" spans="2:8" ht="13.5" customHeight="1">
      <c r="B4143" s="57" t="s">
        <v>5600</v>
      </c>
      <c r="D4143" s="57" t="s">
        <v>5601</v>
      </c>
      <c r="F4143" s="57">
        <v>758</v>
      </c>
      <c r="G4143" s="57" t="s">
        <v>5764</v>
      </c>
      <c r="H4143" s="57" t="s">
        <v>1116</v>
      </c>
    </row>
    <row r="4144" spans="2:8" ht="13.5" customHeight="1">
      <c r="B4144" s="57" t="s">
        <v>5696</v>
      </c>
      <c r="D4144" s="57" t="s">
        <v>5697</v>
      </c>
      <c r="F4144" s="57">
        <v>2</v>
      </c>
      <c r="G4144" s="57" t="s">
        <v>5764</v>
      </c>
      <c r="H4144" s="57" t="s">
        <v>343</v>
      </c>
    </row>
    <row r="4145" spans="2:8" ht="13.5" customHeight="1">
      <c r="B4145" s="57" t="s">
        <v>891</v>
      </c>
      <c r="D4145" s="57" t="s">
        <v>892</v>
      </c>
      <c r="F4145" s="57">
        <v>10</v>
      </c>
      <c r="G4145" s="57" t="s">
        <v>5764</v>
      </c>
      <c r="H4145" s="57" t="s">
        <v>343</v>
      </c>
    </row>
    <row r="4146" spans="2:8" ht="13.5" customHeight="1">
      <c r="B4146" s="57" t="s">
        <v>4350</v>
      </c>
      <c r="D4146" s="57" t="s">
        <v>4662</v>
      </c>
      <c r="F4146" s="57">
        <v>14</v>
      </c>
      <c r="G4146" s="57" t="s">
        <v>5764</v>
      </c>
      <c r="H4146" s="57" t="s">
        <v>343</v>
      </c>
    </row>
    <row r="4147" spans="2:8" ht="13.5" customHeight="1">
      <c r="B4147" s="57" t="s">
        <v>5662</v>
      </c>
      <c r="D4147" s="57" t="s">
        <v>5663</v>
      </c>
      <c r="F4147" s="57">
        <v>15</v>
      </c>
      <c r="G4147" s="57" t="s">
        <v>5764</v>
      </c>
      <c r="H4147" s="57" t="s">
        <v>343</v>
      </c>
    </row>
    <row r="4148" spans="2:8" ht="13.5" customHeight="1">
      <c r="B4148" s="57" t="s">
        <v>5695</v>
      </c>
      <c r="D4148" s="57" t="s">
        <v>5695</v>
      </c>
      <c r="F4148" s="57">
        <v>15</v>
      </c>
      <c r="G4148" s="57" t="s">
        <v>5764</v>
      </c>
      <c r="H4148" s="57" t="s">
        <v>343</v>
      </c>
    </row>
    <row r="4149" spans="2:8" ht="13.5" customHeight="1">
      <c r="B4149" s="57" t="s">
        <v>5660</v>
      </c>
      <c r="D4149" s="57" t="s">
        <v>5661</v>
      </c>
      <c r="F4149" s="57">
        <v>20</v>
      </c>
      <c r="G4149" s="57" t="s">
        <v>5764</v>
      </c>
      <c r="H4149" s="57" t="s">
        <v>343</v>
      </c>
    </row>
    <row r="4150" spans="2:8" ht="13.5" customHeight="1">
      <c r="B4150" s="57" t="s">
        <v>5618</v>
      </c>
      <c r="D4150" s="57" t="s">
        <v>5619</v>
      </c>
      <c r="F4150" s="57">
        <v>20</v>
      </c>
      <c r="G4150" s="57" t="s">
        <v>5764</v>
      </c>
      <c r="H4150" s="57" t="s">
        <v>343</v>
      </c>
    </row>
    <row r="4151" spans="2:8" ht="13.5" customHeight="1">
      <c r="B4151" s="57" t="s">
        <v>3590</v>
      </c>
      <c r="D4151" s="57" t="s">
        <v>5285</v>
      </c>
      <c r="F4151" s="57">
        <v>24</v>
      </c>
      <c r="G4151" s="57" t="s">
        <v>5764</v>
      </c>
      <c r="H4151" s="57" t="s">
        <v>343</v>
      </c>
    </row>
    <row r="4152" spans="2:8" ht="13.5" customHeight="1">
      <c r="B4152" s="57" t="s">
        <v>4420</v>
      </c>
      <c r="D4152" s="57" t="s">
        <v>5658</v>
      </c>
      <c r="F4152" s="57">
        <v>34</v>
      </c>
      <c r="G4152" s="57" t="s">
        <v>5764</v>
      </c>
      <c r="H4152" s="57" t="s">
        <v>343</v>
      </c>
    </row>
    <row r="4153" spans="2:8" ht="13.5" customHeight="1">
      <c r="B4153" s="57" t="s">
        <v>376</v>
      </c>
      <c r="D4153" s="57" t="s">
        <v>1424</v>
      </c>
      <c r="F4153" s="57">
        <v>48</v>
      </c>
      <c r="G4153" s="57" t="s">
        <v>5764</v>
      </c>
      <c r="H4153" s="57" t="s">
        <v>343</v>
      </c>
    </row>
    <row r="4154" spans="2:8" ht="13.5" customHeight="1">
      <c r="B4154" s="57" t="s">
        <v>5665</v>
      </c>
      <c r="D4154" s="57" t="s">
        <v>5666</v>
      </c>
      <c r="F4154" s="57">
        <v>86</v>
      </c>
      <c r="G4154" s="57" t="s">
        <v>5764</v>
      </c>
      <c r="H4154" s="57" t="s">
        <v>343</v>
      </c>
    </row>
    <row r="4155" spans="2:8" ht="13.5" customHeight="1">
      <c r="B4155" s="57" t="s">
        <v>3404</v>
      </c>
      <c r="D4155" s="57" t="s">
        <v>5667</v>
      </c>
      <c r="F4155" s="57">
        <v>88</v>
      </c>
      <c r="G4155" s="57" t="s">
        <v>5764</v>
      </c>
      <c r="H4155" s="57" t="s">
        <v>343</v>
      </c>
    </row>
    <row r="4156" spans="2:8" ht="13.5" customHeight="1">
      <c r="B4156" s="57" t="s">
        <v>4486</v>
      </c>
      <c r="D4156" s="57" t="s">
        <v>5659</v>
      </c>
      <c r="F4156" s="57">
        <v>88</v>
      </c>
      <c r="G4156" s="57" t="s">
        <v>5764</v>
      </c>
      <c r="H4156" s="57" t="s">
        <v>343</v>
      </c>
    </row>
    <row r="4157" spans="2:8" ht="13.5" customHeight="1">
      <c r="D4157" s="57" t="s">
        <v>5759</v>
      </c>
      <c r="F4157" s="57">
        <v>202</v>
      </c>
      <c r="G4157" s="57" t="s">
        <v>5764</v>
      </c>
      <c r="H4157" s="57" t="s">
        <v>343</v>
      </c>
    </row>
    <row r="4158" spans="2:8" ht="13.5" customHeight="1">
      <c r="B4158" s="57" t="s">
        <v>5711</v>
      </c>
      <c r="D4158" s="57" t="s">
        <v>5711</v>
      </c>
      <c r="F4158" s="57">
        <v>250</v>
      </c>
      <c r="G4158" s="57" t="s">
        <v>5764</v>
      </c>
      <c r="H4158" s="57" t="s">
        <v>343</v>
      </c>
    </row>
    <row r="4159" spans="2:8" ht="13.5" customHeight="1">
      <c r="B4159" s="57" t="s">
        <v>5712</v>
      </c>
      <c r="D4159" s="57" t="s">
        <v>5713</v>
      </c>
      <c r="F4159" s="57">
        <v>250</v>
      </c>
      <c r="G4159" s="57" t="s">
        <v>5764</v>
      </c>
      <c r="H4159" s="57" t="s">
        <v>343</v>
      </c>
    </row>
    <row r="4160" spans="2:8" ht="13.5" customHeight="1">
      <c r="B4160" s="57" t="s">
        <v>265</v>
      </c>
      <c r="D4160" s="57" t="s">
        <v>266</v>
      </c>
      <c r="F4160" s="57">
        <v>4</v>
      </c>
      <c r="G4160" s="57" t="s">
        <v>5764</v>
      </c>
      <c r="H4160" s="57" t="s">
        <v>344</v>
      </c>
    </row>
    <row r="4161" spans="2:8" ht="13.5" customHeight="1">
      <c r="D4161" s="57" t="s">
        <v>5673</v>
      </c>
      <c r="F4161" s="57">
        <v>6</v>
      </c>
      <c r="G4161" s="57" t="s">
        <v>5764</v>
      </c>
      <c r="H4161" s="57" t="s">
        <v>344</v>
      </c>
    </row>
    <row r="4162" spans="2:8" ht="13.5" customHeight="1">
      <c r="B4162" s="57" t="s">
        <v>5598</v>
      </c>
      <c r="D4162" s="57" t="s">
        <v>5599</v>
      </c>
      <c r="F4162" s="57">
        <v>16</v>
      </c>
      <c r="G4162" s="57" t="s">
        <v>5764</v>
      </c>
      <c r="H4162" s="57" t="s">
        <v>344</v>
      </c>
    </row>
    <row r="4163" spans="2:8" ht="13.5" customHeight="1">
      <c r="B4163" s="57" t="s">
        <v>5622</v>
      </c>
      <c r="D4163" s="57" t="s">
        <v>5623</v>
      </c>
      <c r="F4163" s="57">
        <v>20</v>
      </c>
      <c r="G4163" s="57" t="s">
        <v>5764</v>
      </c>
      <c r="H4163" s="57" t="s">
        <v>344</v>
      </c>
    </row>
    <row r="4164" spans="2:8" ht="13.5" customHeight="1">
      <c r="D4164" s="57" t="s">
        <v>5634</v>
      </c>
      <c r="F4164" s="57">
        <v>30</v>
      </c>
      <c r="G4164" s="57" t="s">
        <v>5764</v>
      </c>
      <c r="H4164" s="57" t="s">
        <v>344</v>
      </c>
    </row>
    <row r="4165" spans="2:8" ht="13.5" customHeight="1">
      <c r="D4165" s="57" t="s">
        <v>5632</v>
      </c>
      <c r="F4165" s="57">
        <v>32</v>
      </c>
      <c r="G4165" s="57" t="s">
        <v>5764</v>
      </c>
      <c r="H4165" s="57" t="s">
        <v>344</v>
      </c>
    </row>
    <row r="4166" spans="2:8" ht="13.5" customHeight="1">
      <c r="B4166" s="57" t="s">
        <v>5617</v>
      </c>
      <c r="D4166" s="57" t="s">
        <v>4935</v>
      </c>
      <c r="F4166" s="57">
        <v>35</v>
      </c>
      <c r="G4166" s="57" t="s">
        <v>5764</v>
      </c>
      <c r="H4166" s="57" t="s">
        <v>344</v>
      </c>
    </row>
    <row r="4167" spans="2:8" ht="13.5" customHeight="1">
      <c r="B4167" s="57" t="s">
        <v>5600</v>
      </c>
      <c r="D4167" s="57" t="s">
        <v>5601</v>
      </c>
      <c r="F4167" s="57">
        <v>50</v>
      </c>
      <c r="G4167" s="57" t="s">
        <v>5764</v>
      </c>
      <c r="H4167" s="57" t="s">
        <v>344</v>
      </c>
    </row>
    <row r="4168" spans="2:8" ht="13.5" customHeight="1">
      <c r="B4168" s="57" t="s">
        <v>5668</v>
      </c>
      <c r="D4168" s="57" t="s">
        <v>5669</v>
      </c>
      <c r="F4168" s="57">
        <v>83</v>
      </c>
      <c r="G4168" s="57" t="s">
        <v>5764</v>
      </c>
      <c r="H4168" s="57" t="s">
        <v>344</v>
      </c>
    </row>
    <row r="4169" spans="2:8" ht="13.5" customHeight="1">
      <c r="B4169" s="57" t="s">
        <v>5604</v>
      </c>
      <c r="D4169" s="57" t="s">
        <v>5605</v>
      </c>
      <c r="E4169" s="57" t="s">
        <v>5606</v>
      </c>
      <c r="F4169" s="57">
        <v>147</v>
      </c>
      <c r="G4169" s="57" t="s">
        <v>5764</v>
      </c>
      <c r="H4169" s="57" t="s">
        <v>344</v>
      </c>
    </row>
    <row r="4170" spans="2:8" ht="13.5" customHeight="1">
      <c r="D4170" s="57" t="s">
        <v>5621</v>
      </c>
      <c r="F4170" s="57">
        <v>188</v>
      </c>
      <c r="G4170" s="57" t="s">
        <v>5764</v>
      </c>
      <c r="H4170" s="57" t="s">
        <v>344</v>
      </c>
    </row>
    <row r="4171" spans="2:8" ht="13.5" customHeight="1">
      <c r="B4171" s="57" t="s">
        <v>5630</v>
      </c>
      <c r="D4171" s="57" t="s">
        <v>5631</v>
      </c>
      <c r="F4171" s="57">
        <v>189</v>
      </c>
      <c r="G4171" s="57" t="s">
        <v>5764</v>
      </c>
      <c r="H4171" s="57" t="s">
        <v>344</v>
      </c>
    </row>
    <row r="4172" spans="2:8" ht="13.5" customHeight="1">
      <c r="B4172" s="57" t="s">
        <v>5620</v>
      </c>
      <c r="D4172" s="57" t="s">
        <v>2027</v>
      </c>
      <c r="F4172" s="57">
        <v>514</v>
      </c>
      <c r="G4172" s="57" t="s">
        <v>5764</v>
      </c>
      <c r="H4172" s="57" t="s">
        <v>344</v>
      </c>
    </row>
    <row r="4173" spans="2:8" ht="13.5" customHeight="1">
      <c r="B4173" s="57" t="s">
        <v>5602</v>
      </c>
      <c r="D4173" s="57" t="s">
        <v>3688</v>
      </c>
      <c r="F4173" s="57">
        <v>1</v>
      </c>
      <c r="G4173" s="57" t="s">
        <v>5764</v>
      </c>
      <c r="H4173" s="57" t="s">
        <v>345</v>
      </c>
    </row>
    <row r="4174" spans="2:8" ht="13.5" customHeight="1">
      <c r="B4174" s="152" t="s">
        <v>8714</v>
      </c>
      <c r="D4174" s="152" t="s">
        <v>8715</v>
      </c>
      <c r="F4174" s="76">
        <v>1</v>
      </c>
      <c r="G4174" s="57" t="s">
        <v>5764</v>
      </c>
      <c r="H4174" s="57" t="s">
        <v>345</v>
      </c>
    </row>
    <row r="4175" spans="2:8" ht="13.5" customHeight="1">
      <c r="B4175" s="57" t="s">
        <v>5676</v>
      </c>
      <c r="D4175" s="57" t="s">
        <v>5677</v>
      </c>
      <c r="F4175" s="57">
        <v>2</v>
      </c>
      <c r="G4175" s="57" t="s">
        <v>5764</v>
      </c>
      <c r="H4175" s="57" t="s">
        <v>345</v>
      </c>
    </row>
    <row r="4176" spans="2:8" ht="13.5" customHeight="1">
      <c r="B4176" s="57" t="s">
        <v>5685</v>
      </c>
      <c r="D4176" s="57" t="s">
        <v>5686</v>
      </c>
      <c r="F4176" s="57">
        <v>2</v>
      </c>
      <c r="G4176" s="57" t="s">
        <v>5764</v>
      </c>
      <c r="H4176" s="57" t="s">
        <v>345</v>
      </c>
    </row>
    <row r="4177" spans="2:8" ht="13.5" customHeight="1">
      <c r="B4177" s="152" t="s">
        <v>8712</v>
      </c>
      <c r="D4177" s="152" t="s">
        <v>8713</v>
      </c>
      <c r="F4177" s="76">
        <v>2</v>
      </c>
      <c r="G4177" s="57" t="s">
        <v>5764</v>
      </c>
      <c r="H4177" s="57" t="s">
        <v>345</v>
      </c>
    </row>
    <row r="4178" spans="2:8" ht="13.5" customHeight="1">
      <c r="B4178" s="57" t="s">
        <v>3686</v>
      </c>
      <c r="D4178" s="57" t="s">
        <v>3687</v>
      </c>
      <c r="F4178" s="57">
        <v>3</v>
      </c>
      <c r="G4178" s="57" t="s">
        <v>5764</v>
      </c>
      <c r="H4178" s="57" t="s">
        <v>345</v>
      </c>
    </row>
    <row r="4179" spans="2:8" ht="13.5" customHeight="1">
      <c r="B4179" s="165" t="s">
        <v>8675</v>
      </c>
      <c r="C4179" s="165"/>
      <c r="D4179" s="165" t="s">
        <v>8675</v>
      </c>
      <c r="F4179" s="57">
        <v>3</v>
      </c>
      <c r="G4179" s="57" t="s">
        <v>5764</v>
      </c>
      <c r="H4179" s="57" t="s">
        <v>345</v>
      </c>
    </row>
    <row r="4180" spans="2:8" ht="13.5" customHeight="1">
      <c r="B4180" s="140" t="s">
        <v>8676</v>
      </c>
      <c r="C4180" s="165"/>
      <c r="D4180" s="165" t="s">
        <v>8364</v>
      </c>
      <c r="F4180" s="57">
        <v>3</v>
      </c>
      <c r="G4180" s="57" t="s">
        <v>5764</v>
      </c>
      <c r="H4180" s="57" t="s">
        <v>345</v>
      </c>
    </row>
    <row r="4181" spans="2:8" ht="13.5" customHeight="1">
      <c r="B4181" s="140" t="s">
        <v>8677</v>
      </c>
      <c r="C4181" s="140"/>
      <c r="D4181" s="140" t="s">
        <v>8677</v>
      </c>
      <c r="F4181" s="57">
        <v>3</v>
      </c>
      <c r="G4181" s="57" t="s">
        <v>5764</v>
      </c>
      <c r="H4181" s="57" t="s">
        <v>345</v>
      </c>
    </row>
    <row r="4182" spans="2:8" ht="13.5" customHeight="1">
      <c r="B4182" s="140" t="s">
        <v>515</v>
      </c>
      <c r="C4182" s="140"/>
      <c r="D4182" s="140" t="s">
        <v>516</v>
      </c>
      <c r="F4182" s="57">
        <v>3</v>
      </c>
      <c r="G4182" s="57" t="s">
        <v>5764</v>
      </c>
      <c r="H4182" s="57" t="s">
        <v>345</v>
      </c>
    </row>
    <row r="4183" spans="2:8" ht="13.5" customHeight="1">
      <c r="B4183" s="140" t="s">
        <v>8697</v>
      </c>
      <c r="D4183" s="140" t="s">
        <v>8698</v>
      </c>
      <c r="F4183" s="76">
        <v>3</v>
      </c>
      <c r="G4183" s="57" t="s">
        <v>5764</v>
      </c>
      <c r="H4183" s="119" t="s">
        <v>345</v>
      </c>
    </row>
    <row r="4184" spans="2:8" ht="13.5" customHeight="1">
      <c r="B4184" s="57" t="s">
        <v>5670</v>
      </c>
      <c r="D4184" s="57" t="s">
        <v>5671</v>
      </c>
      <c r="F4184" s="57">
        <v>4</v>
      </c>
      <c r="G4184" s="57" t="s">
        <v>5764</v>
      </c>
      <c r="H4184" s="57" t="s">
        <v>345</v>
      </c>
    </row>
    <row r="4185" spans="2:8" ht="13.5" customHeight="1">
      <c r="B4185" s="57" t="s">
        <v>239</v>
      </c>
      <c r="D4185" s="57" t="s">
        <v>240</v>
      </c>
      <c r="F4185" s="57">
        <v>4</v>
      </c>
      <c r="G4185" s="57" t="s">
        <v>5764</v>
      </c>
      <c r="H4185" s="57" t="s">
        <v>345</v>
      </c>
    </row>
    <row r="4186" spans="2:8" ht="13.5" customHeight="1">
      <c r="B4186" s="140" t="s">
        <v>8678</v>
      </c>
      <c r="C4186" s="140"/>
      <c r="D4186" s="140" t="s">
        <v>8678</v>
      </c>
      <c r="F4186" s="57">
        <v>4</v>
      </c>
      <c r="G4186" s="57" t="s">
        <v>5764</v>
      </c>
      <c r="H4186" s="57" t="s">
        <v>345</v>
      </c>
    </row>
    <row r="4187" spans="2:8" ht="13.5" customHeight="1">
      <c r="B4187" s="57" t="s">
        <v>5699</v>
      </c>
      <c r="D4187" s="57" t="s">
        <v>5700</v>
      </c>
      <c r="F4187" s="57">
        <v>5</v>
      </c>
      <c r="G4187" s="57" t="s">
        <v>5764</v>
      </c>
      <c r="H4187" s="57" t="s">
        <v>345</v>
      </c>
    </row>
    <row r="4188" spans="2:8" ht="13.5" customHeight="1">
      <c r="B4188" s="57" t="s">
        <v>5689</v>
      </c>
      <c r="D4188" s="57" t="s">
        <v>5690</v>
      </c>
      <c r="F4188" s="57">
        <v>5</v>
      </c>
      <c r="G4188" s="57" t="s">
        <v>5764</v>
      </c>
      <c r="H4188" s="57" t="s">
        <v>345</v>
      </c>
    </row>
    <row r="4189" spans="2:8" ht="13.5" customHeight="1">
      <c r="B4189" s="76" t="s">
        <v>8947</v>
      </c>
      <c r="D4189" s="57" t="s">
        <v>5629</v>
      </c>
      <c r="F4189" s="57">
        <v>5</v>
      </c>
      <c r="G4189" s="57" t="s">
        <v>5764</v>
      </c>
      <c r="H4189" s="57" t="s">
        <v>345</v>
      </c>
    </row>
    <row r="4190" spans="2:8" ht="13.5" customHeight="1">
      <c r="B4190" s="140" t="s">
        <v>8699</v>
      </c>
      <c r="D4190" s="140" t="s">
        <v>8700</v>
      </c>
      <c r="F4190" s="57">
        <v>6</v>
      </c>
      <c r="G4190" s="57" t="s">
        <v>5764</v>
      </c>
      <c r="H4190" s="57" t="s">
        <v>345</v>
      </c>
    </row>
    <row r="4191" spans="2:8" ht="13.5" customHeight="1">
      <c r="B4191" s="140" t="s">
        <v>8682</v>
      </c>
      <c r="C4191" s="140"/>
      <c r="D4191" s="140" t="s">
        <v>8682</v>
      </c>
      <c r="F4191" s="57">
        <v>7</v>
      </c>
      <c r="G4191" s="57" t="s">
        <v>5764</v>
      </c>
      <c r="H4191" s="57" t="s">
        <v>345</v>
      </c>
    </row>
    <row r="4192" spans="2:8" ht="13.5" customHeight="1">
      <c r="B4192" s="57" t="s">
        <v>5678</v>
      </c>
      <c r="D4192" s="57" t="s">
        <v>5679</v>
      </c>
      <c r="F4192" s="57">
        <v>8</v>
      </c>
      <c r="G4192" s="57" t="s">
        <v>5764</v>
      </c>
      <c r="H4192" s="57" t="s">
        <v>345</v>
      </c>
    </row>
    <row r="4193" spans="2:8" ht="13.5" customHeight="1">
      <c r="B4193" s="140" t="s">
        <v>8680</v>
      </c>
      <c r="C4193" s="140"/>
      <c r="D4193" s="140" t="s">
        <v>8680</v>
      </c>
      <c r="F4193" s="57">
        <v>8</v>
      </c>
      <c r="G4193" s="57" t="s">
        <v>5764</v>
      </c>
      <c r="H4193" s="57" t="s">
        <v>345</v>
      </c>
    </row>
    <row r="4194" spans="2:8" ht="13.5" customHeight="1">
      <c r="B4194" s="140" t="s">
        <v>8684</v>
      </c>
      <c r="C4194" s="140"/>
      <c r="D4194" s="140" t="s">
        <v>8685</v>
      </c>
      <c r="F4194" s="57">
        <v>8</v>
      </c>
      <c r="G4194" s="57" t="s">
        <v>5764</v>
      </c>
      <c r="H4194" s="57" t="s">
        <v>345</v>
      </c>
    </row>
    <row r="4195" spans="2:8" ht="13.5" customHeight="1">
      <c r="B4195" s="140" t="s">
        <v>8686</v>
      </c>
      <c r="C4195" s="165"/>
      <c r="D4195" s="165" t="s">
        <v>8687</v>
      </c>
      <c r="F4195" s="57">
        <v>8</v>
      </c>
      <c r="G4195" s="57" t="s">
        <v>5764</v>
      </c>
      <c r="H4195" s="57" t="s">
        <v>345</v>
      </c>
    </row>
    <row r="4196" spans="2:8" ht="13.5" customHeight="1">
      <c r="B4196" s="140" t="s">
        <v>8710</v>
      </c>
      <c r="C4196" s="140"/>
      <c r="D4196" s="140" t="s">
        <v>8711</v>
      </c>
      <c r="F4196" s="57">
        <v>8</v>
      </c>
      <c r="G4196" s="57" t="s">
        <v>5764</v>
      </c>
      <c r="H4196" s="57" t="s">
        <v>345</v>
      </c>
    </row>
    <row r="4197" spans="2:8" ht="13.5" customHeight="1">
      <c r="B4197" s="57" t="s">
        <v>5701</v>
      </c>
      <c r="D4197" s="57" t="s">
        <v>5702</v>
      </c>
      <c r="F4197" s="57">
        <v>9</v>
      </c>
      <c r="G4197" s="57" t="s">
        <v>5764</v>
      </c>
      <c r="H4197" s="57" t="s">
        <v>345</v>
      </c>
    </row>
    <row r="4198" spans="2:8" ht="13.5" customHeight="1">
      <c r="B4198" s="57" t="s">
        <v>5703</v>
      </c>
      <c r="D4198" s="57" t="s">
        <v>5704</v>
      </c>
      <c r="F4198" s="57">
        <v>10</v>
      </c>
      <c r="G4198" s="57" t="s">
        <v>5764</v>
      </c>
      <c r="H4198" s="57" t="s">
        <v>345</v>
      </c>
    </row>
    <row r="4199" spans="2:8" ht="13.5" customHeight="1">
      <c r="B4199" s="140" t="s">
        <v>6804</v>
      </c>
      <c r="C4199" s="175"/>
      <c r="D4199" s="175" t="s">
        <v>5167</v>
      </c>
      <c r="F4199" s="57">
        <v>10</v>
      </c>
      <c r="G4199" s="57" t="s">
        <v>5764</v>
      </c>
      <c r="H4199" s="57" t="s">
        <v>345</v>
      </c>
    </row>
    <row r="4200" spans="2:8" ht="13.5" customHeight="1">
      <c r="B4200" s="57" t="s">
        <v>5674</v>
      </c>
      <c r="D4200" s="57" t="s">
        <v>5675</v>
      </c>
      <c r="F4200" s="57">
        <v>21</v>
      </c>
      <c r="G4200" s="57" t="s">
        <v>5764</v>
      </c>
      <c r="H4200" s="57" t="s">
        <v>345</v>
      </c>
    </row>
    <row r="4201" spans="2:8" ht="13.5" customHeight="1">
      <c r="B4201" s="140" t="s">
        <v>8683</v>
      </c>
      <c r="C4201" s="140"/>
      <c r="D4201" s="140" t="s">
        <v>8683</v>
      </c>
      <c r="F4201" s="57">
        <v>26</v>
      </c>
      <c r="G4201" s="57" t="s">
        <v>5764</v>
      </c>
      <c r="H4201" s="57" t="s">
        <v>345</v>
      </c>
    </row>
    <row r="4202" spans="2:8" ht="13.5" customHeight="1">
      <c r="B4202" s="57" t="s">
        <v>269</v>
      </c>
      <c r="D4202" s="57" t="s">
        <v>2051</v>
      </c>
      <c r="F4202" s="57">
        <v>33</v>
      </c>
      <c r="G4202" s="57" t="s">
        <v>5764</v>
      </c>
      <c r="H4202" s="57" t="s">
        <v>345</v>
      </c>
    </row>
    <row r="4203" spans="2:8" ht="13.5" customHeight="1">
      <c r="B4203" s="57" t="s">
        <v>5607</v>
      </c>
      <c r="D4203" s="57" t="s">
        <v>5608</v>
      </c>
      <c r="F4203" s="57">
        <v>40</v>
      </c>
      <c r="G4203" s="57" t="s">
        <v>5764</v>
      </c>
      <c r="H4203" s="57" t="s">
        <v>345</v>
      </c>
    </row>
    <row r="4204" spans="2:8" ht="13.5" customHeight="1">
      <c r="B4204" s="140" t="s">
        <v>8681</v>
      </c>
      <c r="C4204" s="140"/>
      <c r="D4204" s="140" t="s">
        <v>8681</v>
      </c>
      <c r="F4204" s="57">
        <v>42</v>
      </c>
      <c r="G4204" s="57" t="s">
        <v>5764</v>
      </c>
      <c r="H4204" s="57" t="s">
        <v>345</v>
      </c>
    </row>
    <row r="4205" spans="2:8" ht="13.5" customHeight="1">
      <c r="B4205" s="57" t="s">
        <v>5672</v>
      </c>
      <c r="D4205" s="57" t="s">
        <v>5673</v>
      </c>
      <c r="F4205" s="57">
        <v>50</v>
      </c>
      <c r="G4205" s="57" t="s">
        <v>5764</v>
      </c>
      <c r="H4205" s="57" t="s">
        <v>345</v>
      </c>
    </row>
    <row r="4206" spans="2:8" ht="13.5" customHeight="1">
      <c r="B4206" s="57" t="s">
        <v>5708</v>
      </c>
      <c r="D4206" s="57" t="s">
        <v>5708</v>
      </c>
      <c r="F4206" s="57">
        <v>50</v>
      </c>
      <c r="G4206" s="57" t="s">
        <v>5764</v>
      </c>
      <c r="H4206" s="57" t="s">
        <v>345</v>
      </c>
    </row>
    <row r="4207" spans="2:8" ht="13.5" customHeight="1">
      <c r="B4207" s="140" t="s">
        <v>8679</v>
      </c>
      <c r="C4207" s="140"/>
      <c r="D4207" s="140" t="s">
        <v>8679</v>
      </c>
      <c r="F4207" s="57">
        <v>52</v>
      </c>
      <c r="G4207" s="57" t="s">
        <v>5764</v>
      </c>
      <c r="H4207" s="57" t="s">
        <v>345</v>
      </c>
    </row>
    <row r="4208" spans="2:8" ht="13.5" customHeight="1">
      <c r="B4208" s="57" t="s">
        <v>5682</v>
      </c>
      <c r="D4208" s="57" t="s">
        <v>5683</v>
      </c>
      <c r="F4208" s="57">
        <v>79</v>
      </c>
      <c r="G4208" s="57" t="s">
        <v>5764</v>
      </c>
      <c r="H4208" s="57" t="s">
        <v>345</v>
      </c>
    </row>
    <row r="4209" spans="2:8" ht="13.5" customHeight="1">
      <c r="B4209" s="140" t="s">
        <v>7083</v>
      </c>
      <c r="D4209" s="140" t="s">
        <v>7084</v>
      </c>
      <c r="F4209" s="76">
        <v>84</v>
      </c>
      <c r="G4209" s="57" t="s">
        <v>5764</v>
      </c>
      <c r="H4209" s="119" t="s">
        <v>345</v>
      </c>
    </row>
    <row r="4210" spans="2:8" ht="13.5" customHeight="1">
      <c r="B4210" s="57" t="s">
        <v>5680</v>
      </c>
      <c r="D4210" s="57" t="s">
        <v>5681</v>
      </c>
      <c r="F4210" s="57">
        <v>88</v>
      </c>
      <c r="G4210" s="57" t="s">
        <v>5764</v>
      </c>
      <c r="H4210" s="57" t="s">
        <v>345</v>
      </c>
    </row>
    <row r="4211" spans="2:8" ht="13.5" customHeight="1">
      <c r="B4211" s="57" t="s">
        <v>5640</v>
      </c>
      <c r="D4211" s="57" t="s">
        <v>5641</v>
      </c>
      <c r="F4211" s="57">
        <v>91</v>
      </c>
      <c r="G4211" s="57" t="s">
        <v>5764</v>
      </c>
      <c r="H4211" s="57" t="s">
        <v>345</v>
      </c>
    </row>
    <row r="4212" spans="2:8" ht="13.5" customHeight="1">
      <c r="B4212" s="57" t="s">
        <v>5705</v>
      </c>
      <c r="D4212" s="57" t="s">
        <v>5705</v>
      </c>
      <c r="F4212" s="57">
        <v>2386</v>
      </c>
      <c r="G4212" s="57" t="s">
        <v>5764</v>
      </c>
      <c r="H4212" s="57" t="s">
        <v>345</v>
      </c>
    </row>
    <row r="4213" spans="2:8" ht="13.5" customHeight="1">
      <c r="D4213" s="57" t="s">
        <v>5650</v>
      </c>
      <c r="F4213" s="57">
        <v>1</v>
      </c>
      <c r="G4213" s="57" t="s">
        <v>5764</v>
      </c>
      <c r="H4213" s="57" t="s">
        <v>919</v>
      </c>
    </row>
    <row r="4214" spans="2:8" ht="13.5" customHeight="1">
      <c r="B4214" s="57" t="s">
        <v>5698</v>
      </c>
      <c r="D4214" s="57" t="s">
        <v>5698</v>
      </c>
      <c r="F4214" s="57">
        <v>1</v>
      </c>
      <c r="G4214" s="57" t="s">
        <v>5764</v>
      </c>
      <c r="H4214" s="57" t="s">
        <v>919</v>
      </c>
    </row>
    <row r="4215" spans="2:8" ht="13.5" customHeight="1">
      <c r="B4215" s="57" t="s">
        <v>5684</v>
      </c>
      <c r="D4215" s="57" t="s">
        <v>5684</v>
      </c>
      <c r="F4215" s="57">
        <v>4</v>
      </c>
      <c r="G4215" s="57" t="s">
        <v>5764</v>
      </c>
      <c r="H4215" s="57" t="s">
        <v>919</v>
      </c>
    </row>
    <row r="4216" spans="2:8" ht="13.5" customHeight="1">
      <c r="B4216" s="57" t="s">
        <v>466</v>
      </c>
      <c r="D4216" s="57" t="s">
        <v>5734</v>
      </c>
      <c r="F4216" s="57">
        <v>14</v>
      </c>
      <c r="G4216" s="57" t="s">
        <v>5764</v>
      </c>
      <c r="H4216" s="57" t="s">
        <v>919</v>
      </c>
    </row>
    <row r="4217" spans="2:8" ht="13.5" customHeight="1">
      <c r="D4217" s="57" t="s">
        <v>5628</v>
      </c>
      <c r="F4217" s="57">
        <v>63</v>
      </c>
      <c r="G4217" s="57" t="s">
        <v>5764</v>
      </c>
      <c r="H4217" s="57" t="s">
        <v>919</v>
      </c>
    </row>
    <row r="4218" spans="2:8" ht="13.5" customHeight="1">
      <c r="B4218" s="57" t="s">
        <v>5615</v>
      </c>
      <c r="D4218" s="57" t="s">
        <v>5616</v>
      </c>
      <c r="F4218" s="57">
        <v>136</v>
      </c>
      <c r="G4218" s="57" t="s">
        <v>5764</v>
      </c>
      <c r="H4218" s="57" t="s">
        <v>919</v>
      </c>
    </row>
    <row r="4219" spans="2:8" ht="13.5" customHeight="1">
      <c r="B4219" s="57" t="s">
        <v>5625</v>
      </c>
      <c r="D4219" s="57" t="s">
        <v>5626</v>
      </c>
      <c r="E4219" s="57" t="s">
        <v>5627</v>
      </c>
      <c r="F4219" s="57">
        <v>261</v>
      </c>
      <c r="G4219" s="57" t="s">
        <v>5764</v>
      </c>
      <c r="H4219" s="57" t="s">
        <v>919</v>
      </c>
    </row>
    <row r="4220" spans="2:8" ht="13.5" customHeight="1">
      <c r="B4220" s="57" t="s">
        <v>5716</v>
      </c>
      <c r="D4220" s="57" t="s">
        <v>5717</v>
      </c>
      <c r="F4220" s="57">
        <v>2</v>
      </c>
      <c r="G4220" s="57" t="s">
        <v>5764</v>
      </c>
      <c r="H4220" s="57" t="s">
        <v>918</v>
      </c>
    </row>
    <row r="4221" spans="2:8" ht="13.5" customHeight="1">
      <c r="B4221" s="57" t="s">
        <v>5733</v>
      </c>
      <c r="D4221" s="57" t="s">
        <v>5733</v>
      </c>
      <c r="F4221" s="57">
        <v>2</v>
      </c>
      <c r="G4221" s="57" t="s">
        <v>5764</v>
      </c>
      <c r="H4221" s="57" t="s">
        <v>918</v>
      </c>
    </row>
    <row r="4222" spans="2:8" ht="13.5" customHeight="1">
      <c r="B4222" s="57" t="s">
        <v>5723</v>
      </c>
      <c r="D4222" s="57" t="s">
        <v>5724</v>
      </c>
      <c r="F4222" s="57">
        <v>3</v>
      </c>
      <c r="G4222" s="57" t="s">
        <v>5764</v>
      </c>
      <c r="H4222" s="57" t="s">
        <v>918</v>
      </c>
    </row>
    <row r="4223" spans="2:8" ht="13.5" customHeight="1">
      <c r="B4223" s="57" t="s">
        <v>5719</v>
      </c>
      <c r="D4223" s="57" t="s">
        <v>5673</v>
      </c>
      <c r="F4223" s="57">
        <v>4</v>
      </c>
      <c r="G4223" s="57" t="s">
        <v>5764</v>
      </c>
      <c r="H4223" s="57" t="s">
        <v>918</v>
      </c>
    </row>
    <row r="4224" spans="2:8" ht="13.5" customHeight="1">
      <c r="B4224" s="57" t="s">
        <v>5534</v>
      </c>
      <c r="D4224" s="57" t="s">
        <v>5720</v>
      </c>
      <c r="F4224" s="57">
        <v>4</v>
      </c>
      <c r="G4224" s="57" t="s">
        <v>5764</v>
      </c>
      <c r="H4224" s="57" t="s">
        <v>918</v>
      </c>
    </row>
    <row r="4225" spans="2:8" ht="13.5" customHeight="1">
      <c r="B4225" s="57" t="s">
        <v>5685</v>
      </c>
      <c r="D4225" s="57" t="s">
        <v>5686</v>
      </c>
      <c r="F4225" s="57">
        <v>4</v>
      </c>
      <c r="G4225" s="57" t="s">
        <v>5764</v>
      </c>
      <c r="H4225" s="57" t="s">
        <v>918</v>
      </c>
    </row>
    <row r="4226" spans="2:8" ht="13.5" customHeight="1">
      <c r="B4226" s="57" t="s">
        <v>5731</v>
      </c>
      <c r="D4226" s="57" t="s">
        <v>5732</v>
      </c>
      <c r="F4226" s="57">
        <v>4</v>
      </c>
      <c r="G4226" s="57" t="s">
        <v>5764</v>
      </c>
      <c r="H4226" s="57" t="s">
        <v>918</v>
      </c>
    </row>
    <row r="4227" spans="2:8" ht="13.5" customHeight="1">
      <c r="B4227" s="57" t="s">
        <v>5727</v>
      </c>
      <c r="D4227" s="57" t="s">
        <v>5728</v>
      </c>
      <c r="F4227" s="57">
        <v>5</v>
      </c>
      <c r="G4227" s="57" t="s">
        <v>5764</v>
      </c>
      <c r="H4227" s="57" t="s">
        <v>918</v>
      </c>
    </row>
    <row r="4228" spans="2:8" ht="13.5" customHeight="1">
      <c r="B4228" s="148" t="s">
        <v>8521</v>
      </c>
      <c r="D4228" s="148" t="s">
        <v>8522</v>
      </c>
      <c r="F4228" s="76">
        <v>5</v>
      </c>
      <c r="G4228" s="57" t="s">
        <v>5764</v>
      </c>
      <c r="H4228" s="106" t="s">
        <v>918</v>
      </c>
    </row>
    <row r="4229" spans="2:8" ht="13.5" customHeight="1">
      <c r="B4229" s="148" t="s">
        <v>8527</v>
      </c>
      <c r="D4229" s="148" t="s">
        <v>8528</v>
      </c>
      <c r="F4229" s="76">
        <v>6</v>
      </c>
      <c r="G4229" s="57" t="s">
        <v>5764</v>
      </c>
      <c r="H4229" s="106" t="s">
        <v>918</v>
      </c>
    </row>
    <row r="4230" spans="2:8" ht="13.5" customHeight="1">
      <c r="B4230" s="57" t="s">
        <v>2027</v>
      </c>
      <c r="D4230" s="57" t="s">
        <v>2027</v>
      </c>
      <c r="F4230" s="57">
        <v>8</v>
      </c>
      <c r="G4230" s="57" t="s">
        <v>5764</v>
      </c>
      <c r="H4230" s="57" t="s">
        <v>918</v>
      </c>
    </row>
    <row r="4231" spans="2:8" ht="13.5" customHeight="1">
      <c r="B4231" s="57" t="s">
        <v>5721</v>
      </c>
      <c r="D4231" s="57" t="s">
        <v>5722</v>
      </c>
      <c r="F4231" s="57">
        <v>10</v>
      </c>
      <c r="G4231" s="57" t="s">
        <v>5764</v>
      </c>
      <c r="H4231" s="57" t="s">
        <v>918</v>
      </c>
    </row>
    <row r="4232" spans="2:8" ht="13.5" customHeight="1">
      <c r="B4232" s="148" t="s">
        <v>8520</v>
      </c>
      <c r="D4232" s="148" t="s">
        <v>6382</v>
      </c>
      <c r="F4232" s="76">
        <v>10</v>
      </c>
      <c r="G4232" s="57" t="s">
        <v>5764</v>
      </c>
      <c r="H4232" s="106" t="s">
        <v>918</v>
      </c>
    </row>
    <row r="4233" spans="2:8" ht="13.5" customHeight="1">
      <c r="B4233" s="57" t="s">
        <v>1447</v>
      </c>
      <c r="D4233" s="57" t="s">
        <v>5718</v>
      </c>
      <c r="F4233" s="57">
        <v>12</v>
      </c>
      <c r="G4233" s="57" t="s">
        <v>5764</v>
      </c>
      <c r="H4233" s="57" t="s">
        <v>918</v>
      </c>
    </row>
    <row r="4234" spans="2:8" ht="13.5" customHeight="1">
      <c r="B4234" s="57" t="s">
        <v>5714</v>
      </c>
      <c r="D4234" s="57" t="s">
        <v>5715</v>
      </c>
      <c r="F4234" s="57">
        <v>13</v>
      </c>
      <c r="G4234" s="57" t="s">
        <v>5764</v>
      </c>
      <c r="H4234" s="57" t="s">
        <v>918</v>
      </c>
    </row>
    <row r="4235" spans="2:8" ht="13.5" customHeight="1">
      <c r="B4235" s="57" t="s">
        <v>5729</v>
      </c>
      <c r="D4235" s="57" t="s">
        <v>5730</v>
      </c>
      <c r="F4235" s="57">
        <v>13</v>
      </c>
      <c r="G4235" s="57" t="s">
        <v>5764</v>
      </c>
      <c r="H4235" s="57" t="s">
        <v>918</v>
      </c>
    </row>
    <row r="4236" spans="2:8" ht="13.5" customHeight="1">
      <c r="B4236" s="170" t="s">
        <v>8044</v>
      </c>
      <c r="D4236" s="146" t="s">
        <v>8523</v>
      </c>
      <c r="F4236" s="76">
        <v>14</v>
      </c>
      <c r="G4236" s="57" t="s">
        <v>5764</v>
      </c>
      <c r="H4236" s="106" t="s">
        <v>918</v>
      </c>
    </row>
    <row r="4237" spans="2:8" ht="13.5" customHeight="1">
      <c r="B4237" s="166" t="s">
        <v>8524</v>
      </c>
      <c r="D4237" s="166" t="s">
        <v>8524</v>
      </c>
      <c r="F4237" s="76">
        <v>30</v>
      </c>
      <c r="G4237" s="57" t="s">
        <v>5764</v>
      </c>
      <c r="H4237" s="106" t="s">
        <v>918</v>
      </c>
    </row>
    <row r="4238" spans="2:8" ht="13.5" customHeight="1">
      <c r="B4238" s="57" t="s">
        <v>5735</v>
      </c>
      <c r="D4238" s="57" t="s">
        <v>5735</v>
      </c>
      <c r="F4238" s="57">
        <v>83</v>
      </c>
      <c r="G4238" s="57" t="s">
        <v>5764</v>
      </c>
      <c r="H4238" s="57" t="s">
        <v>918</v>
      </c>
    </row>
    <row r="4239" spans="2:8" ht="13.5" customHeight="1">
      <c r="B4239" s="57" t="s">
        <v>5725</v>
      </c>
      <c r="D4239" s="57" t="s">
        <v>5726</v>
      </c>
      <c r="F4239" s="57">
        <v>98</v>
      </c>
      <c r="G4239" s="57" t="s">
        <v>5764</v>
      </c>
      <c r="H4239" s="57" t="s">
        <v>918</v>
      </c>
    </row>
    <row r="4240" spans="2:8" ht="13.5" customHeight="1">
      <c r="B4240" s="146" t="s">
        <v>8525</v>
      </c>
      <c r="D4240" s="179" t="s">
        <v>8526</v>
      </c>
      <c r="F4240" s="76">
        <v>101</v>
      </c>
      <c r="G4240" s="57" t="s">
        <v>5764</v>
      </c>
      <c r="H4240" s="106" t="s">
        <v>918</v>
      </c>
    </row>
    <row r="4241" spans="2:9" ht="13.5" customHeight="1">
      <c r="B4241" s="148" t="s">
        <v>237</v>
      </c>
      <c r="D4241" s="148" t="s">
        <v>3090</v>
      </c>
      <c r="F4241" s="76">
        <v>295</v>
      </c>
      <c r="G4241" s="57" t="s">
        <v>5764</v>
      </c>
      <c r="H4241" s="106" t="s">
        <v>918</v>
      </c>
    </row>
    <row r="4242" spans="2:9" ht="13.5" customHeight="1">
      <c r="B4242" s="148" t="s">
        <v>8517</v>
      </c>
      <c r="D4242" s="195" t="s">
        <v>8518</v>
      </c>
      <c r="F4242" s="76">
        <v>1169</v>
      </c>
      <c r="G4242" s="57" t="s">
        <v>5764</v>
      </c>
      <c r="H4242" s="106" t="s">
        <v>918</v>
      </c>
    </row>
    <row r="4243" spans="2:9" ht="13.5" customHeight="1">
      <c r="D4243" s="57" t="s">
        <v>5753</v>
      </c>
      <c r="F4243" s="57">
        <v>1</v>
      </c>
      <c r="G4243" s="57" t="s">
        <v>5764</v>
      </c>
      <c r="H4243" s="57" t="s">
        <v>1114</v>
      </c>
    </row>
    <row r="4244" spans="2:9" ht="13.5" customHeight="1">
      <c r="B4244" s="57" t="s">
        <v>5745</v>
      </c>
      <c r="D4244" s="57" t="s">
        <v>5746</v>
      </c>
      <c r="F4244" s="57">
        <v>3</v>
      </c>
      <c r="G4244" s="57" t="s">
        <v>5764</v>
      </c>
      <c r="H4244" s="57" t="s">
        <v>1114</v>
      </c>
    </row>
    <row r="4245" spans="2:9" ht="13.5" customHeight="1">
      <c r="B4245" s="57" t="s">
        <v>5754</v>
      </c>
      <c r="D4245" s="57" t="s">
        <v>5755</v>
      </c>
      <c r="F4245" s="57">
        <v>4</v>
      </c>
      <c r="G4245" s="57" t="s">
        <v>5764</v>
      </c>
      <c r="H4245" s="57" t="s">
        <v>1114</v>
      </c>
    </row>
    <row r="4246" spans="2:9" ht="13.5" customHeight="1">
      <c r="B4246" s="57" t="s">
        <v>5748</v>
      </c>
      <c r="D4246" s="57" t="s">
        <v>5749</v>
      </c>
      <c r="F4246" s="57">
        <v>6</v>
      </c>
      <c r="G4246" s="57" t="s">
        <v>5764</v>
      </c>
      <c r="H4246" s="57" t="s">
        <v>1114</v>
      </c>
    </row>
    <row r="4247" spans="2:9" ht="13.5" customHeight="1">
      <c r="D4247" s="57" t="s">
        <v>749</v>
      </c>
      <c r="F4247" s="57">
        <v>6</v>
      </c>
      <c r="G4247" s="57" t="s">
        <v>5764</v>
      </c>
      <c r="H4247" s="57" t="s">
        <v>1114</v>
      </c>
    </row>
    <row r="4248" spans="2:9" ht="13.5" customHeight="1">
      <c r="B4248" s="57" t="s">
        <v>5741</v>
      </c>
      <c r="D4248" s="57" t="s">
        <v>5742</v>
      </c>
      <c r="F4248" s="57">
        <v>7</v>
      </c>
      <c r="G4248" s="57" t="s">
        <v>5764</v>
      </c>
      <c r="H4248" s="57" t="s">
        <v>1114</v>
      </c>
    </row>
    <row r="4249" spans="2:9" ht="13.5" customHeight="1">
      <c r="B4249" s="57" t="s">
        <v>5750</v>
      </c>
      <c r="D4249" s="57" t="s">
        <v>5751</v>
      </c>
      <c r="F4249" s="57">
        <v>11</v>
      </c>
      <c r="G4249" s="57" t="s">
        <v>5764</v>
      </c>
      <c r="H4249" s="57" t="s">
        <v>1114</v>
      </c>
    </row>
    <row r="4250" spans="2:9" ht="13.5" customHeight="1">
      <c r="D4250" s="57" t="s">
        <v>4825</v>
      </c>
      <c r="F4250" s="57">
        <v>13</v>
      </c>
      <c r="G4250" s="57" t="s">
        <v>5764</v>
      </c>
      <c r="H4250" s="57" t="s">
        <v>1114</v>
      </c>
    </row>
    <row r="4251" spans="2:9" ht="13.5" customHeight="1">
      <c r="B4251" s="57" t="s">
        <v>5747</v>
      </c>
      <c r="D4251" s="57" t="s">
        <v>5297</v>
      </c>
      <c r="F4251" s="57">
        <v>18</v>
      </c>
      <c r="G4251" s="57" t="s">
        <v>5764</v>
      </c>
      <c r="H4251" s="57" t="s">
        <v>1114</v>
      </c>
    </row>
    <row r="4252" spans="2:9" ht="13.5" customHeight="1">
      <c r="D4252" s="57" t="s">
        <v>5752</v>
      </c>
      <c r="F4252" s="57">
        <v>43</v>
      </c>
      <c r="G4252" s="57" t="s">
        <v>5764</v>
      </c>
      <c r="H4252" s="57" t="s">
        <v>1114</v>
      </c>
    </row>
    <row r="4253" spans="2:9" ht="13.5" customHeight="1">
      <c r="D4253" s="57" t="s">
        <v>3173</v>
      </c>
      <c r="F4253" s="57">
        <v>57</v>
      </c>
      <c r="G4253" s="57" t="s">
        <v>5764</v>
      </c>
      <c r="H4253" s="57" t="s">
        <v>1114</v>
      </c>
    </row>
    <row r="4254" spans="2:9" ht="13.5" customHeight="1">
      <c r="B4254" s="57" t="s">
        <v>5315</v>
      </c>
      <c r="D4254" s="57" t="s">
        <v>5316</v>
      </c>
      <c r="F4254" s="57">
        <v>140</v>
      </c>
      <c r="G4254" s="57" t="s">
        <v>5764</v>
      </c>
      <c r="H4254" s="57" t="s">
        <v>1114</v>
      </c>
    </row>
    <row r="4255" spans="2:9" ht="13.5" customHeight="1">
      <c r="B4255" s="57" t="s">
        <v>5613</v>
      </c>
      <c r="D4255" s="57" t="s">
        <v>5614</v>
      </c>
      <c r="F4255" s="57">
        <v>164</v>
      </c>
      <c r="G4255" s="57" t="s">
        <v>5764</v>
      </c>
      <c r="H4255" s="57" t="s">
        <v>1355</v>
      </c>
      <c r="I4255" s="57" t="s">
        <v>5760</v>
      </c>
    </row>
    <row r="4256" spans="2:9" ht="13.5" customHeight="1">
      <c r="B4256" s="57" t="s">
        <v>5736</v>
      </c>
      <c r="D4256" s="57" t="s">
        <v>5737</v>
      </c>
      <c r="F4256" s="57">
        <v>300</v>
      </c>
      <c r="G4256" s="57" t="s">
        <v>5764</v>
      </c>
      <c r="H4256" s="57" t="s">
        <v>1355</v>
      </c>
    </row>
    <row r="4257" spans="2:10" ht="13.5" customHeight="1">
      <c r="B4257" s="57" t="s">
        <v>5611</v>
      </c>
      <c r="D4257" s="57" t="s">
        <v>5612</v>
      </c>
      <c r="F4257" s="57">
        <v>1564</v>
      </c>
      <c r="G4257" s="57" t="s">
        <v>5764</v>
      </c>
      <c r="H4257" s="57" t="s">
        <v>1355</v>
      </c>
    </row>
    <row r="4258" spans="2:10" ht="13.5" customHeight="1">
      <c r="B4258" s="57" t="s">
        <v>5655</v>
      </c>
      <c r="D4258" s="57" t="s">
        <v>5655</v>
      </c>
      <c r="F4258" s="57">
        <v>1593</v>
      </c>
      <c r="G4258" s="57" t="s">
        <v>5764</v>
      </c>
      <c r="H4258" s="57" t="s">
        <v>1355</v>
      </c>
      <c r="I4258" s="57" t="s">
        <v>5762</v>
      </c>
    </row>
    <row r="4259" spans="2:10" ht="13.5" customHeight="1">
      <c r="B4259" s="57" t="s">
        <v>5609</v>
      </c>
      <c r="D4259" s="57" t="s">
        <v>5610</v>
      </c>
      <c r="F4259" s="57">
        <v>2386</v>
      </c>
      <c r="G4259" s="57" t="s">
        <v>5764</v>
      </c>
      <c r="H4259" s="57" t="s">
        <v>1355</v>
      </c>
    </row>
    <row r="4260" spans="2:10" ht="13.5" customHeight="1">
      <c r="D4260" s="57" t="s">
        <v>5656</v>
      </c>
      <c r="F4260" s="57">
        <v>1</v>
      </c>
      <c r="G4260" s="57" t="s">
        <v>5764</v>
      </c>
      <c r="H4260" s="57" t="s">
        <v>1354</v>
      </c>
    </row>
    <row r="4261" spans="2:10" ht="13.5" customHeight="1">
      <c r="D4261" s="57" t="s">
        <v>5651</v>
      </c>
      <c r="F4261" s="57">
        <v>1</v>
      </c>
      <c r="G4261" s="57" t="s">
        <v>5764</v>
      </c>
      <c r="H4261" s="57" t="s">
        <v>1354</v>
      </c>
    </row>
    <row r="4262" spans="2:10" ht="13.5" customHeight="1">
      <c r="B4262" s="57" t="s">
        <v>5756</v>
      </c>
      <c r="D4262" s="57" t="s">
        <v>5757</v>
      </c>
      <c r="F4262" s="57">
        <v>1</v>
      </c>
      <c r="G4262" s="57" t="s">
        <v>5764</v>
      </c>
      <c r="H4262" s="57" t="s">
        <v>1354</v>
      </c>
      <c r="J4262" s="70"/>
    </row>
    <row r="4263" spans="2:10" ht="13.5" customHeight="1">
      <c r="B4263" s="140" t="s">
        <v>770</v>
      </c>
      <c r="D4263" s="175" t="s">
        <v>771</v>
      </c>
      <c r="F4263" s="57">
        <v>1</v>
      </c>
      <c r="G4263" s="57" t="s">
        <v>5764</v>
      </c>
      <c r="H4263" s="57" t="s">
        <v>1354</v>
      </c>
    </row>
    <row r="4264" spans="2:10" ht="13.5" customHeight="1">
      <c r="B4264" s="156" t="s">
        <v>8943</v>
      </c>
      <c r="D4264" s="156" t="s">
        <v>8944</v>
      </c>
      <c r="F4264" s="76">
        <v>1</v>
      </c>
      <c r="G4264" s="57" t="s">
        <v>5764</v>
      </c>
      <c r="H4264" s="57" t="s">
        <v>1354</v>
      </c>
    </row>
    <row r="4265" spans="2:10" ht="13.5" customHeight="1">
      <c r="B4265" s="57" t="s">
        <v>5644</v>
      </c>
      <c r="D4265" s="57" t="s">
        <v>5645</v>
      </c>
      <c r="F4265" s="57">
        <v>2</v>
      </c>
      <c r="G4265" s="57" t="s">
        <v>5764</v>
      </c>
      <c r="H4265" s="57" t="s">
        <v>1354</v>
      </c>
    </row>
    <row r="4266" spans="2:10" ht="13.5" customHeight="1">
      <c r="B4266" s="148" t="s">
        <v>8519</v>
      </c>
      <c r="D4266" s="148" t="s">
        <v>8519</v>
      </c>
      <c r="F4266" s="76">
        <v>2</v>
      </c>
      <c r="G4266" s="57" t="s">
        <v>5764</v>
      </c>
      <c r="H4266" s="106" t="s">
        <v>1354</v>
      </c>
    </row>
    <row r="4267" spans="2:10" ht="13.5" customHeight="1">
      <c r="B4267" s="140" t="s">
        <v>8689</v>
      </c>
      <c r="C4267" s="140"/>
      <c r="D4267" s="140" t="s">
        <v>8689</v>
      </c>
      <c r="F4267" s="57">
        <v>2</v>
      </c>
      <c r="G4267" s="57" t="s">
        <v>5764</v>
      </c>
      <c r="H4267" s="57" t="s">
        <v>1354</v>
      </c>
    </row>
    <row r="4268" spans="2:10" ht="13.5" customHeight="1">
      <c r="B4268" s="57" t="s">
        <v>5693</v>
      </c>
      <c r="D4268" s="57" t="s">
        <v>5694</v>
      </c>
      <c r="F4268" s="57">
        <v>3</v>
      </c>
      <c r="G4268" s="57" t="s">
        <v>5764</v>
      </c>
      <c r="H4268" s="57" t="s">
        <v>1354</v>
      </c>
      <c r="I4268" s="57" t="s">
        <v>5763</v>
      </c>
    </row>
    <row r="4269" spans="2:10" ht="13.5" customHeight="1">
      <c r="B4269" s="57" t="s">
        <v>5691</v>
      </c>
      <c r="D4269" s="57" t="s">
        <v>5692</v>
      </c>
      <c r="F4269" s="57">
        <v>3</v>
      </c>
      <c r="G4269" s="57" t="s">
        <v>5764</v>
      </c>
      <c r="H4269" s="57" t="s">
        <v>1354</v>
      </c>
      <c r="I4269" s="57" t="s">
        <v>5763</v>
      </c>
    </row>
    <row r="4270" spans="2:10" ht="13.5" customHeight="1">
      <c r="B4270" s="140" t="s">
        <v>8688</v>
      </c>
      <c r="C4270" s="140"/>
      <c r="D4270" s="140" t="s">
        <v>8688</v>
      </c>
      <c r="F4270" s="57">
        <v>3</v>
      </c>
      <c r="G4270" s="57" t="s">
        <v>5764</v>
      </c>
      <c r="H4270" s="57" t="s">
        <v>1354</v>
      </c>
    </row>
    <row r="4271" spans="2:10" ht="13.5" customHeight="1">
      <c r="B4271" s="140" t="s">
        <v>8694</v>
      </c>
      <c r="D4271" s="140" t="s">
        <v>8695</v>
      </c>
      <c r="F4271" s="76">
        <v>3</v>
      </c>
      <c r="G4271" s="57" t="s">
        <v>5764</v>
      </c>
      <c r="H4271" s="189" t="s">
        <v>1354</v>
      </c>
    </row>
    <row r="4272" spans="2:10" ht="13.5" customHeight="1">
      <c r="B4272" s="64" t="s">
        <v>8719</v>
      </c>
      <c r="D4272" s="183" t="s">
        <v>8720</v>
      </c>
      <c r="F4272" s="57">
        <v>3</v>
      </c>
      <c r="G4272" s="57" t="s">
        <v>5764</v>
      </c>
      <c r="H4272" s="187" t="s">
        <v>1354</v>
      </c>
    </row>
    <row r="4273" spans="2:9" ht="13.5" customHeight="1">
      <c r="B4273" s="140" t="s">
        <v>8862</v>
      </c>
      <c r="D4273" s="180" t="s">
        <v>8863</v>
      </c>
      <c r="F4273" s="57">
        <v>3</v>
      </c>
      <c r="G4273" s="57" t="s">
        <v>5764</v>
      </c>
      <c r="H4273" s="57" t="s">
        <v>1354</v>
      </c>
    </row>
    <row r="4274" spans="2:9" ht="13.5" customHeight="1">
      <c r="B4274" s="140" t="s">
        <v>8864</v>
      </c>
      <c r="D4274" s="165" t="s">
        <v>8865</v>
      </c>
      <c r="F4274" s="57">
        <v>3</v>
      </c>
      <c r="G4274" s="57" t="s">
        <v>5764</v>
      </c>
      <c r="H4274" s="57" t="s">
        <v>1354</v>
      </c>
    </row>
    <row r="4275" spans="2:9" ht="13.5" customHeight="1">
      <c r="B4275" s="140" t="s">
        <v>8720</v>
      </c>
      <c r="D4275" s="140" t="s">
        <v>8720</v>
      </c>
      <c r="F4275" s="57">
        <v>3</v>
      </c>
      <c r="G4275" s="57" t="s">
        <v>5764</v>
      </c>
      <c r="H4275" s="57" t="s">
        <v>1354</v>
      </c>
    </row>
    <row r="4276" spans="2:9" ht="13.5" customHeight="1">
      <c r="B4276" s="125" t="s">
        <v>8946</v>
      </c>
      <c r="D4276" s="125" t="s">
        <v>8946</v>
      </c>
      <c r="F4276" s="76">
        <v>3</v>
      </c>
      <c r="G4276" s="57" t="s">
        <v>5764</v>
      </c>
      <c r="H4276" s="57" t="s">
        <v>1354</v>
      </c>
    </row>
    <row r="4277" spans="2:9" ht="13.5" customHeight="1">
      <c r="B4277" s="57" t="s">
        <v>5638</v>
      </c>
      <c r="D4277" s="57" t="s">
        <v>5639</v>
      </c>
      <c r="F4277" s="57">
        <v>4</v>
      </c>
      <c r="G4277" s="57" t="s">
        <v>5764</v>
      </c>
      <c r="H4277" s="57" t="s">
        <v>1354</v>
      </c>
    </row>
    <row r="4278" spans="2:9" ht="13.5" customHeight="1">
      <c r="B4278" s="64" t="s">
        <v>8717</v>
      </c>
      <c r="D4278" s="183" t="s">
        <v>8718</v>
      </c>
      <c r="F4278" s="57">
        <v>4</v>
      </c>
      <c r="G4278" s="57" t="s">
        <v>5764</v>
      </c>
      <c r="H4278" s="187" t="s">
        <v>1354</v>
      </c>
    </row>
    <row r="4279" spans="2:9" ht="13.5" customHeight="1">
      <c r="B4279" s="57" t="s">
        <v>5642</v>
      </c>
      <c r="D4279" s="57" t="s">
        <v>5643</v>
      </c>
      <c r="F4279" s="57">
        <v>5</v>
      </c>
      <c r="G4279" s="57" t="s">
        <v>5764</v>
      </c>
      <c r="H4279" s="57" t="s">
        <v>1354</v>
      </c>
    </row>
    <row r="4280" spans="2:9" ht="13.5" customHeight="1">
      <c r="D4280" s="57" t="s">
        <v>5657</v>
      </c>
      <c r="F4280" s="57">
        <v>5</v>
      </c>
      <c r="G4280" s="57" t="s">
        <v>5764</v>
      </c>
      <c r="H4280" s="57" t="s">
        <v>1354</v>
      </c>
    </row>
    <row r="4281" spans="2:9" ht="13.5" customHeight="1">
      <c r="B4281" s="148" t="s">
        <v>5710</v>
      </c>
      <c r="D4281" s="148" t="s">
        <v>5710</v>
      </c>
      <c r="F4281" s="76">
        <v>5</v>
      </c>
      <c r="G4281" s="57" t="s">
        <v>5764</v>
      </c>
      <c r="H4281" s="106" t="s">
        <v>1354</v>
      </c>
    </row>
    <row r="4282" spans="2:9" ht="13.5" customHeight="1">
      <c r="B4282" s="57" t="s">
        <v>5707</v>
      </c>
      <c r="D4282" s="57" t="s">
        <v>5707</v>
      </c>
      <c r="F4282" s="57">
        <v>6</v>
      </c>
      <c r="G4282" s="57" t="s">
        <v>5764</v>
      </c>
      <c r="H4282" s="57" t="s">
        <v>1354</v>
      </c>
    </row>
    <row r="4283" spans="2:9" ht="13.5" customHeight="1">
      <c r="B4283" s="57" t="s">
        <v>5706</v>
      </c>
      <c r="D4283" s="57" t="s">
        <v>5706</v>
      </c>
      <c r="F4283" s="57">
        <v>6</v>
      </c>
      <c r="G4283" s="57" t="s">
        <v>5764</v>
      </c>
      <c r="H4283" s="57" t="s">
        <v>1354</v>
      </c>
    </row>
    <row r="4284" spans="2:9" ht="13.5" customHeight="1">
      <c r="B4284" s="125" t="s">
        <v>8945</v>
      </c>
      <c r="D4284" s="125" t="s">
        <v>442</v>
      </c>
      <c r="F4284" s="76">
        <v>6</v>
      </c>
      <c r="G4284" s="57" t="s">
        <v>5764</v>
      </c>
      <c r="H4284" s="57" t="s">
        <v>1354</v>
      </c>
    </row>
    <row r="4285" spans="2:9" ht="13.5" customHeight="1">
      <c r="B4285" s="57" t="s">
        <v>7754</v>
      </c>
      <c r="D4285" s="57" t="s">
        <v>7755</v>
      </c>
      <c r="F4285" s="57">
        <v>7</v>
      </c>
      <c r="G4285" s="57" t="s">
        <v>5764</v>
      </c>
      <c r="H4285" s="57" t="s">
        <v>1354</v>
      </c>
    </row>
    <row r="4286" spans="2:9" ht="13.5" customHeight="1">
      <c r="B4286" s="57" t="s">
        <v>5633</v>
      </c>
      <c r="D4286" s="57" t="s">
        <v>5633</v>
      </c>
      <c r="F4286" s="57">
        <v>7</v>
      </c>
      <c r="G4286" s="57" t="s">
        <v>5764</v>
      </c>
      <c r="H4286" s="57" t="s">
        <v>1354</v>
      </c>
      <c r="I4286" s="57" t="s">
        <v>5761</v>
      </c>
    </row>
    <row r="4287" spans="2:9" ht="13.5" customHeight="1">
      <c r="B4287" s="57" t="s">
        <v>5636</v>
      </c>
      <c r="D4287" s="57" t="s">
        <v>5637</v>
      </c>
      <c r="F4287" s="57">
        <v>8</v>
      </c>
      <c r="G4287" s="57" t="s">
        <v>5764</v>
      </c>
      <c r="H4287" s="57" t="s">
        <v>1354</v>
      </c>
    </row>
    <row r="4288" spans="2:9" ht="13.5" customHeight="1">
      <c r="B4288" s="57" t="s">
        <v>5687</v>
      </c>
      <c r="D4288" s="57" t="s">
        <v>5688</v>
      </c>
      <c r="F4288" s="57">
        <v>8</v>
      </c>
      <c r="G4288" s="57" t="s">
        <v>5764</v>
      </c>
      <c r="H4288" s="57" t="s">
        <v>1354</v>
      </c>
    </row>
    <row r="4289" spans="2:9" ht="13.5" customHeight="1">
      <c r="B4289" s="140" t="s">
        <v>8860</v>
      </c>
      <c r="D4289" s="180" t="s">
        <v>8861</v>
      </c>
      <c r="F4289" s="57">
        <v>8</v>
      </c>
      <c r="G4289" s="57" t="s">
        <v>5764</v>
      </c>
      <c r="H4289" s="57" t="s">
        <v>1354</v>
      </c>
    </row>
    <row r="4290" spans="2:9" ht="13.5" customHeight="1">
      <c r="B4290" s="163" t="s">
        <v>8866</v>
      </c>
      <c r="D4290" s="163" t="s">
        <v>8866</v>
      </c>
      <c r="F4290" s="57">
        <v>8</v>
      </c>
      <c r="G4290" s="57" t="s">
        <v>5764</v>
      </c>
      <c r="H4290" s="57" t="s">
        <v>1354</v>
      </c>
    </row>
    <row r="4291" spans="2:9" ht="13.5" customHeight="1">
      <c r="B4291" s="57" t="s">
        <v>5709</v>
      </c>
      <c r="D4291" s="57" t="s">
        <v>5710</v>
      </c>
      <c r="F4291" s="57">
        <v>9</v>
      </c>
      <c r="G4291" s="57" t="s">
        <v>5764</v>
      </c>
      <c r="H4291" s="57" t="s">
        <v>1354</v>
      </c>
      <c r="I4291" s="60" t="s">
        <v>2992</v>
      </c>
    </row>
    <row r="4292" spans="2:9" ht="13.5" customHeight="1">
      <c r="B4292" s="57" t="s">
        <v>5654</v>
      </c>
      <c r="D4292" s="57" t="s">
        <v>5654</v>
      </c>
      <c r="F4292" s="57">
        <v>9</v>
      </c>
      <c r="G4292" s="57" t="s">
        <v>5764</v>
      </c>
      <c r="H4292" s="57" t="s">
        <v>1354</v>
      </c>
    </row>
    <row r="4293" spans="2:9" ht="13.5" customHeight="1">
      <c r="D4293" s="57" t="s">
        <v>5635</v>
      </c>
      <c r="F4293" s="57">
        <v>10</v>
      </c>
      <c r="G4293" s="57" t="s">
        <v>5764</v>
      </c>
      <c r="H4293" s="57" t="s">
        <v>1354</v>
      </c>
    </row>
    <row r="4294" spans="2:9" ht="13.5" customHeight="1">
      <c r="B4294" s="57" t="s">
        <v>5648</v>
      </c>
      <c r="D4294" s="57" t="s">
        <v>5649</v>
      </c>
      <c r="F4294" s="57">
        <v>10</v>
      </c>
      <c r="G4294" s="57" t="s">
        <v>5764</v>
      </c>
      <c r="H4294" s="57" t="s">
        <v>1354</v>
      </c>
    </row>
    <row r="4295" spans="2:9" ht="13.5" customHeight="1">
      <c r="B4295" s="57" t="s">
        <v>5652</v>
      </c>
      <c r="D4295" s="57" t="s">
        <v>5653</v>
      </c>
      <c r="F4295" s="57">
        <v>14</v>
      </c>
      <c r="G4295" s="57" t="s">
        <v>5764</v>
      </c>
      <c r="H4295" s="57" t="s">
        <v>1354</v>
      </c>
    </row>
    <row r="4296" spans="2:9" ht="13.5" customHeight="1">
      <c r="D4296" s="57" t="s">
        <v>5624</v>
      </c>
      <c r="F4296" s="57">
        <v>200</v>
      </c>
      <c r="G4296" s="57" t="s">
        <v>5764</v>
      </c>
      <c r="H4296" s="57" t="s">
        <v>1354</v>
      </c>
    </row>
    <row r="4297" spans="2:9" ht="13.5" customHeight="1">
      <c r="D4297" s="57" t="s">
        <v>5758</v>
      </c>
      <c r="F4297" s="57">
        <v>250</v>
      </c>
      <c r="G4297" s="57" t="s">
        <v>5764</v>
      </c>
      <c r="H4297" s="57" t="s">
        <v>1354</v>
      </c>
    </row>
    <row r="4298" spans="2:9" ht="13.5" customHeight="1">
      <c r="B4298" s="57" t="s">
        <v>5765</v>
      </c>
      <c r="D4298" s="57" t="s">
        <v>5766</v>
      </c>
      <c r="F4298" s="57">
        <v>1</v>
      </c>
      <c r="G4298" s="57" t="s">
        <v>6628</v>
      </c>
      <c r="H4298" s="57" t="s">
        <v>1420</v>
      </c>
    </row>
    <row r="4299" spans="2:9" ht="13.5" customHeight="1">
      <c r="B4299" s="57" t="s">
        <v>5767</v>
      </c>
      <c r="D4299" s="57" t="s">
        <v>5768</v>
      </c>
      <c r="F4299" s="57">
        <v>1</v>
      </c>
      <c r="G4299" s="57" t="s">
        <v>6628</v>
      </c>
      <c r="H4299" s="57" t="s">
        <v>1420</v>
      </c>
    </row>
    <row r="4300" spans="2:9" ht="13.5" customHeight="1">
      <c r="B4300" s="57" t="s">
        <v>5769</v>
      </c>
      <c r="D4300" s="57" t="s">
        <v>5770</v>
      </c>
      <c r="F4300" s="57">
        <v>2</v>
      </c>
      <c r="G4300" s="57" t="s">
        <v>6628</v>
      </c>
      <c r="H4300" s="57" t="s">
        <v>1420</v>
      </c>
    </row>
    <row r="4301" spans="2:9" ht="13.5" customHeight="1">
      <c r="B4301" s="57" t="s">
        <v>5820</v>
      </c>
      <c r="D4301" s="57" t="s">
        <v>5821</v>
      </c>
      <c r="F4301" s="57">
        <v>1</v>
      </c>
      <c r="G4301" s="57" t="s">
        <v>6628</v>
      </c>
      <c r="H4301" s="57" t="s">
        <v>1420</v>
      </c>
      <c r="I4301" s="57" t="s">
        <v>6621</v>
      </c>
    </row>
    <row r="4302" spans="2:9" ht="13.5" customHeight="1">
      <c r="B4302" s="57" t="s">
        <v>5771</v>
      </c>
      <c r="D4302" s="57" t="s">
        <v>5771</v>
      </c>
      <c r="F4302" s="57">
        <v>42</v>
      </c>
      <c r="G4302" s="57" t="s">
        <v>6628</v>
      </c>
      <c r="H4302" s="57" t="s">
        <v>1420</v>
      </c>
      <c r="I4302" s="57" t="s">
        <v>6609</v>
      </c>
    </row>
    <row r="4303" spans="2:9" ht="13.5" customHeight="1">
      <c r="B4303" s="57" t="s">
        <v>5772</v>
      </c>
      <c r="D4303" s="57" t="s">
        <v>5773</v>
      </c>
      <c r="F4303" s="57">
        <v>6</v>
      </c>
      <c r="G4303" s="57" t="s">
        <v>6628</v>
      </c>
      <c r="H4303" s="57" t="s">
        <v>6610</v>
      </c>
      <c r="I4303" s="57" t="s">
        <v>6611</v>
      </c>
    </row>
    <row r="4304" spans="2:9" ht="13.5" customHeight="1">
      <c r="B4304" s="57" t="s">
        <v>5772</v>
      </c>
      <c r="D4304" s="57" t="s">
        <v>5774</v>
      </c>
      <c r="F4304" s="57">
        <v>7</v>
      </c>
      <c r="G4304" s="57" t="s">
        <v>6628</v>
      </c>
      <c r="H4304" s="57" t="s">
        <v>6610</v>
      </c>
      <c r="I4304" s="57" t="s">
        <v>6611</v>
      </c>
    </row>
    <row r="4305" spans="2:9" ht="13.5" customHeight="1">
      <c r="B4305" s="57" t="s">
        <v>5772</v>
      </c>
      <c r="D4305" s="57" t="s">
        <v>5775</v>
      </c>
      <c r="F4305" s="57">
        <v>10</v>
      </c>
      <c r="G4305" s="57" t="s">
        <v>6628</v>
      </c>
      <c r="H4305" s="57" t="s">
        <v>6610</v>
      </c>
    </row>
    <row r="4306" spans="2:9" ht="13.5" customHeight="1">
      <c r="B4306" s="57" t="s">
        <v>5772</v>
      </c>
      <c r="D4306" s="57" t="s">
        <v>5781</v>
      </c>
      <c r="F4306" s="57">
        <v>10</v>
      </c>
      <c r="G4306" s="57" t="s">
        <v>6628</v>
      </c>
      <c r="H4306" s="57" t="s">
        <v>6613</v>
      </c>
      <c r="I4306" s="57" t="s">
        <v>6611</v>
      </c>
    </row>
    <row r="4307" spans="2:9" ht="13.5" customHeight="1">
      <c r="B4307" s="57" t="s">
        <v>5772</v>
      </c>
      <c r="D4307" s="57" t="s">
        <v>5780</v>
      </c>
      <c r="F4307" s="57">
        <v>10</v>
      </c>
      <c r="G4307" s="57" t="s">
        <v>6628</v>
      </c>
      <c r="H4307" s="57" t="s">
        <v>6613</v>
      </c>
      <c r="I4307" s="57" t="s">
        <v>6614</v>
      </c>
    </row>
    <row r="4308" spans="2:9" ht="13.5" customHeight="1">
      <c r="B4308" s="57" t="s">
        <v>5772</v>
      </c>
      <c r="D4308" s="57" t="s">
        <v>5782</v>
      </c>
      <c r="F4308" s="57">
        <v>6</v>
      </c>
      <c r="G4308" s="57" t="s">
        <v>6628</v>
      </c>
      <c r="H4308" s="57" t="s">
        <v>6615</v>
      </c>
      <c r="I4308" s="57" t="s">
        <v>6611</v>
      </c>
    </row>
    <row r="4309" spans="2:9" ht="13.5" customHeight="1">
      <c r="B4309" s="57" t="s">
        <v>5783</v>
      </c>
      <c r="D4309" s="57" t="s">
        <v>5783</v>
      </c>
      <c r="F4309" s="57">
        <v>1</v>
      </c>
      <c r="G4309" s="57" t="s">
        <v>6628</v>
      </c>
      <c r="H4309" s="57" t="s">
        <v>2657</v>
      </c>
    </row>
    <row r="4310" spans="2:9" ht="13.5" customHeight="1">
      <c r="B4310" s="57" t="s">
        <v>6597</v>
      </c>
      <c r="D4310" s="57" t="s">
        <v>6598</v>
      </c>
      <c r="F4310" s="57">
        <v>2</v>
      </c>
      <c r="G4310" s="57" t="s">
        <v>6628</v>
      </c>
      <c r="H4310" s="57" t="s">
        <v>2657</v>
      </c>
      <c r="I4310" s="57" t="s">
        <v>6627</v>
      </c>
    </row>
    <row r="4311" spans="2:9" ht="13.5" customHeight="1">
      <c r="B4311" s="57" t="s">
        <v>5784</v>
      </c>
      <c r="D4311" s="57" t="s">
        <v>5785</v>
      </c>
      <c r="F4311" s="57">
        <v>2</v>
      </c>
      <c r="G4311" s="57" t="s">
        <v>6628</v>
      </c>
      <c r="H4311" s="57" t="s">
        <v>2657</v>
      </c>
    </row>
    <row r="4312" spans="2:9" ht="13.5" customHeight="1">
      <c r="B4312" s="57" t="s">
        <v>5788</v>
      </c>
      <c r="D4312" s="57" t="s">
        <v>5788</v>
      </c>
      <c r="F4312" s="57">
        <v>3</v>
      </c>
      <c r="G4312" s="57" t="s">
        <v>6628</v>
      </c>
      <c r="H4312" s="57" t="s">
        <v>2657</v>
      </c>
    </row>
    <row r="4313" spans="2:9" ht="13.5" customHeight="1">
      <c r="B4313" s="57" t="s">
        <v>5787</v>
      </c>
      <c r="D4313" s="57" t="s">
        <v>5787</v>
      </c>
      <c r="F4313" s="57">
        <v>3</v>
      </c>
      <c r="G4313" s="57" t="s">
        <v>6628</v>
      </c>
      <c r="H4313" s="57" t="s">
        <v>2657</v>
      </c>
    </row>
    <row r="4314" spans="2:9" ht="13.5" customHeight="1">
      <c r="B4314" s="57" t="s">
        <v>5789</v>
      </c>
      <c r="D4314" s="57" t="s">
        <v>5790</v>
      </c>
      <c r="F4314" s="57">
        <v>3</v>
      </c>
      <c r="G4314" s="57" t="s">
        <v>6628</v>
      </c>
      <c r="H4314" s="57" t="s">
        <v>2657</v>
      </c>
    </row>
    <row r="4315" spans="2:9" ht="13.5" customHeight="1">
      <c r="B4315" s="57" t="s">
        <v>5786</v>
      </c>
      <c r="D4315" s="57" t="s">
        <v>5786</v>
      </c>
      <c r="F4315" s="57">
        <v>3</v>
      </c>
      <c r="G4315" s="57" t="s">
        <v>6628</v>
      </c>
      <c r="H4315" s="57" t="s">
        <v>2657</v>
      </c>
    </row>
    <row r="4316" spans="2:9" ht="13.5" customHeight="1">
      <c r="B4316" s="57" t="s">
        <v>5793</v>
      </c>
      <c r="D4316" s="57" t="s">
        <v>5793</v>
      </c>
      <c r="F4316" s="57">
        <v>4</v>
      </c>
      <c r="G4316" s="57" t="s">
        <v>6628</v>
      </c>
      <c r="H4316" s="57" t="s">
        <v>2657</v>
      </c>
    </row>
    <row r="4317" spans="2:9" ht="13.5" customHeight="1">
      <c r="D4317" s="57" t="s">
        <v>5791</v>
      </c>
      <c r="F4317" s="57">
        <v>4</v>
      </c>
      <c r="G4317" s="57" t="s">
        <v>6628</v>
      </c>
      <c r="H4317" s="57" t="s">
        <v>2657</v>
      </c>
    </row>
    <row r="4318" spans="2:9" ht="13.5" customHeight="1">
      <c r="B4318" s="57" t="s">
        <v>5792</v>
      </c>
      <c r="D4318" s="57" t="s">
        <v>5792</v>
      </c>
      <c r="F4318" s="57">
        <v>4</v>
      </c>
      <c r="G4318" s="57" t="s">
        <v>6628</v>
      </c>
      <c r="H4318" s="57" t="s">
        <v>2657</v>
      </c>
    </row>
    <row r="4319" spans="2:9" ht="13.5" customHeight="1">
      <c r="B4319" s="57" t="s">
        <v>5794</v>
      </c>
      <c r="D4319" s="57" t="s">
        <v>5795</v>
      </c>
      <c r="F4319" s="57">
        <v>5</v>
      </c>
      <c r="G4319" s="57" t="s">
        <v>6628</v>
      </c>
      <c r="H4319" s="57" t="s">
        <v>2657</v>
      </c>
      <c r="I4319" s="57" t="s">
        <v>6616</v>
      </c>
    </row>
    <row r="4320" spans="2:9" ht="13.5" customHeight="1">
      <c r="B4320" s="57" t="s">
        <v>5796</v>
      </c>
      <c r="D4320" s="57" t="s">
        <v>5797</v>
      </c>
      <c r="F4320" s="57">
        <v>7</v>
      </c>
      <c r="G4320" s="57" t="s">
        <v>6628</v>
      </c>
      <c r="H4320" s="57" t="s">
        <v>2657</v>
      </c>
    </row>
    <row r="4321" spans="2:9" ht="13.5" customHeight="1">
      <c r="B4321" s="57" t="s">
        <v>5798</v>
      </c>
      <c r="D4321" s="57" t="s">
        <v>5799</v>
      </c>
      <c r="F4321" s="57">
        <v>8</v>
      </c>
      <c r="G4321" s="57" t="s">
        <v>6628</v>
      </c>
      <c r="H4321" s="57" t="s">
        <v>2657</v>
      </c>
    </row>
    <row r="4322" spans="2:9" ht="13.5" customHeight="1">
      <c r="B4322" s="57" t="s">
        <v>5800</v>
      </c>
      <c r="D4322" s="57" t="s">
        <v>5801</v>
      </c>
      <c r="F4322" s="57">
        <v>9</v>
      </c>
      <c r="G4322" s="57" t="s">
        <v>6628</v>
      </c>
      <c r="H4322" s="57" t="s">
        <v>2657</v>
      </c>
    </row>
    <row r="4323" spans="2:9" ht="13.5" customHeight="1">
      <c r="B4323" s="57" t="s">
        <v>5794</v>
      </c>
      <c r="D4323" s="57" t="s">
        <v>5803</v>
      </c>
      <c r="F4323" s="57">
        <v>17</v>
      </c>
      <c r="G4323" s="57" t="s">
        <v>6628</v>
      </c>
      <c r="H4323" s="57" t="s">
        <v>2657</v>
      </c>
      <c r="I4323" s="57" t="s">
        <v>6618</v>
      </c>
    </row>
    <row r="4324" spans="2:9" ht="13.5" customHeight="1">
      <c r="B4324" s="57" t="s">
        <v>5794</v>
      </c>
      <c r="D4324" s="57" t="s">
        <v>5804</v>
      </c>
      <c r="F4324" s="57">
        <v>19</v>
      </c>
      <c r="G4324" s="57" t="s">
        <v>6628</v>
      </c>
      <c r="H4324" s="57" t="s">
        <v>2657</v>
      </c>
      <c r="I4324" s="57" t="s">
        <v>6618</v>
      </c>
    </row>
    <row r="4325" spans="2:9" ht="13.5" customHeight="1">
      <c r="B4325" s="57" t="s">
        <v>5794</v>
      </c>
      <c r="D4325" s="57" t="s">
        <v>5802</v>
      </c>
      <c r="F4325" s="57">
        <v>20</v>
      </c>
      <c r="G4325" s="57" t="s">
        <v>6628</v>
      </c>
      <c r="H4325" s="57" t="s">
        <v>2657</v>
      </c>
      <c r="I4325" s="57" t="s">
        <v>6617</v>
      </c>
    </row>
    <row r="4326" spans="2:9" ht="13.5" customHeight="1">
      <c r="B4326" s="57" t="s">
        <v>5794</v>
      </c>
      <c r="D4326" s="57" t="s">
        <v>5805</v>
      </c>
      <c r="F4326" s="57">
        <v>86</v>
      </c>
      <c r="G4326" s="57" t="s">
        <v>6628</v>
      </c>
      <c r="H4326" s="57" t="s">
        <v>2657</v>
      </c>
      <c r="I4326" s="57" t="s">
        <v>6616</v>
      </c>
    </row>
    <row r="4327" spans="2:9" ht="13.5" customHeight="1">
      <c r="B4327" s="57" t="s">
        <v>5778</v>
      </c>
      <c r="D4327" s="57" t="s">
        <v>5779</v>
      </c>
      <c r="F4327" s="57">
        <v>1</v>
      </c>
      <c r="G4327" s="57" t="s">
        <v>6628</v>
      </c>
      <c r="H4327" s="57" t="s">
        <v>6612</v>
      </c>
    </row>
    <row r="4328" spans="2:9" ht="13.5" customHeight="1">
      <c r="B4328" s="57" t="s">
        <v>5806</v>
      </c>
      <c r="D4328" s="57" t="s">
        <v>5807</v>
      </c>
      <c r="F4328" s="57">
        <v>1</v>
      </c>
      <c r="G4328" s="57" t="s">
        <v>6628</v>
      </c>
      <c r="H4328" s="57" t="s">
        <v>6612</v>
      </c>
    </row>
    <row r="4329" spans="2:9" ht="13.5" customHeight="1">
      <c r="B4329" s="57" t="s">
        <v>6607</v>
      </c>
      <c r="D4329" s="57" t="s">
        <v>6608</v>
      </c>
      <c r="F4329" s="57">
        <v>3</v>
      </c>
      <c r="G4329" s="57" t="s">
        <v>6628</v>
      </c>
      <c r="H4329" s="57" t="s">
        <v>6612</v>
      </c>
    </row>
    <row r="4330" spans="2:9" ht="13.5" customHeight="1">
      <c r="B4330" s="57" t="s">
        <v>5776</v>
      </c>
      <c r="D4330" s="57" t="s">
        <v>5777</v>
      </c>
      <c r="F4330" s="57">
        <v>3</v>
      </c>
      <c r="G4330" s="57" t="s">
        <v>6628</v>
      </c>
      <c r="H4330" s="57" t="s">
        <v>6612</v>
      </c>
    </row>
    <row r="4331" spans="2:9" ht="13.5" customHeight="1">
      <c r="B4331" s="71" t="s">
        <v>5808</v>
      </c>
      <c r="C4331" s="71"/>
      <c r="D4331" s="71" t="s">
        <v>5809</v>
      </c>
      <c r="F4331" s="57">
        <v>5</v>
      </c>
      <c r="G4331" s="57" t="s">
        <v>6628</v>
      </c>
      <c r="H4331" s="57" t="s">
        <v>6612</v>
      </c>
      <c r="I4331" s="57" t="s">
        <v>6619</v>
      </c>
    </row>
    <row r="4332" spans="2:9" ht="13.5" customHeight="1">
      <c r="B4332" s="57" t="s">
        <v>5810</v>
      </c>
      <c r="F4332" s="57">
        <v>23</v>
      </c>
      <c r="G4332" s="57" t="s">
        <v>6628</v>
      </c>
      <c r="H4332" s="57" t="s">
        <v>6612</v>
      </c>
    </row>
    <row r="4333" spans="2:9" ht="13.5" customHeight="1">
      <c r="B4333" s="57" t="s">
        <v>5811</v>
      </c>
      <c r="D4333" s="57" t="s">
        <v>5812</v>
      </c>
      <c r="F4333" s="57">
        <v>165</v>
      </c>
      <c r="G4333" s="57" t="s">
        <v>6628</v>
      </c>
      <c r="H4333" s="57" t="s">
        <v>6612</v>
      </c>
    </row>
    <row r="4334" spans="2:9" ht="13.5" customHeight="1">
      <c r="B4334" s="71" t="s">
        <v>5813</v>
      </c>
      <c r="D4334" s="71" t="s">
        <v>5814</v>
      </c>
      <c r="F4334" s="57">
        <v>1</v>
      </c>
      <c r="G4334" s="57" t="s">
        <v>6628</v>
      </c>
      <c r="H4334" s="57" t="s">
        <v>6620</v>
      </c>
    </row>
    <row r="4335" spans="2:9" ht="13.5" customHeight="1">
      <c r="B4335" s="71" t="s">
        <v>5815</v>
      </c>
      <c r="D4335" s="71" t="s">
        <v>5816</v>
      </c>
      <c r="E4335" s="71"/>
      <c r="F4335" s="57">
        <v>2</v>
      </c>
      <c r="G4335" s="57" t="s">
        <v>6628</v>
      </c>
      <c r="H4335" s="57" t="s">
        <v>6620</v>
      </c>
    </row>
    <row r="4336" spans="2:9" ht="13.5" customHeight="1">
      <c r="B4336" s="71" t="s">
        <v>5817</v>
      </c>
      <c r="D4336" s="71" t="s">
        <v>5818</v>
      </c>
      <c r="E4336" s="71"/>
      <c r="F4336" s="57">
        <v>18</v>
      </c>
      <c r="G4336" s="57" t="s">
        <v>6628</v>
      </c>
      <c r="H4336" s="57" t="s">
        <v>6620</v>
      </c>
    </row>
    <row r="4337" spans="2:9" ht="13.5" customHeight="1">
      <c r="B4337" s="71"/>
      <c r="D4337" s="71" t="s">
        <v>5819</v>
      </c>
      <c r="E4337" s="71"/>
      <c r="F4337" s="57">
        <v>95</v>
      </c>
      <c r="G4337" s="57" t="s">
        <v>6628</v>
      </c>
      <c r="H4337" s="57" t="s">
        <v>6620</v>
      </c>
    </row>
    <row r="4338" spans="2:9" ht="13.5" customHeight="1">
      <c r="B4338" s="71" t="s">
        <v>5822</v>
      </c>
      <c r="D4338" s="71" t="s">
        <v>5823</v>
      </c>
      <c r="E4338" s="71"/>
      <c r="F4338" s="57">
        <v>1</v>
      </c>
      <c r="G4338" s="57" t="s">
        <v>6628</v>
      </c>
      <c r="H4338" s="57" t="s">
        <v>343</v>
      </c>
    </row>
    <row r="4339" spans="2:9" ht="13.5" customHeight="1">
      <c r="B4339" s="71" t="s">
        <v>5824</v>
      </c>
      <c r="D4339" s="71" t="s">
        <v>5825</v>
      </c>
      <c r="E4339" s="71"/>
      <c r="F4339" s="57">
        <v>4</v>
      </c>
      <c r="G4339" s="57" t="s">
        <v>6628</v>
      </c>
      <c r="H4339" s="57" t="s">
        <v>343</v>
      </c>
    </row>
    <row r="4340" spans="2:9" ht="13.5" customHeight="1">
      <c r="B4340" s="71" t="s">
        <v>5826</v>
      </c>
      <c r="D4340" s="71" t="s">
        <v>5827</v>
      </c>
      <c r="E4340" s="71"/>
      <c r="F4340" s="57">
        <v>5</v>
      </c>
      <c r="G4340" s="57" t="s">
        <v>6628</v>
      </c>
      <c r="H4340" s="57" t="s">
        <v>343</v>
      </c>
      <c r="I4340" s="57" t="s">
        <v>6622</v>
      </c>
    </row>
    <row r="4341" spans="2:9" ht="13.5" customHeight="1">
      <c r="B4341" s="71" t="s">
        <v>5828</v>
      </c>
      <c r="D4341" s="71" t="s">
        <v>5829</v>
      </c>
      <c r="E4341" s="71"/>
      <c r="F4341" s="57">
        <v>5</v>
      </c>
      <c r="G4341" s="57" t="s">
        <v>6628</v>
      </c>
      <c r="H4341" s="57" t="s">
        <v>343</v>
      </c>
    </row>
    <row r="4342" spans="2:9" ht="13.5" customHeight="1">
      <c r="B4342" s="71" t="s">
        <v>5830</v>
      </c>
      <c r="D4342" s="71" t="s">
        <v>5831</v>
      </c>
      <c r="E4342" s="71"/>
      <c r="F4342" s="57">
        <v>5</v>
      </c>
      <c r="G4342" s="57" t="s">
        <v>6628</v>
      </c>
      <c r="H4342" s="57" t="s">
        <v>343</v>
      </c>
    </row>
    <row r="4343" spans="2:9" ht="13.5" customHeight="1">
      <c r="B4343" s="71" t="s">
        <v>2858</v>
      </c>
      <c r="D4343" s="71" t="s">
        <v>5832</v>
      </c>
      <c r="E4343" s="71"/>
      <c r="F4343" s="57">
        <v>7</v>
      </c>
      <c r="G4343" s="57" t="s">
        <v>6628</v>
      </c>
      <c r="H4343" s="57" t="s">
        <v>343</v>
      </c>
    </row>
    <row r="4344" spans="2:9" ht="13.5" customHeight="1">
      <c r="B4344" s="71" t="s">
        <v>5833</v>
      </c>
      <c r="D4344" s="71" t="s">
        <v>5834</v>
      </c>
      <c r="E4344" s="71"/>
      <c r="F4344" s="57">
        <v>10</v>
      </c>
      <c r="G4344" s="57" t="s">
        <v>6628</v>
      </c>
      <c r="H4344" s="57" t="s">
        <v>343</v>
      </c>
    </row>
    <row r="4345" spans="2:9" ht="13.5" customHeight="1">
      <c r="B4345" s="71" t="s">
        <v>5835</v>
      </c>
      <c r="D4345" s="71" t="s">
        <v>5836</v>
      </c>
      <c r="E4345" s="71"/>
      <c r="F4345" s="57">
        <v>13</v>
      </c>
      <c r="G4345" s="57" t="s">
        <v>6628</v>
      </c>
      <c r="H4345" s="57" t="s">
        <v>343</v>
      </c>
    </row>
    <row r="4346" spans="2:9" ht="13.5" customHeight="1">
      <c r="B4346" s="102" t="s">
        <v>5837</v>
      </c>
      <c r="D4346" s="102" t="s">
        <v>5838</v>
      </c>
      <c r="E4346" s="102"/>
      <c r="F4346" s="57">
        <v>14</v>
      </c>
      <c r="G4346" s="57" t="s">
        <v>6628</v>
      </c>
      <c r="H4346" s="57" t="s">
        <v>343</v>
      </c>
    </row>
    <row r="4347" spans="2:9" ht="13.5" customHeight="1">
      <c r="B4347" s="71" t="s">
        <v>5839</v>
      </c>
      <c r="D4347" s="71" t="s">
        <v>5840</v>
      </c>
      <c r="E4347" s="71"/>
      <c r="F4347" s="57">
        <v>19</v>
      </c>
      <c r="G4347" s="57" t="s">
        <v>6628</v>
      </c>
      <c r="H4347" s="57" t="s">
        <v>343</v>
      </c>
    </row>
    <row r="4348" spans="2:9" ht="13.5" customHeight="1">
      <c r="B4348" s="103" t="s">
        <v>5841</v>
      </c>
      <c r="D4348" s="103" t="s">
        <v>5842</v>
      </c>
      <c r="E4348" s="103"/>
      <c r="F4348" s="57">
        <v>20</v>
      </c>
      <c r="G4348" s="57" t="s">
        <v>6628</v>
      </c>
      <c r="H4348" s="57" t="s">
        <v>343</v>
      </c>
    </row>
    <row r="4349" spans="2:9" ht="13.5" customHeight="1">
      <c r="B4349" s="71" t="s">
        <v>5843</v>
      </c>
      <c r="D4349" s="71" t="s">
        <v>5844</v>
      </c>
      <c r="E4349" s="71"/>
      <c r="F4349" s="57">
        <v>22</v>
      </c>
      <c r="G4349" s="57" t="s">
        <v>6628</v>
      </c>
      <c r="H4349" s="57" t="s">
        <v>343</v>
      </c>
    </row>
    <row r="4350" spans="2:9" ht="13.5" customHeight="1">
      <c r="B4350" s="71" t="s">
        <v>5845</v>
      </c>
      <c r="D4350" s="71" t="s">
        <v>5846</v>
      </c>
      <c r="E4350" s="71"/>
      <c r="F4350" s="57">
        <v>41</v>
      </c>
      <c r="G4350" s="57" t="s">
        <v>6628</v>
      </c>
      <c r="H4350" s="57" t="s">
        <v>343</v>
      </c>
    </row>
    <row r="4351" spans="2:9" ht="13.5" customHeight="1">
      <c r="B4351" s="71" t="s">
        <v>5847</v>
      </c>
      <c r="D4351" s="71" t="s">
        <v>5848</v>
      </c>
      <c r="E4351" s="71"/>
      <c r="F4351" s="57">
        <v>44</v>
      </c>
      <c r="G4351" s="57" t="s">
        <v>6628</v>
      </c>
      <c r="H4351" s="57" t="s">
        <v>343</v>
      </c>
    </row>
    <row r="4352" spans="2:9" ht="13.5" customHeight="1">
      <c r="B4352" s="71" t="s">
        <v>5849</v>
      </c>
      <c r="D4352" s="71" t="s">
        <v>5850</v>
      </c>
      <c r="E4352" s="71"/>
      <c r="F4352" s="57">
        <v>46</v>
      </c>
      <c r="G4352" s="57" t="s">
        <v>6628</v>
      </c>
      <c r="H4352" s="57" t="s">
        <v>343</v>
      </c>
    </row>
    <row r="4353" spans="2:9" ht="13.5" customHeight="1">
      <c r="B4353" s="71" t="s">
        <v>5851</v>
      </c>
      <c r="D4353" s="71" t="s">
        <v>5851</v>
      </c>
      <c r="E4353" s="71"/>
      <c r="F4353" s="57">
        <v>47</v>
      </c>
      <c r="G4353" s="57" t="s">
        <v>6628</v>
      </c>
      <c r="H4353" s="57" t="s">
        <v>343</v>
      </c>
      <c r="I4353" s="57" t="s">
        <v>6623</v>
      </c>
    </row>
    <row r="4354" spans="2:9" ht="13.5" customHeight="1">
      <c r="B4354" s="71" t="s">
        <v>5852</v>
      </c>
      <c r="D4354" s="71" t="s">
        <v>5853</v>
      </c>
      <c r="E4354" s="71"/>
      <c r="F4354" s="57">
        <v>48</v>
      </c>
      <c r="G4354" s="57" t="s">
        <v>6628</v>
      </c>
      <c r="H4354" s="57" t="s">
        <v>343</v>
      </c>
    </row>
    <row r="4355" spans="2:9" ht="13.5" customHeight="1">
      <c r="B4355" s="71" t="s">
        <v>5854</v>
      </c>
      <c r="D4355" s="71" t="s">
        <v>1038</v>
      </c>
      <c r="E4355" s="71"/>
      <c r="F4355" s="57">
        <v>48</v>
      </c>
      <c r="G4355" s="57" t="s">
        <v>6628</v>
      </c>
      <c r="H4355" s="57" t="s">
        <v>343</v>
      </c>
    </row>
    <row r="4356" spans="2:9" ht="13.5" customHeight="1">
      <c r="B4356" s="71" t="s">
        <v>3241</v>
      </c>
      <c r="D4356" s="71" t="s">
        <v>5855</v>
      </c>
      <c r="E4356" s="71"/>
      <c r="F4356" s="57">
        <v>50</v>
      </c>
      <c r="G4356" s="57" t="s">
        <v>6628</v>
      </c>
      <c r="H4356" s="57" t="s">
        <v>343</v>
      </c>
    </row>
    <row r="4357" spans="2:9" ht="13.5" customHeight="1">
      <c r="B4357" s="71" t="s">
        <v>5858</v>
      </c>
      <c r="D4357" s="71" t="s">
        <v>5859</v>
      </c>
      <c r="E4357" s="71"/>
      <c r="F4357" s="57">
        <v>59</v>
      </c>
      <c r="G4357" s="57" t="s">
        <v>6628</v>
      </c>
      <c r="H4357" s="57" t="s">
        <v>343</v>
      </c>
    </row>
    <row r="4358" spans="2:9" ht="13.5" customHeight="1">
      <c r="B4358" s="71" t="s">
        <v>5856</v>
      </c>
      <c r="D4358" s="71" t="s">
        <v>5857</v>
      </c>
      <c r="E4358" s="71"/>
      <c r="F4358" s="57">
        <v>59</v>
      </c>
      <c r="G4358" s="57" t="s">
        <v>6628</v>
      </c>
      <c r="H4358" s="57" t="s">
        <v>343</v>
      </c>
    </row>
    <row r="4359" spans="2:9" ht="13.5" customHeight="1">
      <c r="B4359" s="71" t="s">
        <v>5860</v>
      </c>
      <c r="D4359" s="71" t="s">
        <v>5861</v>
      </c>
      <c r="E4359" s="71"/>
      <c r="F4359" s="57">
        <v>74</v>
      </c>
      <c r="G4359" s="57" t="s">
        <v>6628</v>
      </c>
      <c r="H4359" s="57" t="s">
        <v>343</v>
      </c>
    </row>
    <row r="4360" spans="2:9" ht="13.5" customHeight="1">
      <c r="B4360" s="71" t="s">
        <v>5862</v>
      </c>
      <c r="D4360" s="71" t="s">
        <v>5863</v>
      </c>
      <c r="E4360" s="71"/>
      <c r="F4360" s="57">
        <v>76</v>
      </c>
      <c r="G4360" s="57" t="s">
        <v>6628</v>
      </c>
      <c r="H4360" s="57" t="s">
        <v>343</v>
      </c>
    </row>
    <row r="4361" spans="2:9" ht="13.5" customHeight="1">
      <c r="B4361" s="71" t="s">
        <v>319</v>
      </c>
      <c r="D4361" s="71" t="s">
        <v>320</v>
      </c>
      <c r="E4361" s="71"/>
      <c r="F4361" s="57">
        <v>81</v>
      </c>
      <c r="G4361" s="57" t="s">
        <v>6628</v>
      </c>
      <c r="H4361" s="57" t="s">
        <v>343</v>
      </c>
    </row>
    <row r="4362" spans="2:9" ht="13.5" customHeight="1">
      <c r="B4362" s="71" t="s">
        <v>5864</v>
      </c>
      <c r="D4362" s="71" t="s">
        <v>5864</v>
      </c>
      <c r="E4362" s="71"/>
      <c r="F4362" s="57">
        <v>98</v>
      </c>
      <c r="G4362" s="57" t="s">
        <v>6628</v>
      </c>
      <c r="H4362" s="57" t="s">
        <v>343</v>
      </c>
    </row>
    <row r="4363" spans="2:9" ht="13.5" customHeight="1">
      <c r="B4363" s="71" t="s">
        <v>5865</v>
      </c>
      <c r="D4363" s="71" t="s">
        <v>5866</v>
      </c>
      <c r="E4363" s="71"/>
      <c r="F4363" s="57">
        <v>163</v>
      </c>
      <c r="G4363" s="57" t="s">
        <v>6628</v>
      </c>
      <c r="H4363" s="57" t="s">
        <v>343</v>
      </c>
    </row>
    <row r="4364" spans="2:9" ht="13.5" customHeight="1">
      <c r="B4364" s="71" t="s">
        <v>5867</v>
      </c>
      <c r="D4364" s="71" t="s">
        <v>5867</v>
      </c>
      <c r="E4364" s="71"/>
      <c r="F4364" s="57">
        <v>168</v>
      </c>
      <c r="G4364" s="57" t="s">
        <v>6628</v>
      </c>
      <c r="H4364" s="57" t="s">
        <v>343</v>
      </c>
      <c r="I4364" s="57" t="s">
        <v>6623</v>
      </c>
    </row>
    <row r="4365" spans="2:9" ht="13.5" customHeight="1">
      <c r="B4365" s="71" t="s">
        <v>281</v>
      </c>
      <c r="D4365" s="71" t="s">
        <v>282</v>
      </c>
      <c r="E4365" s="71"/>
      <c r="F4365" s="57">
        <v>180</v>
      </c>
      <c r="G4365" s="57" t="s">
        <v>6628</v>
      </c>
      <c r="H4365" s="57" t="s">
        <v>343</v>
      </c>
    </row>
    <row r="4366" spans="2:9" ht="13.5" customHeight="1">
      <c r="B4366" s="71" t="s">
        <v>5868</v>
      </c>
      <c r="D4366" s="71" t="s">
        <v>5869</v>
      </c>
      <c r="E4366" s="71"/>
      <c r="F4366" s="57">
        <v>184</v>
      </c>
      <c r="G4366" s="57" t="s">
        <v>6628</v>
      </c>
      <c r="H4366" s="57" t="s">
        <v>343</v>
      </c>
    </row>
    <row r="4367" spans="2:9" ht="13.5" customHeight="1">
      <c r="B4367" s="71" t="s">
        <v>5870</v>
      </c>
      <c r="D4367" s="71" t="s">
        <v>5871</v>
      </c>
      <c r="E4367" s="71"/>
      <c r="F4367" s="57">
        <v>219</v>
      </c>
      <c r="G4367" s="57" t="s">
        <v>6628</v>
      </c>
      <c r="H4367" s="57" t="s">
        <v>343</v>
      </c>
    </row>
    <row r="4368" spans="2:9" ht="13.5" customHeight="1">
      <c r="B4368" s="71" t="s">
        <v>5872</v>
      </c>
      <c r="D4368" s="71" t="s">
        <v>3074</v>
      </c>
      <c r="E4368" s="71"/>
      <c r="F4368" s="57">
        <v>420</v>
      </c>
      <c r="G4368" s="57" t="s">
        <v>6628</v>
      </c>
      <c r="H4368" s="57" t="s">
        <v>343</v>
      </c>
    </row>
    <row r="4369" spans="2:8" ht="13.5" customHeight="1">
      <c r="B4369" s="71" t="s">
        <v>5873</v>
      </c>
      <c r="D4369" s="71" t="s">
        <v>5874</v>
      </c>
      <c r="E4369" s="71"/>
      <c r="F4369" s="57">
        <v>1</v>
      </c>
      <c r="G4369" s="57" t="s">
        <v>6628</v>
      </c>
      <c r="H4369" s="57" t="s">
        <v>1348</v>
      </c>
    </row>
    <row r="4370" spans="2:8" ht="13.5" customHeight="1">
      <c r="B4370" s="71" t="s">
        <v>5879</v>
      </c>
      <c r="D4370" s="71" t="s">
        <v>5880</v>
      </c>
      <c r="E4370" s="71"/>
      <c r="F4370" s="57">
        <v>1</v>
      </c>
      <c r="G4370" s="57" t="s">
        <v>6628</v>
      </c>
      <c r="H4370" s="57" t="s">
        <v>1348</v>
      </c>
    </row>
    <row r="4371" spans="2:8" ht="13.5" customHeight="1">
      <c r="B4371" s="71" t="s">
        <v>5875</v>
      </c>
      <c r="D4371" s="71" t="s">
        <v>5876</v>
      </c>
      <c r="E4371" s="71"/>
      <c r="F4371" s="57">
        <v>1</v>
      </c>
      <c r="G4371" s="57" t="s">
        <v>6628</v>
      </c>
      <c r="H4371" s="57" t="s">
        <v>1348</v>
      </c>
    </row>
    <row r="4372" spans="2:8" ht="13.5" customHeight="1">
      <c r="B4372" s="139" t="s">
        <v>8567</v>
      </c>
      <c r="D4372" s="109" t="s">
        <v>8568</v>
      </c>
      <c r="E4372" s="71"/>
      <c r="F4372" s="57">
        <v>1</v>
      </c>
      <c r="G4372" s="57" t="s">
        <v>6628</v>
      </c>
      <c r="H4372" s="57" t="s">
        <v>1348</v>
      </c>
    </row>
    <row r="4373" spans="2:8" ht="13.5" customHeight="1">
      <c r="B4373" s="109" t="s">
        <v>5587</v>
      </c>
      <c r="D4373" s="109" t="s">
        <v>8580</v>
      </c>
      <c r="E4373" s="71"/>
      <c r="F4373" s="57">
        <v>1</v>
      </c>
      <c r="G4373" s="57" t="s">
        <v>6628</v>
      </c>
      <c r="H4373" s="57" t="s">
        <v>1348</v>
      </c>
    </row>
    <row r="4374" spans="2:8" ht="13.5" customHeight="1">
      <c r="B4374" s="109" t="s">
        <v>8602</v>
      </c>
      <c r="D4374" s="109" t="s">
        <v>8603</v>
      </c>
      <c r="E4374" s="71"/>
      <c r="F4374" s="57">
        <v>1</v>
      </c>
      <c r="G4374" s="57" t="s">
        <v>6628</v>
      </c>
      <c r="H4374" s="57" t="s">
        <v>1348</v>
      </c>
    </row>
    <row r="4375" spans="2:8" ht="13.5" customHeight="1">
      <c r="B4375" s="71" t="s">
        <v>5881</v>
      </c>
      <c r="D4375" s="71" t="s">
        <v>5882</v>
      </c>
      <c r="E4375" s="71"/>
      <c r="F4375" s="57">
        <v>2</v>
      </c>
      <c r="G4375" s="57" t="s">
        <v>6628</v>
      </c>
      <c r="H4375" s="57" t="s">
        <v>1348</v>
      </c>
    </row>
    <row r="4376" spans="2:8" ht="13.5" customHeight="1">
      <c r="B4376" s="114" t="s">
        <v>8628</v>
      </c>
      <c r="D4376" s="114" t="s">
        <v>8629</v>
      </c>
      <c r="E4376" s="71"/>
      <c r="F4376" s="57">
        <v>2</v>
      </c>
      <c r="G4376" s="57" t="s">
        <v>6628</v>
      </c>
      <c r="H4376" s="57" t="s">
        <v>1348</v>
      </c>
    </row>
    <row r="4377" spans="2:8" ht="13.5" customHeight="1">
      <c r="B4377" s="71" t="s">
        <v>5883</v>
      </c>
      <c r="D4377" s="71" t="s">
        <v>5884</v>
      </c>
      <c r="E4377" s="71"/>
      <c r="F4377" s="57">
        <v>3</v>
      </c>
      <c r="G4377" s="57" t="s">
        <v>6628</v>
      </c>
      <c r="H4377" s="57" t="s">
        <v>1348</v>
      </c>
    </row>
    <row r="4378" spans="2:8" ht="13.5" customHeight="1">
      <c r="B4378" s="71" t="s">
        <v>5885</v>
      </c>
      <c r="D4378" s="71" t="s">
        <v>5886</v>
      </c>
      <c r="F4378" s="57">
        <v>4</v>
      </c>
      <c r="G4378" s="57" t="s">
        <v>6628</v>
      </c>
      <c r="H4378" s="57" t="s">
        <v>1348</v>
      </c>
    </row>
    <row r="4379" spans="2:8" ht="13.5" customHeight="1">
      <c r="B4379" s="71" t="s">
        <v>5887</v>
      </c>
      <c r="D4379" s="71" t="s">
        <v>5888</v>
      </c>
      <c r="F4379" s="57">
        <v>5</v>
      </c>
      <c r="G4379" s="57" t="s">
        <v>6628</v>
      </c>
      <c r="H4379" s="57" t="s">
        <v>1348</v>
      </c>
    </row>
    <row r="4380" spans="2:8" ht="13.5" customHeight="1">
      <c r="B4380" s="108" t="s">
        <v>8570</v>
      </c>
      <c r="D4380" s="109" t="s">
        <v>8571</v>
      </c>
      <c r="F4380" s="57">
        <v>5</v>
      </c>
      <c r="G4380" s="57" t="s">
        <v>6628</v>
      </c>
      <c r="H4380" s="57" t="s">
        <v>1348</v>
      </c>
    </row>
    <row r="4381" spans="2:8" ht="13.5" customHeight="1">
      <c r="B4381" s="111" t="s">
        <v>6136</v>
      </c>
      <c r="D4381" s="112" t="s">
        <v>6137</v>
      </c>
      <c r="F4381" s="57">
        <v>5</v>
      </c>
      <c r="G4381" s="57" t="s">
        <v>6628</v>
      </c>
      <c r="H4381" s="57" t="s">
        <v>1348</v>
      </c>
    </row>
    <row r="4382" spans="2:8" ht="13.5" customHeight="1">
      <c r="B4382" s="71" t="s">
        <v>376</v>
      </c>
      <c r="D4382" s="71" t="s">
        <v>5889</v>
      </c>
      <c r="F4382" s="57">
        <v>6</v>
      </c>
      <c r="G4382" s="57" t="s">
        <v>6628</v>
      </c>
      <c r="H4382" s="57" t="s">
        <v>1348</v>
      </c>
    </row>
    <row r="4383" spans="2:8" ht="13.5" customHeight="1">
      <c r="B4383" s="71" t="s">
        <v>5856</v>
      </c>
      <c r="D4383" s="71" t="s">
        <v>5890</v>
      </c>
      <c r="F4383" s="57">
        <v>6</v>
      </c>
      <c r="G4383" s="57" t="s">
        <v>6628</v>
      </c>
      <c r="H4383" s="57" t="s">
        <v>1348</v>
      </c>
    </row>
    <row r="4384" spans="2:8" ht="13.5" customHeight="1">
      <c r="B4384" s="71" t="s">
        <v>5891</v>
      </c>
      <c r="D4384" s="71" t="s">
        <v>5892</v>
      </c>
      <c r="F4384" s="57">
        <v>7</v>
      </c>
      <c r="G4384" s="57" t="s">
        <v>6628</v>
      </c>
      <c r="H4384" s="57" t="s">
        <v>1348</v>
      </c>
    </row>
    <row r="4385" spans="2:8" ht="13.5" customHeight="1">
      <c r="B4385" s="71" t="s">
        <v>5893</v>
      </c>
      <c r="D4385" s="71" t="s">
        <v>5894</v>
      </c>
      <c r="F4385" s="57">
        <v>8</v>
      </c>
      <c r="G4385" s="57" t="s">
        <v>6628</v>
      </c>
      <c r="H4385" s="57" t="s">
        <v>1348</v>
      </c>
    </row>
    <row r="4386" spans="2:8" ht="13.5" customHeight="1">
      <c r="B4386" s="71" t="s">
        <v>5895</v>
      </c>
      <c r="D4386" s="71" t="s">
        <v>5896</v>
      </c>
      <c r="F4386" s="57">
        <v>8</v>
      </c>
      <c r="G4386" s="57" t="s">
        <v>6628</v>
      </c>
      <c r="H4386" s="57" t="s">
        <v>1348</v>
      </c>
    </row>
    <row r="4387" spans="2:8" ht="13.5" customHeight="1">
      <c r="B4387" s="117" t="s">
        <v>8663</v>
      </c>
      <c r="D4387" s="118" t="s">
        <v>8664</v>
      </c>
      <c r="F4387" s="57">
        <v>14</v>
      </c>
      <c r="G4387" s="57" t="s">
        <v>6628</v>
      </c>
      <c r="H4387" s="57" t="s">
        <v>1348</v>
      </c>
    </row>
    <row r="4388" spans="2:8" ht="13.5" customHeight="1">
      <c r="B4388" s="71" t="s">
        <v>5897</v>
      </c>
      <c r="D4388" s="71" t="s">
        <v>5898</v>
      </c>
      <c r="F4388" s="57">
        <v>19</v>
      </c>
      <c r="G4388" s="57" t="s">
        <v>6628</v>
      </c>
      <c r="H4388" s="57" t="s">
        <v>1348</v>
      </c>
    </row>
    <row r="4389" spans="2:8" ht="13.5" customHeight="1">
      <c r="B4389" s="71" t="s">
        <v>5899</v>
      </c>
      <c r="D4389" s="71" t="s">
        <v>5900</v>
      </c>
      <c r="F4389" s="57">
        <v>20</v>
      </c>
      <c r="G4389" s="57" t="s">
        <v>6628</v>
      </c>
      <c r="H4389" s="57" t="s">
        <v>1348</v>
      </c>
    </row>
    <row r="4390" spans="2:8" ht="13.5" customHeight="1">
      <c r="B4390" s="113" t="s">
        <v>8659</v>
      </c>
      <c r="D4390" s="113" t="s">
        <v>8660</v>
      </c>
      <c r="F4390" s="57">
        <v>20</v>
      </c>
      <c r="G4390" s="57" t="s">
        <v>6628</v>
      </c>
      <c r="H4390" s="57" t="s">
        <v>1348</v>
      </c>
    </row>
    <row r="4391" spans="2:8" ht="13.5" customHeight="1">
      <c r="B4391" s="71" t="s">
        <v>5901</v>
      </c>
      <c r="D4391" s="71" t="s">
        <v>5902</v>
      </c>
      <c r="F4391" s="57">
        <v>29</v>
      </c>
      <c r="G4391" s="57" t="s">
        <v>6628</v>
      </c>
      <c r="H4391" s="57" t="s">
        <v>1348</v>
      </c>
    </row>
    <row r="4392" spans="2:8" ht="13.5" customHeight="1">
      <c r="B4392" s="116" t="s">
        <v>8654</v>
      </c>
      <c r="D4392" s="74" t="s">
        <v>8655</v>
      </c>
      <c r="F4392" s="57">
        <v>43</v>
      </c>
      <c r="G4392" s="57" t="s">
        <v>6628</v>
      </c>
      <c r="H4392" s="57" t="s">
        <v>1348</v>
      </c>
    </row>
    <row r="4393" spans="2:8" ht="13.5" customHeight="1">
      <c r="B4393" s="108" t="s">
        <v>8553</v>
      </c>
      <c r="D4393" s="109" t="s">
        <v>8554</v>
      </c>
      <c r="F4393" s="57">
        <v>44</v>
      </c>
      <c r="G4393" s="57" t="s">
        <v>6628</v>
      </c>
      <c r="H4393" s="57" t="s">
        <v>1348</v>
      </c>
    </row>
    <row r="4394" spans="2:8" ht="13.5" customHeight="1">
      <c r="B4394" s="109" t="s">
        <v>8665</v>
      </c>
      <c r="D4394" s="75" t="s">
        <v>8666</v>
      </c>
      <c r="F4394" s="57">
        <v>48</v>
      </c>
      <c r="G4394" s="57" t="s">
        <v>6628</v>
      </c>
      <c r="H4394" s="57" t="s">
        <v>1348</v>
      </c>
    </row>
    <row r="4395" spans="2:8" ht="13.5" customHeight="1">
      <c r="B4395" s="74" t="s">
        <v>8646</v>
      </c>
      <c r="D4395" s="74" t="s">
        <v>8647</v>
      </c>
      <c r="F4395" s="57">
        <v>49</v>
      </c>
      <c r="G4395" s="57" t="s">
        <v>6628</v>
      </c>
      <c r="H4395" s="57" t="s">
        <v>1348</v>
      </c>
    </row>
    <row r="4396" spans="2:8" ht="13.5" customHeight="1">
      <c r="B4396" s="74" t="s">
        <v>3798</v>
      </c>
      <c r="D4396" s="74" t="s">
        <v>4942</v>
      </c>
      <c r="F4396" s="57">
        <v>60</v>
      </c>
      <c r="G4396" s="57" t="s">
        <v>6628</v>
      </c>
      <c r="H4396" s="57" t="s">
        <v>1348</v>
      </c>
    </row>
    <row r="4397" spans="2:8" ht="13.5" customHeight="1">
      <c r="B4397" s="71" t="s">
        <v>9182</v>
      </c>
      <c r="D4397" s="71" t="s">
        <v>9181</v>
      </c>
      <c r="F4397" s="57">
        <v>69</v>
      </c>
      <c r="G4397" s="57" t="s">
        <v>6628</v>
      </c>
      <c r="H4397" s="57" t="s">
        <v>1348</v>
      </c>
    </row>
    <row r="4398" spans="2:8" ht="13.5" customHeight="1">
      <c r="B4398" s="74" t="s">
        <v>8644</v>
      </c>
      <c r="D4398" s="74" t="s">
        <v>8645</v>
      </c>
      <c r="F4398" s="57">
        <v>80</v>
      </c>
      <c r="G4398" s="57" t="s">
        <v>6628</v>
      </c>
      <c r="H4398" s="57" t="s">
        <v>1348</v>
      </c>
    </row>
    <row r="4399" spans="2:8" ht="13.5" customHeight="1">
      <c r="B4399" s="74" t="s">
        <v>8656</v>
      </c>
      <c r="D4399" s="74" t="s">
        <v>8657</v>
      </c>
      <c r="F4399" s="57">
        <v>86</v>
      </c>
      <c r="G4399" s="57" t="s">
        <v>6628</v>
      </c>
      <c r="H4399" s="57" t="s">
        <v>1348</v>
      </c>
    </row>
    <row r="4400" spans="2:8" ht="13.5" customHeight="1">
      <c r="B4400" s="74" t="s">
        <v>8650</v>
      </c>
      <c r="D4400" s="74" t="s">
        <v>8651</v>
      </c>
      <c r="F4400" s="57">
        <v>90</v>
      </c>
      <c r="G4400" s="57" t="s">
        <v>6628</v>
      </c>
      <c r="H4400" s="57" t="s">
        <v>1348</v>
      </c>
    </row>
    <row r="4401" spans="2:8" ht="13.5" customHeight="1">
      <c r="B4401" s="74" t="s">
        <v>8642</v>
      </c>
      <c r="D4401" s="74" t="s">
        <v>8643</v>
      </c>
      <c r="F4401" s="57">
        <v>120</v>
      </c>
      <c r="G4401" s="57" t="s">
        <v>6628</v>
      </c>
      <c r="H4401" s="57" t="s">
        <v>1348</v>
      </c>
    </row>
    <row r="4402" spans="2:8" ht="13.5" customHeight="1">
      <c r="B4402" s="132" t="s">
        <v>8652</v>
      </c>
      <c r="D4402" s="132" t="s">
        <v>8653</v>
      </c>
      <c r="F4402" s="57">
        <v>135</v>
      </c>
      <c r="G4402" s="57" t="s">
        <v>6628</v>
      </c>
      <c r="H4402" s="57" t="s">
        <v>1348</v>
      </c>
    </row>
    <row r="4403" spans="2:8" ht="13.5" customHeight="1">
      <c r="B4403" s="141" t="s">
        <v>7402</v>
      </c>
      <c r="D4403" s="141" t="s">
        <v>8641</v>
      </c>
      <c r="F4403" s="57">
        <v>160</v>
      </c>
      <c r="G4403" s="57" t="s">
        <v>6628</v>
      </c>
      <c r="H4403" s="57" t="s">
        <v>1348</v>
      </c>
    </row>
    <row r="4404" spans="2:8" ht="13.5" customHeight="1">
      <c r="B4404" s="136" t="s">
        <v>8648</v>
      </c>
      <c r="D4404" s="136" t="s">
        <v>8649</v>
      </c>
      <c r="F4404" s="57">
        <v>172</v>
      </c>
      <c r="G4404" s="57" t="s">
        <v>6628</v>
      </c>
      <c r="H4404" s="57" t="s">
        <v>1348</v>
      </c>
    </row>
    <row r="4405" spans="2:8" ht="13.5" customHeight="1">
      <c r="B4405" s="71" t="s">
        <v>5904</v>
      </c>
      <c r="D4405" s="71" t="s">
        <v>5905</v>
      </c>
      <c r="F4405" s="57">
        <v>3446</v>
      </c>
      <c r="G4405" s="57" t="s">
        <v>6628</v>
      </c>
      <c r="H4405" s="57" t="s">
        <v>1348</v>
      </c>
    </row>
    <row r="4406" spans="2:8" ht="13.5" customHeight="1">
      <c r="B4406" s="115" t="s">
        <v>8630</v>
      </c>
      <c r="D4406" s="115" t="s">
        <v>8630</v>
      </c>
      <c r="F4406" s="57">
        <v>2</v>
      </c>
      <c r="G4406" s="57" t="s">
        <v>6628</v>
      </c>
      <c r="H4406" s="57" t="s">
        <v>1351</v>
      </c>
    </row>
    <row r="4407" spans="2:8" ht="13.5" customHeight="1">
      <c r="B4407" s="71"/>
      <c r="D4407" s="71" t="s">
        <v>5909</v>
      </c>
      <c r="F4407" s="57">
        <v>3</v>
      </c>
      <c r="G4407" s="57" t="s">
        <v>6628</v>
      </c>
      <c r="H4407" s="57" t="s">
        <v>1351</v>
      </c>
    </row>
    <row r="4408" spans="2:8" ht="13.5" customHeight="1">
      <c r="B4408" s="102"/>
      <c r="D4408" s="102" t="s">
        <v>5907</v>
      </c>
      <c r="F4408" s="57">
        <v>3</v>
      </c>
      <c r="G4408" s="57" t="s">
        <v>6628</v>
      </c>
      <c r="H4408" s="57" t="s">
        <v>1351</v>
      </c>
    </row>
    <row r="4409" spans="2:8" ht="13.5" customHeight="1">
      <c r="B4409" s="71"/>
      <c r="D4409" s="71" t="s">
        <v>5906</v>
      </c>
      <c r="F4409" s="57">
        <v>3</v>
      </c>
      <c r="G4409" s="57" t="s">
        <v>6628</v>
      </c>
      <c r="H4409" s="57" t="s">
        <v>1351</v>
      </c>
    </row>
    <row r="4410" spans="2:8" ht="13.5" customHeight="1">
      <c r="B4410" s="71"/>
      <c r="D4410" s="71" t="s">
        <v>5908</v>
      </c>
      <c r="F4410" s="57">
        <v>3</v>
      </c>
      <c r="G4410" s="57" t="s">
        <v>6628</v>
      </c>
      <c r="H4410" s="57" t="s">
        <v>1351</v>
      </c>
    </row>
    <row r="4411" spans="2:8" ht="13.5" customHeight="1">
      <c r="B4411" s="74" t="s">
        <v>5784</v>
      </c>
      <c r="D4411" s="74" t="s">
        <v>8658</v>
      </c>
      <c r="F4411" s="57">
        <v>5</v>
      </c>
      <c r="G4411" s="57" t="s">
        <v>6628</v>
      </c>
      <c r="H4411" s="57" t="s">
        <v>1351</v>
      </c>
    </row>
    <row r="4412" spans="2:8" ht="13.5" customHeight="1">
      <c r="B4412" s="71" t="s">
        <v>8671</v>
      </c>
      <c r="D4412" s="71" t="s">
        <v>8671</v>
      </c>
      <c r="F4412" s="57">
        <v>6</v>
      </c>
      <c r="G4412" s="57" t="s">
        <v>6628</v>
      </c>
      <c r="H4412" s="57" t="s">
        <v>1351</v>
      </c>
    </row>
    <row r="4413" spans="2:8" ht="13.5" customHeight="1">
      <c r="B4413" s="72" t="s">
        <v>5798</v>
      </c>
      <c r="D4413" s="73" t="s">
        <v>8625</v>
      </c>
      <c r="F4413" s="57">
        <v>7</v>
      </c>
      <c r="G4413" s="57" t="s">
        <v>6628</v>
      </c>
      <c r="H4413" s="57" t="s">
        <v>1351</v>
      </c>
    </row>
    <row r="4414" spans="2:8" ht="13.5" customHeight="1">
      <c r="B4414" s="78" t="s">
        <v>8325</v>
      </c>
      <c r="C4414" s="64" t="s">
        <v>8326</v>
      </c>
      <c r="D4414" s="78" t="s">
        <v>8327</v>
      </c>
      <c r="F4414" s="57">
        <v>8</v>
      </c>
      <c r="G4414" s="57" t="s">
        <v>6628</v>
      </c>
      <c r="H4414" s="57" t="s">
        <v>1351</v>
      </c>
    </row>
    <row r="4415" spans="2:8" ht="13.5" customHeight="1">
      <c r="B4415" s="113" t="s">
        <v>8661</v>
      </c>
      <c r="D4415" s="115" t="s">
        <v>8662</v>
      </c>
      <c r="F4415" s="57">
        <v>19</v>
      </c>
      <c r="G4415" s="57" t="s">
        <v>6628</v>
      </c>
      <c r="H4415" s="57" t="s">
        <v>1351</v>
      </c>
    </row>
    <row r="4416" spans="2:8" ht="13.5" customHeight="1">
      <c r="B4416" s="72" t="s">
        <v>8604</v>
      </c>
      <c r="D4416" s="72" t="s">
        <v>8605</v>
      </c>
      <c r="F4416" s="57">
        <v>1</v>
      </c>
      <c r="G4416" s="57" t="s">
        <v>6628</v>
      </c>
      <c r="H4416" s="57" t="s">
        <v>344</v>
      </c>
    </row>
    <row r="4417" spans="2:8" ht="13.5" customHeight="1">
      <c r="B4417" s="71" t="s">
        <v>5913</v>
      </c>
      <c r="D4417" s="71" t="s">
        <v>5914</v>
      </c>
      <c r="F4417" s="57">
        <v>2</v>
      </c>
      <c r="G4417" s="57" t="s">
        <v>6628</v>
      </c>
      <c r="H4417" s="57" t="s">
        <v>344</v>
      </c>
    </row>
    <row r="4418" spans="2:8" ht="13.5" customHeight="1">
      <c r="B4418" s="71" t="s">
        <v>3325</v>
      </c>
      <c r="D4418" s="71" t="s">
        <v>5910</v>
      </c>
      <c r="F4418" s="57">
        <v>2</v>
      </c>
      <c r="G4418" s="57" t="s">
        <v>6628</v>
      </c>
      <c r="H4418" s="57" t="s">
        <v>344</v>
      </c>
    </row>
    <row r="4419" spans="2:8" ht="13.5" customHeight="1">
      <c r="B4419" s="102" t="s">
        <v>5915</v>
      </c>
      <c r="D4419" s="102" t="s">
        <v>3875</v>
      </c>
      <c r="F4419" s="57">
        <v>2</v>
      </c>
      <c r="G4419" s="57" t="s">
        <v>6628</v>
      </c>
      <c r="H4419" s="57" t="s">
        <v>344</v>
      </c>
    </row>
    <row r="4420" spans="2:8" ht="13.5" customHeight="1">
      <c r="B4420" s="57" t="s">
        <v>5911</v>
      </c>
      <c r="D4420" s="57" t="s">
        <v>5912</v>
      </c>
      <c r="F4420" s="57">
        <v>2</v>
      </c>
      <c r="G4420" s="57" t="s">
        <v>6628</v>
      </c>
      <c r="H4420" s="57" t="s">
        <v>344</v>
      </c>
    </row>
    <row r="4421" spans="2:8" ht="13.5" customHeight="1">
      <c r="B4421" s="136" t="s">
        <v>8631</v>
      </c>
      <c r="D4421" s="136" t="s">
        <v>8632</v>
      </c>
      <c r="F4421" s="57">
        <v>2</v>
      </c>
      <c r="G4421" s="57" t="s">
        <v>6628</v>
      </c>
      <c r="H4421" s="57" t="s">
        <v>344</v>
      </c>
    </row>
    <row r="4422" spans="2:8" ht="13.5" customHeight="1">
      <c r="B4422" s="109" t="s">
        <v>8667</v>
      </c>
      <c r="D4422" s="79" t="s">
        <v>8668</v>
      </c>
      <c r="F4422" s="57">
        <v>2</v>
      </c>
      <c r="G4422" s="57" t="s">
        <v>6628</v>
      </c>
      <c r="H4422" s="57" t="s">
        <v>344</v>
      </c>
    </row>
    <row r="4423" spans="2:8" ht="13.5" customHeight="1">
      <c r="B4423" s="109" t="s">
        <v>8672</v>
      </c>
      <c r="D4423" s="109" t="s">
        <v>8672</v>
      </c>
      <c r="F4423" s="57">
        <v>2</v>
      </c>
      <c r="G4423" s="57" t="s">
        <v>6628</v>
      </c>
      <c r="H4423" s="57" t="s">
        <v>344</v>
      </c>
    </row>
    <row r="4424" spans="2:8" ht="13.5" customHeight="1">
      <c r="B4424" s="71" t="s">
        <v>5918</v>
      </c>
      <c r="D4424" s="71" t="s">
        <v>5919</v>
      </c>
      <c r="F4424" s="57">
        <v>4</v>
      </c>
      <c r="G4424" s="57" t="s">
        <v>6628</v>
      </c>
      <c r="H4424" s="57" t="s">
        <v>344</v>
      </c>
    </row>
    <row r="4425" spans="2:8" ht="13.5" customHeight="1">
      <c r="B4425" s="71" t="s">
        <v>5916</v>
      </c>
      <c r="D4425" s="71" t="s">
        <v>5917</v>
      </c>
      <c r="F4425" s="57">
        <v>4</v>
      </c>
      <c r="G4425" s="57" t="s">
        <v>6628</v>
      </c>
      <c r="H4425" s="57" t="s">
        <v>344</v>
      </c>
    </row>
    <row r="4426" spans="2:8" ht="13.5" customHeight="1">
      <c r="B4426" s="113" t="s">
        <v>8598</v>
      </c>
      <c r="D4426" s="109" t="s">
        <v>8599</v>
      </c>
      <c r="F4426" s="57">
        <v>4</v>
      </c>
      <c r="G4426" s="57" t="s">
        <v>6628</v>
      </c>
      <c r="H4426" s="57" t="s">
        <v>344</v>
      </c>
    </row>
    <row r="4427" spans="2:8" ht="13.5" customHeight="1">
      <c r="B4427" s="71" t="s">
        <v>5920</v>
      </c>
      <c r="D4427" s="71" t="s">
        <v>5921</v>
      </c>
      <c r="F4427" s="57">
        <v>5</v>
      </c>
      <c r="G4427" s="57" t="s">
        <v>6628</v>
      </c>
      <c r="H4427" s="57" t="s">
        <v>344</v>
      </c>
    </row>
    <row r="4428" spans="2:8" ht="13.5" customHeight="1">
      <c r="B4428" s="71" t="s">
        <v>1376</v>
      </c>
      <c r="D4428" s="71" t="s">
        <v>1377</v>
      </c>
      <c r="F4428" s="57">
        <v>5</v>
      </c>
      <c r="G4428" s="57" t="s">
        <v>6628</v>
      </c>
      <c r="H4428" s="57" t="s">
        <v>344</v>
      </c>
    </row>
    <row r="4429" spans="2:8" ht="13.5" customHeight="1">
      <c r="B4429" s="71" t="s">
        <v>5922</v>
      </c>
      <c r="D4429" s="71" t="s">
        <v>5923</v>
      </c>
      <c r="F4429" s="57">
        <v>9</v>
      </c>
      <c r="G4429" s="57" t="s">
        <v>6628</v>
      </c>
      <c r="H4429" s="57" t="s">
        <v>344</v>
      </c>
    </row>
    <row r="4430" spans="2:8" ht="13.5" customHeight="1">
      <c r="B4430" s="71" t="s">
        <v>5924</v>
      </c>
      <c r="D4430" s="71" t="s">
        <v>5925</v>
      </c>
      <c r="F4430" s="57">
        <v>10</v>
      </c>
      <c r="G4430" s="57" t="s">
        <v>6628</v>
      </c>
      <c r="H4430" s="57" t="s">
        <v>344</v>
      </c>
    </row>
    <row r="4431" spans="2:8" ht="13.5" customHeight="1">
      <c r="B4431" s="71" t="s">
        <v>5928</v>
      </c>
      <c r="D4431" s="71" t="s">
        <v>5929</v>
      </c>
      <c r="F4431" s="57">
        <v>10</v>
      </c>
      <c r="G4431" s="57" t="s">
        <v>6628</v>
      </c>
      <c r="H4431" s="57" t="s">
        <v>344</v>
      </c>
    </row>
    <row r="4432" spans="2:8" ht="13.5" customHeight="1">
      <c r="B4432" s="71" t="s">
        <v>5926</v>
      </c>
      <c r="D4432" s="71" t="s">
        <v>5927</v>
      </c>
      <c r="F4432" s="57">
        <v>10</v>
      </c>
      <c r="G4432" s="57" t="s">
        <v>6628</v>
      </c>
      <c r="H4432" s="57" t="s">
        <v>344</v>
      </c>
    </row>
    <row r="4433" spans="2:8" ht="13.5" customHeight="1">
      <c r="B4433" s="71" t="s">
        <v>1408</v>
      </c>
      <c r="D4433" s="71" t="s">
        <v>1409</v>
      </c>
      <c r="F4433" s="57">
        <v>10</v>
      </c>
      <c r="G4433" s="57" t="s">
        <v>6628</v>
      </c>
      <c r="H4433" s="57" t="s">
        <v>344</v>
      </c>
    </row>
    <row r="4434" spans="2:8" ht="13.5" customHeight="1">
      <c r="B4434" s="71" t="s">
        <v>5932</v>
      </c>
      <c r="D4434" s="71" t="s">
        <v>5933</v>
      </c>
      <c r="F4434" s="57">
        <v>12</v>
      </c>
      <c r="G4434" s="57" t="s">
        <v>6628</v>
      </c>
      <c r="H4434" s="57" t="s">
        <v>344</v>
      </c>
    </row>
    <row r="4435" spans="2:8" ht="13.5" customHeight="1">
      <c r="B4435" s="71" t="s">
        <v>5934</v>
      </c>
      <c r="D4435" s="71" t="s">
        <v>5935</v>
      </c>
      <c r="F4435" s="57">
        <v>12</v>
      </c>
      <c r="G4435" s="57" t="s">
        <v>6628</v>
      </c>
      <c r="H4435" s="57" t="s">
        <v>344</v>
      </c>
    </row>
    <row r="4436" spans="2:8" ht="13.5" customHeight="1">
      <c r="B4436" s="71" t="s">
        <v>5930</v>
      </c>
      <c r="D4436" s="71" t="s">
        <v>5931</v>
      </c>
      <c r="F4436" s="57">
        <v>12</v>
      </c>
      <c r="G4436" s="57" t="s">
        <v>6628</v>
      </c>
      <c r="H4436" s="57" t="s">
        <v>344</v>
      </c>
    </row>
    <row r="4437" spans="2:8" ht="13.5" customHeight="1">
      <c r="B4437" s="109" t="s">
        <v>8669</v>
      </c>
      <c r="D4437" s="109" t="s">
        <v>8670</v>
      </c>
      <c r="F4437" s="57">
        <v>13</v>
      </c>
      <c r="G4437" s="57" t="s">
        <v>6628</v>
      </c>
      <c r="H4437" s="57" t="s">
        <v>344</v>
      </c>
    </row>
    <row r="4438" spans="2:8" ht="13.5" customHeight="1">
      <c r="B4438" s="71" t="s">
        <v>5936</v>
      </c>
      <c r="D4438" s="71" t="s">
        <v>5937</v>
      </c>
      <c r="F4438" s="57">
        <v>15</v>
      </c>
      <c r="G4438" s="57" t="s">
        <v>6628</v>
      </c>
      <c r="H4438" s="57" t="s">
        <v>344</v>
      </c>
    </row>
    <row r="4439" spans="2:8" ht="13.5" customHeight="1">
      <c r="B4439" s="71" t="s">
        <v>5938</v>
      </c>
      <c r="D4439" s="71" t="s">
        <v>4321</v>
      </c>
      <c r="F4439" s="57">
        <v>18</v>
      </c>
      <c r="G4439" s="57" t="s">
        <v>6628</v>
      </c>
      <c r="H4439" s="57" t="s">
        <v>344</v>
      </c>
    </row>
    <row r="4440" spans="2:8" ht="13.5" customHeight="1">
      <c r="B4440" s="71" t="s">
        <v>5943</v>
      </c>
      <c r="D4440" s="71" t="s">
        <v>5944</v>
      </c>
      <c r="F4440" s="57">
        <v>22</v>
      </c>
      <c r="G4440" s="57" t="s">
        <v>6628</v>
      </c>
      <c r="H4440" s="57" t="s">
        <v>344</v>
      </c>
    </row>
    <row r="4441" spans="2:8" ht="13.5" customHeight="1">
      <c r="B4441" s="71" t="s">
        <v>5941</v>
      </c>
      <c r="D4441" s="71" t="s">
        <v>5942</v>
      </c>
      <c r="F4441" s="57">
        <v>22</v>
      </c>
      <c r="G4441" s="57" t="s">
        <v>6628</v>
      </c>
      <c r="H4441" s="57" t="s">
        <v>344</v>
      </c>
    </row>
    <row r="4442" spans="2:8" ht="13.5" customHeight="1">
      <c r="B4442" s="68" t="s">
        <v>5939</v>
      </c>
      <c r="D4442" s="68" t="s">
        <v>5940</v>
      </c>
      <c r="F4442" s="57">
        <v>22</v>
      </c>
      <c r="G4442" s="57" t="s">
        <v>6628</v>
      </c>
      <c r="H4442" s="57" t="s">
        <v>344</v>
      </c>
    </row>
    <row r="4443" spans="2:8" ht="13.5" customHeight="1">
      <c r="B4443" s="71" t="s">
        <v>4435</v>
      </c>
      <c r="C4443" s="71"/>
      <c r="D4443" s="71" t="s">
        <v>4436</v>
      </c>
      <c r="E4443" s="71"/>
      <c r="F4443" s="57">
        <v>25</v>
      </c>
      <c r="G4443" s="57" t="s">
        <v>6628</v>
      </c>
      <c r="H4443" s="57" t="s">
        <v>344</v>
      </c>
    </row>
    <row r="4444" spans="2:8" ht="13.5" customHeight="1">
      <c r="B4444" s="108" t="s">
        <v>1374</v>
      </c>
      <c r="C4444" s="71"/>
      <c r="D4444" s="109" t="s">
        <v>1375</v>
      </c>
      <c r="E4444" s="71"/>
      <c r="F4444" s="57">
        <v>26</v>
      </c>
      <c r="G4444" s="57" t="s">
        <v>6628</v>
      </c>
      <c r="H4444" s="57" t="s">
        <v>344</v>
      </c>
    </row>
    <row r="4445" spans="2:8" ht="13.5" customHeight="1">
      <c r="B4445" s="71" t="s">
        <v>5945</v>
      </c>
      <c r="C4445" s="71"/>
      <c r="D4445" s="71" t="s">
        <v>5946</v>
      </c>
      <c r="E4445" s="71"/>
      <c r="F4445" s="57">
        <v>41</v>
      </c>
      <c r="G4445" s="57" t="s">
        <v>6628</v>
      </c>
      <c r="H4445" s="57" t="s">
        <v>344</v>
      </c>
    </row>
    <row r="4446" spans="2:8" ht="13.5" customHeight="1">
      <c r="B4446" s="71" t="s">
        <v>5947</v>
      </c>
      <c r="C4446" s="71"/>
      <c r="D4446" s="71" t="s">
        <v>5948</v>
      </c>
      <c r="E4446" s="71"/>
      <c r="F4446" s="57">
        <v>42</v>
      </c>
      <c r="G4446" s="57" t="s">
        <v>6628</v>
      </c>
      <c r="H4446" s="57" t="s">
        <v>344</v>
      </c>
    </row>
    <row r="4447" spans="2:8" ht="13.5" customHeight="1">
      <c r="B4447" s="71" t="s">
        <v>5949</v>
      </c>
      <c r="C4447" s="71"/>
      <c r="D4447" s="71" t="s">
        <v>5950</v>
      </c>
      <c r="E4447" s="71"/>
      <c r="F4447" s="57">
        <v>46</v>
      </c>
      <c r="G4447" s="57" t="s">
        <v>6628</v>
      </c>
      <c r="H4447" s="57" t="s">
        <v>344</v>
      </c>
    </row>
    <row r="4448" spans="2:8" ht="13.5" customHeight="1">
      <c r="B4448" s="71" t="s">
        <v>1370</v>
      </c>
      <c r="C4448" s="71"/>
      <c r="D4448" s="71" t="s">
        <v>1371</v>
      </c>
      <c r="E4448" s="71"/>
      <c r="F4448" s="57">
        <v>48</v>
      </c>
      <c r="G4448" s="57" t="s">
        <v>6628</v>
      </c>
      <c r="H4448" s="57" t="s">
        <v>344</v>
      </c>
    </row>
    <row r="4449" spans="2:8" ht="13.5" customHeight="1">
      <c r="B4449" s="71" t="s">
        <v>5953</v>
      </c>
      <c r="D4449" s="71" t="s">
        <v>5954</v>
      </c>
      <c r="E4449" s="71"/>
      <c r="F4449" s="57">
        <v>50</v>
      </c>
      <c r="G4449" s="57" t="s">
        <v>6628</v>
      </c>
      <c r="H4449" s="57" t="s">
        <v>344</v>
      </c>
    </row>
    <row r="4450" spans="2:8" ht="13.5" customHeight="1">
      <c r="B4450" s="71" t="s">
        <v>2975</v>
      </c>
      <c r="C4450" s="71"/>
      <c r="D4450" s="71" t="s">
        <v>1163</v>
      </c>
      <c r="E4450" s="71"/>
      <c r="F4450" s="57">
        <v>50</v>
      </c>
      <c r="G4450" s="57" t="s">
        <v>6628</v>
      </c>
      <c r="H4450" s="57" t="s">
        <v>344</v>
      </c>
    </row>
    <row r="4451" spans="2:8" ht="13.5" customHeight="1">
      <c r="B4451" s="71" t="s">
        <v>5951</v>
      </c>
      <c r="C4451" s="71"/>
      <c r="D4451" s="71" t="s">
        <v>5952</v>
      </c>
      <c r="E4451" s="71"/>
      <c r="F4451" s="57">
        <v>50</v>
      </c>
      <c r="G4451" s="57" t="s">
        <v>6628</v>
      </c>
      <c r="H4451" s="57" t="s">
        <v>344</v>
      </c>
    </row>
    <row r="4452" spans="2:8" ht="13.5" customHeight="1">
      <c r="B4452" s="108" t="s">
        <v>8547</v>
      </c>
      <c r="C4452" s="71"/>
      <c r="D4452" s="109" t="s">
        <v>8548</v>
      </c>
      <c r="E4452" s="71"/>
      <c r="F4452" s="57">
        <v>50</v>
      </c>
      <c r="G4452" s="57" t="s">
        <v>6628</v>
      </c>
      <c r="H4452" s="57" t="s">
        <v>344</v>
      </c>
    </row>
    <row r="4453" spans="2:8" ht="13.5" customHeight="1">
      <c r="B4453" s="71" t="s">
        <v>5955</v>
      </c>
      <c r="C4453" s="71"/>
      <c r="D4453" s="71" t="s">
        <v>5956</v>
      </c>
      <c r="E4453" s="71"/>
      <c r="F4453" s="57">
        <v>57</v>
      </c>
      <c r="G4453" s="57" t="s">
        <v>6628</v>
      </c>
      <c r="H4453" s="57" t="s">
        <v>344</v>
      </c>
    </row>
    <row r="4454" spans="2:8" ht="13.5" customHeight="1">
      <c r="B4454" s="108" t="s">
        <v>8555</v>
      </c>
      <c r="C4454" s="71"/>
      <c r="D4454" s="109" t="s">
        <v>8556</v>
      </c>
      <c r="E4454" s="71"/>
      <c r="F4454" s="57">
        <v>70</v>
      </c>
      <c r="G4454" s="57" t="s">
        <v>6628</v>
      </c>
      <c r="H4454" s="57" t="s">
        <v>344</v>
      </c>
    </row>
    <row r="4455" spans="2:8" ht="13.5" customHeight="1">
      <c r="B4455" s="71" t="s">
        <v>5835</v>
      </c>
      <c r="C4455" s="71"/>
      <c r="D4455" s="71" t="s">
        <v>5957</v>
      </c>
      <c r="E4455" s="71"/>
      <c r="F4455" s="57">
        <v>72</v>
      </c>
      <c r="G4455" s="57" t="s">
        <v>6628</v>
      </c>
      <c r="H4455" s="57" t="s">
        <v>344</v>
      </c>
    </row>
    <row r="4456" spans="2:8" ht="13.5" customHeight="1">
      <c r="B4456" s="71" t="s">
        <v>1366</v>
      </c>
      <c r="C4456" s="71"/>
      <c r="D4456" s="71" t="s">
        <v>1367</v>
      </c>
      <c r="E4456" s="71"/>
      <c r="F4456" s="57">
        <v>78</v>
      </c>
      <c r="G4456" s="57" t="s">
        <v>6628</v>
      </c>
      <c r="H4456" s="57" t="s">
        <v>344</v>
      </c>
    </row>
    <row r="4457" spans="2:8" ht="13.5" customHeight="1">
      <c r="B4457" s="108" t="s">
        <v>8593</v>
      </c>
      <c r="C4457" s="71"/>
      <c r="D4457" s="109" t="s">
        <v>1344</v>
      </c>
      <c r="E4457" s="71"/>
      <c r="F4457" s="57">
        <v>81</v>
      </c>
      <c r="G4457" s="57" t="s">
        <v>6628</v>
      </c>
      <c r="H4457" s="57" t="s">
        <v>344</v>
      </c>
    </row>
    <row r="4458" spans="2:8" ht="13.5" customHeight="1">
      <c r="B4458" s="71" t="s">
        <v>1284</v>
      </c>
      <c r="C4458" s="71"/>
      <c r="D4458" s="71" t="s">
        <v>5958</v>
      </c>
      <c r="E4458" s="71"/>
      <c r="F4458" s="57">
        <v>104</v>
      </c>
      <c r="G4458" s="57" t="s">
        <v>6628</v>
      </c>
      <c r="H4458" s="57" t="s">
        <v>344</v>
      </c>
    </row>
    <row r="4459" spans="2:8" ht="13.5" customHeight="1">
      <c r="B4459" s="71" t="s">
        <v>5959</v>
      </c>
      <c r="C4459" s="71"/>
      <c r="D4459" s="71" t="s">
        <v>5960</v>
      </c>
      <c r="E4459" s="71"/>
      <c r="F4459" s="57">
        <v>116</v>
      </c>
      <c r="G4459" s="57" t="s">
        <v>6628</v>
      </c>
      <c r="H4459" s="57" t="s">
        <v>344</v>
      </c>
    </row>
    <row r="4460" spans="2:8" ht="13.5" customHeight="1">
      <c r="B4460" s="71" t="s">
        <v>5961</v>
      </c>
      <c r="C4460" s="71"/>
      <c r="D4460" s="71" t="s">
        <v>5962</v>
      </c>
      <c r="E4460" s="71"/>
      <c r="F4460" s="57">
        <v>124</v>
      </c>
      <c r="G4460" s="57" t="s">
        <v>6628</v>
      </c>
      <c r="H4460" s="57" t="s">
        <v>344</v>
      </c>
    </row>
    <row r="4461" spans="2:8" ht="13.5" customHeight="1">
      <c r="B4461" s="71" t="s">
        <v>5963</v>
      </c>
      <c r="C4461" s="71"/>
      <c r="D4461" s="71" t="s">
        <v>5964</v>
      </c>
      <c r="E4461" s="71"/>
      <c r="F4461" s="57">
        <v>128</v>
      </c>
      <c r="G4461" s="57" t="s">
        <v>6628</v>
      </c>
      <c r="H4461" s="57" t="s">
        <v>344</v>
      </c>
    </row>
    <row r="4462" spans="2:8" ht="13.5" customHeight="1">
      <c r="B4462" s="72" t="s">
        <v>8616</v>
      </c>
      <c r="C4462" s="71"/>
      <c r="D4462" s="72" t="s">
        <v>8617</v>
      </c>
      <c r="E4462" s="71"/>
      <c r="F4462" s="57">
        <v>340</v>
      </c>
      <c r="G4462" s="57" t="s">
        <v>6628</v>
      </c>
      <c r="H4462" s="57" t="s">
        <v>344</v>
      </c>
    </row>
    <row r="4463" spans="2:8" ht="13.5" customHeight="1">
      <c r="B4463" s="71" t="s">
        <v>5965</v>
      </c>
      <c r="C4463" s="71"/>
      <c r="D4463" s="71" t="s">
        <v>5965</v>
      </c>
      <c r="E4463" s="71"/>
      <c r="F4463" s="57">
        <v>459</v>
      </c>
      <c r="G4463" s="57" t="s">
        <v>6628</v>
      </c>
      <c r="H4463" s="57" t="s">
        <v>344</v>
      </c>
    </row>
    <row r="4464" spans="2:8" ht="13.5" customHeight="1">
      <c r="B4464" s="71" t="s">
        <v>5966</v>
      </c>
      <c r="C4464" s="71"/>
      <c r="D4464" s="71" t="s">
        <v>5967</v>
      </c>
      <c r="E4464" s="71"/>
      <c r="F4464" s="57">
        <v>2</v>
      </c>
      <c r="G4464" s="57" t="s">
        <v>6628</v>
      </c>
      <c r="H4464" s="57" t="s">
        <v>345</v>
      </c>
    </row>
    <row r="4465" spans="2:8" ht="13.5" customHeight="1">
      <c r="B4465" s="71" t="s">
        <v>5968</v>
      </c>
      <c r="C4465" s="71"/>
      <c r="D4465" s="71" t="s">
        <v>5969</v>
      </c>
      <c r="E4465" s="71"/>
      <c r="F4465" s="57">
        <v>4</v>
      </c>
      <c r="G4465" s="57" t="s">
        <v>6628</v>
      </c>
      <c r="H4465" s="57" t="s">
        <v>345</v>
      </c>
    </row>
    <row r="4466" spans="2:8" ht="13.5" customHeight="1">
      <c r="B4466" s="71" t="s">
        <v>5970</v>
      </c>
      <c r="C4466" s="71"/>
      <c r="D4466" s="71" t="s">
        <v>5971</v>
      </c>
      <c r="E4466" s="71"/>
      <c r="F4466" s="57">
        <v>5</v>
      </c>
      <c r="G4466" s="57" t="s">
        <v>6628</v>
      </c>
      <c r="H4466" s="57" t="s">
        <v>345</v>
      </c>
    </row>
    <row r="4467" spans="2:8" ht="13.5" customHeight="1">
      <c r="B4467" s="71" t="s">
        <v>5972</v>
      </c>
      <c r="C4467" s="71"/>
      <c r="D4467" s="71" t="s">
        <v>5973</v>
      </c>
      <c r="E4467" s="71"/>
      <c r="F4467" s="57">
        <v>6</v>
      </c>
      <c r="G4467" s="57" t="s">
        <v>6628</v>
      </c>
      <c r="H4467" s="57" t="s">
        <v>345</v>
      </c>
    </row>
    <row r="4468" spans="2:8" ht="13.5" customHeight="1">
      <c r="B4468" s="71" t="s">
        <v>5974</v>
      </c>
      <c r="C4468" s="71"/>
      <c r="D4468" s="71" t="s">
        <v>5975</v>
      </c>
      <c r="E4468" s="71"/>
      <c r="F4468" s="57">
        <v>7</v>
      </c>
      <c r="G4468" s="57" t="s">
        <v>6628</v>
      </c>
      <c r="H4468" s="57" t="s">
        <v>345</v>
      </c>
    </row>
    <row r="4469" spans="2:8" ht="13.5" customHeight="1">
      <c r="B4469" s="71" t="s">
        <v>5976</v>
      </c>
      <c r="C4469" s="71"/>
      <c r="D4469" s="71" t="s">
        <v>5977</v>
      </c>
      <c r="E4469" s="71"/>
      <c r="F4469" s="57">
        <v>8</v>
      </c>
      <c r="G4469" s="57" t="s">
        <v>6628</v>
      </c>
      <c r="H4469" s="57" t="s">
        <v>345</v>
      </c>
    </row>
    <row r="4470" spans="2:8" ht="13.5" customHeight="1">
      <c r="B4470" s="71" t="s">
        <v>5978</v>
      </c>
      <c r="C4470" s="71"/>
      <c r="D4470" s="71" t="s">
        <v>5979</v>
      </c>
      <c r="E4470" s="71"/>
      <c r="F4470" s="57">
        <v>16</v>
      </c>
      <c r="G4470" s="57" t="s">
        <v>6628</v>
      </c>
      <c r="H4470" s="57" t="s">
        <v>345</v>
      </c>
    </row>
    <row r="4471" spans="2:8" ht="13.5" customHeight="1">
      <c r="B4471" s="71" t="s">
        <v>5980</v>
      </c>
      <c r="C4471" s="71"/>
      <c r="D4471" s="71" t="s">
        <v>5981</v>
      </c>
      <c r="E4471" s="71"/>
      <c r="F4471" s="57">
        <v>35</v>
      </c>
      <c r="G4471" s="57" t="s">
        <v>6628</v>
      </c>
      <c r="H4471" s="57" t="s">
        <v>345</v>
      </c>
    </row>
    <row r="4472" spans="2:8" ht="13.5" customHeight="1">
      <c r="B4472" s="71" t="s">
        <v>5982</v>
      </c>
      <c r="C4472" s="71"/>
      <c r="D4472" s="71" t="s">
        <v>5983</v>
      </c>
      <c r="E4472" s="71"/>
      <c r="F4472" s="57">
        <v>58</v>
      </c>
      <c r="G4472" s="57" t="s">
        <v>6628</v>
      </c>
      <c r="H4472" s="57" t="s">
        <v>345</v>
      </c>
    </row>
    <row r="4473" spans="2:8" ht="13.5" customHeight="1">
      <c r="B4473" s="102" t="s">
        <v>5984</v>
      </c>
      <c r="C4473" s="71"/>
      <c r="D4473" s="102" t="s">
        <v>5985</v>
      </c>
      <c r="E4473" s="102"/>
      <c r="F4473" s="57">
        <v>2776</v>
      </c>
      <c r="G4473" s="57" t="s">
        <v>6628</v>
      </c>
      <c r="H4473" s="57" t="s">
        <v>345</v>
      </c>
    </row>
    <row r="4474" spans="2:8" ht="13.5" customHeight="1">
      <c r="B4474" s="71" t="s">
        <v>3530</v>
      </c>
      <c r="C4474" s="104"/>
      <c r="D4474" s="71" t="s">
        <v>5986</v>
      </c>
      <c r="E4474" s="71"/>
      <c r="F4474" s="57">
        <v>2777</v>
      </c>
      <c r="G4474" s="57" t="s">
        <v>6628</v>
      </c>
      <c r="H4474" s="57" t="s">
        <v>345</v>
      </c>
    </row>
    <row r="4475" spans="2:8" ht="13.5" customHeight="1">
      <c r="B4475" s="103" t="s">
        <v>5987</v>
      </c>
      <c r="C4475" s="71"/>
      <c r="D4475" s="103" t="s">
        <v>5988</v>
      </c>
      <c r="E4475" s="103"/>
      <c r="F4475" s="57">
        <v>3653</v>
      </c>
      <c r="G4475" s="57" t="s">
        <v>6628</v>
      </c>
      <c r="H4475" s="57" t="s">
        <v>345</v>
      </c>
    </row>
    <row r="4476" spans="2:8" ht="13.5" customHeight="1">
      <c r="B4476" s="71" t="s">
        <v>5989</v>
      </c>
      <c r="C4476" s="71"/>
      <c r="D4476" s="71" t="s">
        <v>5990</v>
      </c>
      <c r="E4476" s="71"/>
      <c r="F4476" s="57">
        <v>6880</v>
      </c>
      <c r="G4476" s="57" t="s">
        <v>6628</v>
      </c>
      <c r="H4476" s="57" t="s">
        <v>345</v>
      </c>
    </row>
    <row r="4477" spans="2:8" ht="13.5" customHeight="1">
      <c r="B4477" s="71" t="s">
        <v>5991</v>
      </c>
      <c r="C4477" s="71"/>
      <c r="D4477" s="71" t="s">
        <v>5992</v>
      </c>
      <c r="E4477" s="71"/>
      <c r="F4477" s="57">
        <v>1</v>
      </c>
      <c r="G4477" s="57" t="s">
        <v>6628</v>
      </c>
      <c r="H4477" s="57" t="s">
        <v>919</v>
      </c>
    </row>
    <row r="4478" spans="2:8" ht="13.5" customHeight="1">
      <c r="B4478" s="71" t="s">
        <v>5995</v>
      </c>
      <c r="C4478" s="71"/>
      <c r="D4478" s="71" t="s">
        <v>5996</v>
      </c>
      <c r="E4478" s="71"/>
      <c r="F4478" s="57">
        <v>2</v>
      </c>
      <c r="G4478" s="57" t="s">
        <v>6628</v>
      </c>
      <c r="H4478" s="57" t="s">
        <v>919</v>
      </c>
    </row>
    <row r="4479" spans="2:8" ht="13.5" customHeight="1">
      <c r="B4479" s="71" t="s">
        <v>5999</v>
      </c>
      <c r="C4479" s="71"/>
      <c r="D4479" s="71" t="s">
        <v>6000</v>
      </c>
      <c r="E4479" s="71"/>
      <c r="F4479" s="57">
        <v>2</v>
      </c>
      <c r="G4479" s="57" t="s">
        <v>6628</v>
      </c>
      <c r="H4479" s="57" t="s">
        <v>919</v>
      </c>
    </row>
    <row r="4480" spans="2:8" ht="13.5" customHeight="1">
      <c r="B4480" s="71" t="s">
        <v>5993</v>
      </c>
      <c r="C4480" s="71"/>
      <c r="D4480" s="71" t="s">
        <v>5994</v>
      </c>
      <c r="E4480" s="71"/>
      <c r="F4480" s="57">
        <v>2</v>
      </c>
      <c r="G4480" s="57" t="s">
        <v>6628</v>
      </c>
      <c r="H4480" s="57" t="s">
        <v>919</v>
      </c>
    </row>
    <row r="4481" spans="2:8" ht="13.5" customHeight="1">
      <c r="B4481" s="103" t="s">
        <v>6001</v>
      </c>
      <c r="C4481" s="71"/>
      <c r="D4481" s="103" t="s">
        <v>6002</v>
      </c>
      <c r="E4481" s="103"/>
      <c r="F4481" s="57">
        <v>2</v>
      </c>
      <c r="G4481" s="57" t="s">
        <v>6628</v>
      </c>
      <c r="H4481" s="57" t="s">
        <v>919</v>
      </c>
    </row>
    <row r="4482" spans="2:8" ht="13.5" customHeight="1">
      <c r="B4482" s="71" t="s">
        <v>6003</v>
      </c>
      <c r="C4482" s="71"/>
      <c r="D4482" s="71" t="s">
        <v>6004</v>
      </c>
      <c r="E4482" s="71"/>
      <c r="F4482" s="57">
        <v>2</v>
      </c>
      <c r="G4482" s="57" t="s">
        <v>6628</v>
      </c>
      <c r="H4482" s="57" t="s">
        <v>919</v>
      </c>
    </row>
    <row r="4483" spans="2:8" ht="13.5" customHeight="1">
      <c r="B4483" s="71" t="s">
        <v>6005</v>
      </c>
      <c r="C4483" s="71"/>
      <c r="D4483" s="71" t="s">
        <v>6006</v>
      </c>
      <c r="E4483" s="71"/>
      <c r="F4483" s="57">
        <v>2</v>
      </c>
      <c r="G4483" s="57" t="s">
        <v>6628</v>
      </c>
      <c r="H4483" s="57" t="s">
        <v>919</v>
      </c>
    </row>
    <row r="4484" spans="2:8" ht="13.5" customHeight="1">
      <c r="B4484" s="71" t="s">
        <v>5997</v>
      </c>
      <c r="C4484" s="71"/>
      <c r="D4484" s="71" t="s">
        <v>5998</v>
      </c>
      <c r="E4484" s="68"/>
      <c r="F4484" s="57">
        <v>2</v>
      </c>
      <c r="G4484" s="57" t="s">
        <v>6628</v>
      </c>
      <c r="H4484" s="57" t="s">
        <v>919</v>
      </c>
    </row>
    <row r="4485" spans="2:8" ht="13.5" customHeight="1">
      <c r="B4485" s="71" t="s">
        <v>6008</v>
      </c>
      <c r="C4485" s="71"/>
      <c r="D4485" s="71" t="s">
        <v>6009</v>
      </c>
      <c r="E4485" s="71"/>
      <c r="F4485" s="57">
        <v>4</v>
      </c>
      <c r="G4485" s="57" t="s">
        <v>6628</v>
      </c>
      <c r="H4485" s="57" t="s">
        <v>919</v>
      </c>
    </row>
    <row r="4486" spans="2:8" ht="13.5" customHeight="1">
      <c r="B4486" s="71" t="s">
        <v>4120</v>
      </c>
      <c r="C4486" s="71"/>
      <c r="D4486" s="71" t="s">
        <v>6007</v>
      </c>
      <c r="E4486" s="71"/>
      <c r="F4486" s="57">
        <v>4</v>
      </c>
      <c r="G4486" s="57" t="s">
        <v>6628</v>
      </c>
      <c r="H4486" s="57" t="s">
        <v>919</v>
      </c>
    </row>
    <row r="4487" spans="2:8" ht="13.5" customHeight="1">
      <c r="B4487" s="71" t="s">
        <v>6012</v>
      </c>
      <c r="C4487" s="71"/>
      <c r="D4487" s="71" t="s">
        <v>6013</v>
      </c>
      <c r="E4487" s="71"/>
      <c r="F4487" s="57">
        <v>5</v>
      </c>
      <c r="G4487" s="57" t="s">
        <v>6628</v>
      </c>
      <c r="H4487" s="57" t="s">
        <v>919</v>
      </c>
    </row>
    <row r="4488" spans="2:8" ht="13.5" customHeight="1">
      <c r="B4488" s="71" t="s">
        <v>6010</v>
      </c>
      <c r="C4488" s="71"/>
      <c r="D4488" s="71" t="s">
        <v>6011</v>
      </c>
      <c r="E4488" s="71"/>
      <c r="F4488" s="57">
        <v>5</v>
      </c>
      <c r="G4488" s="57" t="s">
        <v>6628</v>
      </c>
      <c r="H4488" s="57" t="s">
        <v>919</v>
      </c>
    </row>
    <row r="4489" spans="2:8" ht="13.5" customHeight="1">
      <c r="B4489" s="71" t="s">
        <v>6014</v>
      </c>
      <c r="C4489" s="71"/>
      <c r="D4489" s="71" t="s">
        <v>6015</v>
      </c>
      <c r="E4489" s="71"/>
      <c r="F4489" s="57">
        <v>5</v>
      </c>
      <c r="G4489" s="57" t="s">
        <v>6628</v>
      </c>
      <c r="H4489" s="57" t="s">
        <v>919</v>
      </c>
    </row>
    <row r="4490" spans="2:8" ht="13.5" customHeight="1">
      <c r="B4490" s="71" t="s">
        <v>3456</v>
      </c>
      <c r="C4490" s="71"/>
      <c r="D4490" s="71" t="s">
        <v>6017</v>
      </c>
      <c r="E4490" s="71"/>
      <c r="F4490" s="57">
        <v>7</v>
      </c>
      <c r="G4490" s="57" t="s">
        <v>6628</v>
      </c>
      <c r="H4490" s="57" t="s">
        <v>919</v>
      </c>
    </row>
    <row r="4491" spans="2:8" ht="13.5" customHeight="1">
      <c r="B4491" s="71" t="s">
        <v>494</v>
      </c>
      <c r="C4491" s="71"/>
      <c r="D4491" s="71" t="s">
        <v>3186</v>
      </c>
      <c r="E4491" s="71"/>
      <c r="F4491" s="57">
        <v>7</v>
      </c>
      <c r="G4491" s="57" t="s">
        <v>6628</v>
      </c>
      <c r="H4491" s="57" t="s">
        <v>919</v>
      </c>
    </row>
    <row r="4492" spans="2:8" ht="13.5" customHeight="1">
      <c r="B4492" s="71" t="s">
        <v>6016</v>
      </c>
      <c r="C4492" s="71"/>
      <c r="D4492" s="71" t="s">
        <v>2202</v>
      </c>
      <c r="E4492" s="71"/>
      <c r="F4492" s="57">
        <v>7</v>
      </c>
      <c r="G4492" s="57" t="s">
        <v>6628</v>
      </c>
      <c r="H4492" s="57" t="s">
        <v>919</v>
      </c>
    </row>
    <row r="4493" spans="2:8" ht="13.5" customHeight="1">
      <c r="B4493" s="71" t="s">
        <v>1284</v>
      </c>
      <c r="C4493" s="71"/>
      <c r="D4493" s="71" t="s">
        <v>6018</v>
      </c>
      <c r="E4493" s="71"/>
      <c r="F4493" s="57">
        <v>9</v>
      </c>
      <c r="G4493" s="57" t="s">
        <v>6628</v>
      </c>
      <c r="H4493" s="57" t="s">
        <v>919</v>
      </c>
    </row>
    <row r="4494" spans="2:8" ht="13.5" customHeight="1">
      <c r="B4494" s="71" t="s">
        <v>6020</v>
      </c>
      <c r="D4494" s="71" t="s">
        <v>6021</v>
      </c>
      <c r="E4494" s="71"/>
      <c r="F4494" s="57">
        <v>10</v>
      </c>
      <c r="G4494" s="57" t="s">
        <v>6628</v>
      </c>
      <c r="H4494" s="57" t="s">
        <v>919</v>
      </c>
    </row>
    <row r="4495" spans="2:8" ht="13.5" customHeight="1">
      <c r="B4495" s="71" t="s">
        <v>6022</v>
      </c>
      <c r="D4495" s="71" t="s">
        <v>6023</v>
      </c>
      <c r="E4495" s="71"/>
      <c r="F4495" s="57">
        <v>10</v>
      </c>
      <c r="G4495" s="57" t="s">
        <v>6628</v>
      </c>
      <c r="H4495" s="57" t="s">
        <v>919</v>
      </c>
    </row>
    <row r="4496" spans="2:8" ht="13.5" customHeight="1">
      <c r="B4496" s="71" t="s">
        <v>6026</v>
      </c>
      <c r="D4496" s="71" t="s">
        <v>6027</v>
      </c>
      <c r="E4496" s="71"/>
      <c r="F4496" s="57">
        <v>10</v>
      </c>
      <c r="G4496" s="57" t="s">
        <v>6628</v>
      </c>
      <c r="H4496" s="57" t="s">
        <v>919</v>
      </c>
    </row>
    <row r="4497" spans="2:8" ht="13.5" customHeight="1">
      <c r="B4497" s="71" t="s">
        <v>6024</v>
      </c>
      <c r="D4497" s="71" t="s">
        <v>6025</v>
      </c>
      <c r="E4497" s="71"/>
      <c r="F4497" s="57">
        <v>10</v>
      </c>
      <c r="G4497" s="57" t="s">
        <v>6628</v>
      </c>
      <c r="H4497" s="57" t="s">
        <v>919</v>
      </c>
    </row>
    <row r="4498" spans="2:8" ht="13.5" customHeight="1">
      <c r="B4498" s="71" t="s">
        <v>6019</v>
      </c>
      <c r="D4498" s="71" t="s">
        <v>3780</v>
      </c>
      <c r="E4498" s="71"/>
      <c r="F4498" s="57">
        <v>10</v>
      </c>
      <c r="G4498" s="57" t="s">
        <v>6628</v>
      </c>
      <c r="H4498" s="57" t="s">
        <v>919</v>
      </c>
    </row>
    <row r="4499" spans="2:8" ht="13.5" customHeight="1">
      <c r="B4499" s="68" t="s">
        <v>6028</v>
      </c>
      <c r="D4499" s="68" t="s">
        <v>6029</v>
      </c>
      <c r="F4499" s="57">
        <v>11</v>
      </c>
      <c r="G4499" s="57" t="s">
        <v>6628</v>
      </c>
      <c r="H4499" s="57" t="s">
        <v>919</v>
      </c>
    </row>
    <row r="4500" spans="2:8" ht="13.5" customHeight="1">
      <c r="B4500" s="71" t="s">
        <v>6030</v>
      </c>
      <c r="C4500" s="71"/>
      <c r="D4500" s="71" t="s">
        <v>6031</v>
      </c>
      <c r="F4500" s="57">
        <v>14</v>
      </c>
      <c r="G4500" s="57" t="s">
        <v>6628</v>
      </c>
      <c r="H4500" s="57" t="s">
        <v>919</v>
      </c>
    </row>
    <row r="4501" spans="2:8" ht="13.5" customHeight="1">
      <c r="B4501" s="71" t="s">
        <v>6032</v>
      </c>
      <c r="C4501" s="71"/>
      <c r="D4501" s="71" t="s">
        <v>6033</v>
      </c>
      <c r="F4501" s="57">
        <v>16</v>
      </c>
      <c r="G4501" s="57" t="s">
        <v>6628</v>
      </c>
      <c r="H4501" s="57" t="s">
        <v>919</v>
      </c>
    </row>
    <row r="4502" spans="2:8" ht="13.5" customHeight="1">
      <c r="B4502" s="71" t="s">
        <v>6038</v>
      </c>
      <c r="C4502" s="71"/>
      <c r="D4502" s="71" t="s">
        <v>6039</v>
      </c>
      <c r="F4502" s="57">
        <v>20</v>
      </c>
      <c r="G4502" s="57" t="s">
        <v>6628</v>
      </c>
      <c r="H4502" s="57" t="s">
        <v>919</v>
      </c>
    </row>
    <row r="4503" spans="2:8" ht="13.5" customHeight="1">
      <c r="B4503" s="71" t="s">
        <v>6034</v>
      </c>
      <c r="C4503" s="71"/>
      <c r="D4503" s="71" t="s">
        <v>6035</v>
      </c>
      <c r="F4503" s="57">
        <v>20</v>
      </c>
      <c r="G4503" s="57" t="s">
        <v>6628</v>
      </c>
      <c r="H4503" s="57" t="s">
        <v>919</v>
      </c>
    </row>
    <row r="4504" spans="2:8" ht="13.5" customHeight="1">
      <c r="B4504" s="71" t="s">
        <v>6036</v>
      </c>
      <c r="C4504" s="71"/>
      <c r="D4504" s="71" t="s">
        <v>6037</v>
      </c>
      <c r="F4504" s="57">
        <v>20</v>
      </c>
      <c r="G4504" s="57" t="s">
        <v>6628</v>
      </c>
      <c r="H4504" s="57" t="s">
        <v>919</v>
      </c>
    </row>
    <row r="4505" spans="2:8" ht="13.5" customHeight="1">
      <c r="B4505" s="71" t="s">
        <v>6040</v>
      </c>
      <c r="C4505" s="71"/>
      <c r="D4505" s="71" t="s">
        <v>4049</v>
      </c>
      <c r="F4505" s="57">
        <v>27</v>
      </c>
      <c r="G4505" s="57" t="s">
        <v>6628</v>
      </c>
      <c r="H4505" s="57" t="s">
        <v>919</v>
      </c>
    </row>
    <row r="4506" spans="2:8" ht="13.5" customHeight="1">
      <c r="B4506" s="71" t="s">
        <v>6041</v>
      </c>
      <c r="C4506" s="71"/>
      <c r="D4506" s="71" t="s">
        <v>6042</v>
      </c>
      <c r="F4506" s="57">
        <v>89</v>
      </c>
      <c r="G4506" s="57" t="s">
        <v>6628</v>
      </c>
      <c r="H4506" s="57" t="s">
        <v>919</v>
      </c>
    </row>
    <row r="4507" spans="2:8" ht="13.5" customHeight="1">
      <c r="B4507" s="71" t="s">
        <v>6043</v>
      </c>
      <c r="C4507" s="71"/>
      <c r="D4507" s="71" t="s">
        <v>6044</v>
      </c>
      <c r="F4507" s="57">
        <v>1</v>
      </c>
      <c r="G4507" s="57" t="s">
        <v>6628</v>
      </c>
      <c r="H4507" s="57" t="s">
        <v>918</v>
      </c>
    </row>
    <row r="4508" spans="2:8" ht="13.5" customHeight="1">
      <c r="B4508" s="71" t="s">
        <v>6045</v>
      </c>
      <c r="C4508" s="71"/>
      <c r="D4508" s="71" t="s">
        <v>6046</v>
      </c>
      <c r="F4508" s="57">
        <v>1</v>
      </c>
      <c r="G4508" s="57" t="s">
        <v>6628</v>
      </c>
      <c r="H4508" s="57" t="s">
        <v>918</v>
      </c>
    </row>
    <row r="4509" spans="2:8" ht="13.5" customHeight="1">
      <c r="B4509" s="71" t="s">
        <v>6059</v>
      </c>
      <c r="C4509" s="71"/>
      <c r="D4509" s="71">
        <v>749020100</v>
      </c>
      <c r="F4509" s="57">
        <v>2</v>
      </c>
      <c r="G4509" s="57" t="s">
        <v>6628</v>
      </c>
      <c r="H4509" s="57" t="s">
        <v>918</v>
      </c>
    </row>
    <row r="4510" spans="2:8" ht="13.5" customHeight="1">
      <c r="B4510" s="71" t="s">
        <v>6053</v>
      </c>
      <c r="C4510" s="71"/>
      <c r="D4510" s="71" t="s">
        <v>6054</v>
      </c>
      <c r="F4510" s="57">
        <v>2</v>
      </c>
      <c r="G4510" s="57" t="s">
        <v>6628</v>
      </c>
      <c r="H4510" s="57" t="s">
        <v>918</v>
      </c>
    </row>
    <row r="4511" spans="2:8" ht="13.5" customHeight="1">
      <c r="B4511" s="71" t="s">
        <v>6055</v>
      </c>
      <c r="C4511" s="71"/>
      <c r="D4511" s="71" t="s">
        <v>6056</v>
      </c>
      <c r="F4511" s="57">
        <v>2</v>
      </c>
      <c r="G4511" s="57" t="s">
        <v>6628</v>
      </c>
      <c r="H4511" s="57" t="s">
        <v>918</v>
      </c>
    </row>
    <row r="4512" spans="2:8" ht="13.5" customHeight="1">
      <c r="B4512" s="71" t="s">
        <v>6051</v>
      </c>
      <c r="C4512" s="71"/>
      <c r="D4512" s="71" t="s">
        <v>6052</v>
      </c>
      <c r="F4512" s="57">
        <v>2</v>
      </c>
      <c r="G4512" s="57" t="s">
        <v>6628</v>
      </c>
      <c r="H4512" s="57" t="s">
        <v>918</v>
      </c>
    </row>
    <row r="4513" spans="2:8" ht="13.5" customHeight="1">
      <c r="B4513" s="71" t="s">
        <v>6060</v>
      </c>
      <c r="C4513" s="71"/>
      <c r="D4513" s="71" t="s">
        <v>6061</v>
      </c>
      <c r="F4513" s="57">
        <v>2</v>
      </c>
      <c r="G4513" s="57" t="s">
        <v>6628</v>
      </c>
      <c r="H4513" s="57" t="s">
        <v>918</v>
      </c>
    </row>
    <row r="4514" spans="2:8" ht="13.5" customHeight="1">
      <c r="B4514" s="71" t="s">
        <v>6057</v>
      </c>
      <c r="C4514" s="71"/>
      <c r="D4514" s="71" t="s">
        <v>6058</v>
      </c>
      <c r="F4514" s="57">
        <v>2</v>
      </c>
      <c r="G4514" s="57" t="s">
        <v>6628</v>
      </c>
      <c r="H4514" s="57" t="s">
        <v>918</v>
      </c>
    </row>
    <row r="4515" spans="2:8" ht="13.5" customHeight="1">
      <c r="B4515" s="71" t="s">
        <v>6049</v>
      </c>
      <c r="C4515" s="71"/>
      <c r="D4515" s="71" t="s">
        <v>6050</v>
      </c>
      <c r="F4515" s="57">
        <v>2</v>
      </c>
      <c r="G4515" s="57" t="s">
        <v>6628</v>
      </c>
      <c r="H4515" s="57" t="s">
        <v>918</v>
      </c>
    </row>
    <row r="4516" spans="2:8" ht="13.5" customHeight="1">
      <c r="B4516" s="71" t="s">
        <v>6047</v>
      </c>
      <c r="C4516" s="71"/>
      <c r="D4516" s="71" t="s">
        <v>6048</v>
      </c>
      <c r="F4516" s="57">
        <v>2</v>
      </c>
      <c r="G4516" s="57" t="s">
        <v>6628</v>
      </c>
      <c r="H4516" s="57" t="s">
        <v>918</v>
      </c>
    </row>
    <row r="4517" spans="2:8" ht="13.5" customHeight="1">
      <c r="B4517" s="71" t="s">
        <v>6070</v>
      </c>
      <c r="C4517" s="71"/>
      <c r="D4517" s="71" t="s">
        <v>6071</v>
      </c>
      <c r="F4517" s="57">
        <v>3</v>
      </c>
      <c r="G4517" s="57" t="s">
        <v>6628</v>
      </c>
      <c r="H4517" s="57" t="s">
        <v>918</v>
      </c>
    </row>
    <row r="4518" spans="2:8" ht="13.5" customHeight="1">
      <c r="B4518" s="71" t="s">
        <v>6062</v>
      </c>
      <c r="C4518" s="71"/>
      <c r="D4518" s="71" t="s">
        <v>6063</v>
      </c>
      <c r="F4518" s="57">
        <v>3</v>
      </c>
      <c r="G4518" s="57" t="s">
        <v>6628</v>
      </c>
      <c r="H4518" s="57" t="s">
        <v>918</v>
      </c>
    </row>
    <row r="4519" spans="2:8" ht="13.5" customHeight="1">
      <c r="B4519" s="71" t="s">
        <v>6072</v>
      </c>
      <c r="C4519" s="71"/>
      <c r="D4519" s="71" t="s">
        <v>6073</v>
      </c>
      <c r="F4519" s="57">
        <v>3</v>
      </c>
      <c r="G4519" s="57" t="s">
        <v>6628</v>
      </c>
      <c r="H4519" s="57" t="s">
        <v>918</v>
      </c>
    </row>
    <row r="4520" spans="2:8" ht="13.5" customHeight="1">
      <c r="B4520" s="71" t="s">
        <v>6066</v>
      </c>
      <c r="C4520" s="71"/>
      <c r="D4520" s="71" t="s">
        <v>6067</v>
      </c>
      <c r="F4520" s="57">
        <v>3</v>
      </c>
      <c r="G4520" s="57" t="s">
        <v>6628</v>
      </c>
      <c r="H4520" s="57" t="s">
        <v>918</v>
      </c>
    </row>
    <row r="4521" spans="2:8" ht="13.5" customHeight="1">
      <c r="B4521" s="71" t="s">
        <v>6068</v>
      </c>
      <c r="C4521" s="71"/>
      <c r="D4521" s="71" t="s">
        <v>6069</v>
      </c>
      <c r="F4521" s="57">
        <v>3</v>
      </c>
      <c r="G4521" s="57" t="s">
        <v>6628</v>
      </c>
      <c r="H4521" s="57" t="s">
        <v>918</v>
      </c>
    </row>
    <row r="4522" spans="2:8" ht="13.5" customHeight="1">
      <c r="B4522" s="71" t="s">
        <v>6064</v>
      </c>
      <c r="C4522" s="71"/>
      <c r="D4522" s="71" t="s">
        <v>6065</v>
      </c>
      <c r="F4522" s="57">
        <v>3</v>
      </c>
      <c r="G4522" s="57" t="s">
        <v>6628</v>
      </c>
      <c r="H4522" s="57" t="s">
        <v>918</v>
      </c>
    </row>
    <row r="4523" spans="2:8" ht="13.5" customHeight="1">
      <c r="B4523" s="71" t="s">
        <v>6074</v>
      </c>
      <c r="C4523" s="71"/>
      <c r="D4523" s="71" t="s">
        <v>6075</v>
      </c>
      <c r="F4523" s="57">
        <v>4</v>
      </c>
      <c r="G4523" s="57" t="s">
        <v>6628</v>
      </c>
      <c r="H4523" s="57" t="s">
        <v>918</v>
      </c>
    </row>
    <row r="4524" spans="2:8" ht="13.5" customHeight="1">
      <c r="B4524" s="71" t="s">
        <v>6076</v>
      </c>
      <c r="C4524" s="71"/>
      <c r="D4524" s="71" t="s">
        <v>6077</v>
      </c>
      <c r="F4524" s="57">
        <v>4</v>
      </c>
      <c r="G4524" s="57" t="s">
        <v>6628</v>
      </c>
      <c r="H4524" s="57" t="s">
        <v>918</v>
      </c>
    </row>
    <row r="4525" spans="2:8" ht="13.5" customHeight="1">
      <c r="B4525" s="57" t="s">
        <v>6081</v>
      </c>
      <c r="D4525" s="57" t="s">
        <v>5380</v>
      </c>
      <c r="F4525" s="57">
        <v>5</v>
      </c>
      <c r="G4525" s="57" t="s">
        <v>6628</v>
      </c>
      <c r="H4525" s="57" t="s">
        <v>918</v>
      </c>
    </row>
    <row r="4526" spans="2:8" ht="13.5" customHeight="1">
      <c r="B4526" s="71" t="s">
        <v>6082</v>
      </c>
      <c r="C4526" s="71"/>
      <c r="D4526" s="71" t="s">
        <v>6083</v>
      </c>
      <c r="F4526" s="57">
        <v>5</v>
      </c>
      <c r="G4526" s="57" t="s">
        <v>6628</v>
      </c>
      <c r="H4526" s="57" t="s">
        <v>918</v>
      </c>
    </row>
    <row r="4527" spans="2:8" ht="13.5" customHeight="1">
      <c r="B4527" s="71" t="s">
        <v>6084</v>
      </c>
      <c r="C4527" s="71"/>
      <c r="D4527" s="71" t="s">
        <v>6085</v>
      </c>
      <c r="F4527" s="57">
        <v>5</v>
      </c>
      <c r="G4527" s="57" t="s">
        <v>6628</v>
      </c>
      <c r="H4527" s="71" t="s">
        <v>918</v>
      </c>
    </row>
    <row r="4528" spans="2:8" ht="13.5" customHeight="1">
      <c r="B4528" s="71" t="s">
        <v>6088</v>
      </c>
      <c r="D4528" s="71" t="s">
        <v>6089</v>
      </c>
      <c r="F4528" s="57">
        <v>5</v>
      </c>
      <c r="G4528" s="57" t="s">
        <v>6628</v>
      </c>
      <c r="H4528" s="71" t="s">
        <v>918</v>
      </c>
    </row>
    <row r="4529" spans="2:8" ht="13.5" customHeight="1">
      <c r="B4529" s="71" t="s">
        <v>6078</v>
      </c>
      <c r="D4529" s="71" t="s">
        <v>6079</v>
      </c>
      <c r="F4529" s="57">
        <v>5</v>
      </c>
      <c r="G4529" s="57" t="s">
        <v>6628</v>
      </c>
      <c r="H4529" s="71" t="s">
        <v>918</v>
      </c>
    </row>
    <row r="4530" spans="2:8" ht="13.5" customHeight="1">
      <c r="B4530" s="71" t="s">
        <v>255</v>
      </c>
      <c r="D4530" s="71" t="s">
        <v>6080</v>
      </c>
      <c r="F4530" s="57">
        <v>5</v>
      </c>
      <c r="G4530" s="57" t="s">
        <v>6628</v>
      </c>
      <c r="H4530" s="71" t="s">
        <v>918</v>
      </c>
    </row>
    <row r="4531" spans="2:8" ht="13.5" customHeight="1">
      <c r="B4531" s="71" t="s">
        <v>6086</v>
      </c>
      <c r="D4531" s="71" t="s">
        <v>6087</v>
      </c>
      <c r="F4531" s="57">
        <v>5</v>
      </c>
      <c r="G4531" s="57" t="s">
        <v>6628</v>
      </c>
      <c r="H4531" s="71" t="s">
        <v>918</v>
      </c>
    </row>
    <row r="4532" spans="2:8" ht="13.5" customHeight="1">
      <c r="B4532" s="71" t="s">
        <v>6090</v>
      </c>
      <c r="D4532" s="71" t="s">
        <v>6091</v>
      </c>
      <c r="F4532" s="57">
        <v>7</v>
      </c>
      <c r="G4532" s="57" t="s">
        <v>6628</v>
      </c>
      <c r="H4532" s="71" t="s">
        <v>918</v>
      </c>
    </row>
    <row r="4533" spans="2:8" ht="13.5" customHeight="1">
      <c r="B4533" s="71" t="s">
        <v>6092</v>
      </c>
      <c r="D4533" s="71" t="s">
        <v>6093</v>
      </c>
      <c r="F4533" s="57">
        <v>8</v>
      </c>
      <c r="G4533" s="57" t="s">
        <v>6628</v>
      </c>
      <c r="H4533" s="71" t="s">
        <v>918</v>
      </c>
    </row>
    <row r="4534" spans="2:8" ht="13.5" customHeight="1">
      <c r="B4534" s="71" t="s">
        <v>6094</v>
      </c>
      <c r="D4534" s="71" t="s">
        <v>6095</v>
      </c>
      <c r="F4534" s="57">
        <v>9</v>
      </c>
      <c r="G4534" s="57" t="s">
        <v>6628</v>
      </c>
      <c r="H4534" s="71" t="s">
        <v>918</v>
      </c>
    </row>
    <row r="4535" spans="2:8" ht="13.5" customHeight="1">
      <c r="B4535" s="71" t="s">
        <v>6097</v>
      </c>
      <c r="D4535" s="71" t="s">
        <v>6098</v>
      </c>
      <c r="F4535" s="57">
        <v>10</v>
      </c>
      <c r="G4535" s="57" t="s">
        <v>6628</v>
      </c>
      <c r="H4535" s="71" t="s">
        <v>918</v>
      </c>
    </row>
    <row r="4536" spans="2:8" ht="13.5" customHeight="1">
      <c r="B4536" s="71" t="s">
        <v>6096</v>
      </c>
      <c r="D4536" s="71" t="s">
        <v>749</v>
      </c>
      <c r="F4536" s="57">
        <v>10</v>
      </c>
      <c r="G4536" s="57" t="s">
        <v>6628</v>
      </c>
      <c r="H4536" s="71" t="s">
        <v>918</v>
      </c>
    </row>
    <row r="4537" spans="2:8" ht="13.5" customHeight="1">
      <c r="B4537" s="71" t="s">
        <v>6101</v>
      </c>
      <c r="D4537" s="71" t="s">
        <v>6102</v>
      </c>
      <c r="F4537" s="57">
        <v>11</v>
      </c>
      <c r="G4537" s="57" t="s">
        <v>6628</v>
      </c>
      <c r="H4537" s="71" t="s">
        <v>918</v>
      </c>
    </row>
    <row r="4538" spans="2:8" ht="13.5" customHeight="1">
      <c r="B4538" s="71" t="s">
        <v>6099</v>
      </c>
      <c r="D4538" s="71" t="s">
        <v>6100</v>
      </c>
      <c r="F4538" s="57">
        <v>11</v>
      </c>
      <c r="G4538" s="57" t="s">
        <v>6628</v>
      </c>
      <c r="H4538" s="71" t="s">
        <v>918</v>
      </c>
    </row>
    <row r="4539" spans="2:8" ht="13.5" customHeight="1">
      <c r="B4539" s="57" t="s">
        <v>3493</v>
      </c>
      <c r="D4539" s="57" t="s">
        <v>5216</v>
      </c>
      <c r="F4539" s="57">
        <v>11</v>
      </c>
      <c r="G4539" s="57" t="s">
        <v>6628</v>
      </c>
      <c r="H4539" s="80" t="s">
        <v>918</v>
      </c>
    </row>
    <row r="4540" spans="2:8" ht="13.5" customHeight="1">
      <c r="B4540" s="57" t="s">
        <v>6103</v>
      </c>
      <c r="D4540" s="57" t="s">
        <v>6104</v>
      </c>
      <c r="F4540" s="57">
        <v>12</v>
      </c>
      <c r="G4540" s="57" t="s">
        <v>6628</v>
      </c>
      <c r="H4540" s="80" t="s">
        <v>918</v>
      </c>
    </row>
    <row r="4541" spans="2:8" ht="13.5" customHeight="1">
      <c r="B4541" s="57" t="s">
        <v>6105</v>
      </c>
      <c r="D4541" s="57" t="s">
        <v>6106</v>
      </c>
      <c r="F4541" s="57">
        <v>13</v>
      </c>
      <c r="G4541" s="57" t="s">
        <v>6628</v>
      </c>
      <c r="H4541" s="57" t="s">
        <v>918</v>
      </c>
    </row>
    <row r="4542" spans="2:8" ht="13.5" customHeight="1">
      <c r="B4542" s="71" t="s">
        <v>4655</v>
      </c>
      <c r="D4542" s="71" t="s">
        <v>6107</v>
      </c>
      <c r="F4542" s="57">
        <v>13</v>
      </c>
      <c r="G4542" s="57" t="s">
        <v>6628</v>
      </c>
      <c r="H4542" s="57" t="s">
        <v>918</v>
      </c>
    </row>
    <row r="4543" spans="2:8" ht="13.5" customHeight="1">
      <c r="B4543" s="71" t="s">
        <v>6108</v>
      </c>
      <c r="D4543" s="71" t="s">
        <v>6109</v>
      </c>
      <c r="F4543" s="57">
        <v>15</v>
      </c>
      <c r="G4543" s="57" t="s">
        <v>6628</v>
      </c>
      <c r="H4543" s="57" t="s">
        <v>918</v>
      </c>
    </row>
    <row r="4544" spans="2:8" ht="13.5" customHeight="1">
      <c r="B4544" s="71" t="s">
        <v>3460</v>
      </c>
      <c r="D4544" s="71" t="s">
        <v>6110</v>
      </c>
      <c r="F4544" s="57">
        <v>16</v>
      </c>
      <c r="G4544" s="57" t="s">
        <v>6628</v>
      </c>
      <c r="H4544" s="57" t="s">
        <v>918</v>
      </c>
    </row>
    <row r="4545" spans="2:8" ht="13.5" customHeight="1">
      <c r="B4545" s="71" t="s">
        <v>6111</v>
      </c>
      <c r="D4545" s="71" t="s">
        <v>6112</v>
      </c>
      <c r="F4545" s="57">
        <v>17</v>
      </c>
      <c r="G4545" s="57" t="s">
        <v>6628</v>
      </c>
      <c r="H4545" s="57" t="s">
        <v>918</v>
      </c>
    </row>
    <row r="4546" spans="2:8" ht="13.5" customHeight="1">
      <c r="B4546" s="71" t="s">
        <v>6118</v>
      </c>
      <c r="D4546" s="71" t="s">
        <v>6119</v>
      </c>
      <c r="F4546" s="57">
        <v>20</v>
      </c>
      <c r="G4546" s="57" t="s">
        <v>6628</v>
      </c>
      <c r="H4546" s="57" t="s">
        <v>918</v>
      </c>
    </row>
    <row r="4547" spans="2:8" ht="13.5" customHeight="1">
      <c r="B4547" s="71" t="s">
        <v>6114</v>
      </c>
      <c r="D4547" s="71" t="s">
        <v>6115</v>
      </c>
      <c r="F4547" s="57">
        <v>20</v>
      </c>
      <c r="G4547" s="57" t="s">
        <v>6628</v>
      </c>
      <c r="H4547" s="57" t="s">
        <v>918</v>
      </c>
    </row>
    <row r="4548" spans="2:8" ht="13.5" customHeight="1">
      <c r="B4548" s="71" t="s">
        <v>6116</v>
      </c>
      <c r="D4548" s="71" t="s">
        <v>6117</v>
      </c>
      <c r="F4548" s="57">
        <v>20</v>
      </c>
      <c r="G4548" s="57" t="s">
        <v>6628</v>
      </c>
      <c r="H4548" s="57" t="s">
        <v>918</v>
      </c>
    </row>
    <row r="4549" spans="2:8" ht="13.5" customHeight="1">
      <c r="B4549" s="71" t="s">
        <v>227</v>
      </c>
      <c r="D4549" s="71" t="s">
        <v>6120</v>
      </c>
      <c r="F4549" s="57">
        <v>26</v>
      </c>
      <c r="G4549" s="57" t="s">
        <v>6628</v>
      </c>
      <c r="H4549" s="57" t="s">
        <v>918</v>
      </c>
    </row>
    <row r="4550" spans="2:8" ht="13.5" customHeight="1">
      <c r="B4550" s="71" t="s">
        <v>6121</v>
      </c>
      <c r="D4550" s="71" t="s">
        <v>6122</v>
      </c>
      <c r="F4550" s="57">
        <v>27</v>
      </c>
      <c r="G4550" s="57" t="s">
        <v>6628</v>
      </c>
      <c r="H4550" s="57" t="s">
        <v>918</v>
      </c>
    </row>
    <row r="4551" spans="2:8" ht="13.5" customHeight="1">
      <c r="B4551" s="71" t="s">
        <v>6123</v>
      </c>
      <c r="D4551" s="71" t="s">
        <v>6124</v>
      </c>
      <c r="F4551" s="57">
        <v>37</v>
      </c>
      <c r="G4551" s="57" t="s">
        <v>6628</v>
      </c>
      <c r="H4551" s="57" t="s">
        <v>918</v>
      </c>
    </row>
    <row r="4552" spans="2:8" ht="13.5" customHeight="1">
      <c r="B4552" s="71"/>
      <c r="D4552" s="71" t="s">
        <v>6125</v>
      </c>
      <c r="F4552" s="57">
        <v>60</v>
      </c>
      <c r="G4552" s="57" t="s">
        <v>6628</v>
      </c>
      <c r="H4552" s="57" t="s">
        <v>918</v>
      </c>
    </row>
    <row r="4553" spans="2:8" ht="13.5" customHeight="1">
      <c r="B4553" s="71" t="s">
        <v>3983</v>
      </c>
      <c r="D4553" s="71" t="s">
        <v>6126</v>
      </c>
      <c r="F4553" s="57">
        <v>68</v>
      </c>
      <c r="G4553" s="57" t="s">
        <v>6628</v>
      </c>
      <c r="H4553" s="57" t="s">
        <v>918</v>
      </c>
    </row>
    <row r="4554" spans="2:8" ht="13.5" customHeight="1">
      <c r="B4554" s="71" t="s">
        <v>6127</v>
      </c>
      <c r="D4554" s="71" t="s">
        <v>6128</v>
      </c>
      <c r="F4554" s="57">
        <v>109</v>
      </c>
      <c r="G4554" s="57" t="s">
        <v>6628</v>
      </c>
      <c r="H4554" s="57" t="s">
        <v>918</v>
      </c>
    </row>
    <row r="4555" spans="2:8" ht="13.5" customHeight="1">
      <c r="B4555" s="71" t="s">
        <v>6129</v>
      </c>
      <c r="D4555" s="71" t="s">
        <v>6130</v>
      </c>
      <c r="F4555" s="57">
        <v>122</v>
      </c>
      <c r="G4555" s="57" t="s">
        <v>6628</v>
      </c>
      <c r="H4555" s="57" t="s">
        <v>918</v>
      </c>
    </row>
    <row r="4556" spans="2:8" ht="13.5" customHeight="1">
      <c r="B4556" s="71" t="s">
        <v>1197</v>
      </c>
      <c r="D4556" s="71" t="s">
        <v>6131</v>
      </c>
      <c r="F4556" s="57">
        <v>148</v>
      </c>
      <c r="G4556" s="57" t="s">
        <v>6628</v>
      </c>
      <c r="H4556" s="57" t="s">
        <v>918</v>
      </c>
    </row>
    <row r="4557" spans="2:8" ht="13.5" customHeight="1">
      <c r="B4557" s="71" t="s">
        <v>6132</v>
      </c>
      <c r="D4557" s="71" t="s">
        <v>6133</v>
      </c>
      <c r="F4557" s="57">
        <v>337</v>
      </c>
      <c r="G4557" s="57" t="s">
        <v>6628</v>
      </c>
      <c r="H4557" s="57" t="s">
        <v>918</v>
      </c>
    </row>
    <row r="4558" spans="2:8" ht="13.5" customHeight="1">
      <c r="B4558" s="71" t="s">
        <v>1397</v>
      </c>
      <c r="D4558" s="71" t="s">
        <v>1398</v>
      </c>
      <c r="F4558" s="57">
        <v>1</v>
      </c>
      <c r="G4558" s="57" t="s">
        <v>6628</v>
      </c>
      <c r="H4558" s="57" t="s">
        <v>1114</v>
      </c>
    </row>
    <row r="4559" spans="2:8" ht="13.5" customHeight="1">
      <c r="B4559" s="71" t="s">
        <v>1378</v>
      </c>
      <c r="D4559" s="71" t="s">
        <v>1379</v>
      </c>
      <c r="F4559" s="57">
        <v>1</v>
      </c>
      <c r="G4559" s="57" t="s">
        <v>6628</v>
      </c>
      <c r="H4559" s="57" t="s">
        <v>1114</v>
      </c>
    </row>
    <row r="4560" spans="2:8" ht="13.5" customHeight="1">
      <c r="B4560" s="108" t="s">
        <v>8561</v>
      </c>
      <c r="D4560" s="109" t="s">
        <v>8562</v>
      </c>
      <c r="F4560" s="57">
        <v>1</v>
      </c>
      <c r="G4560" s="57" t="s">
        <v>6628</v>
      </c>
      <c r="H4560" s="57" t="s">
        <v>1114</v>
      </c>
    </row>
    <row r="4561" spans="2:8" ht="13.5" customHeight="1">
      <c r="B4561" s="71" t="s">
        <v>6134</v>
      </c>
      <c r="D4561" s="71" t="s">
        <v>6135</v>
      </c>
      <c r="F4561" s="57">
        <v>2</v>
      </c>
      <c r="G4561" s="57" t="s">
        <v>6628</v>
      </c>
      <c r="H4561" s="57" t="s">
        <v>1114</v>
      </c>
    </row>
    <row r="4562" spans="2:8" ht="13.5" customHeight="1">
      <c r="B4562" s="108" t="s">
        <v>8572</v>
      </c>
      <c r="D4562" s="109" t="s">
        <v>8573</v>
      </c>
      <c r="F4562" s="57">
        <v>2</v>
      </c>
      <c r="G4562" s="57" t="s">
        <v>6628</v>
      </c>
      <c r="H4562" s="57" t="s">
        <v>1114</v>
      </c>
    </row>
    <row r="4563" spans="2:8" ht="13.5" customHeight="1">
      <c r="B4563" s="71" t="s">
        <v>6136</v>
      </c>
      <c r="D4563" s="71" t="s">
        <v>6137</v>
      </c>
      <c r="F4563" s="57">
        <v>3</v>
      </c>
      <c r="G4563" s="57" t="s">
        <v>6628</v>
      </c>
      <c r="H4563" s="57" t="s">
        <v>1114</v>
      </c>
    </row>
    <row r="4564" spans="2:8" ht="13.5" customHeight="1">
      <c r="B4564" s="108" t="s">
        <v>8569</v>
      </c>
      <c r="D4564" s="109" t="s">
        <v>3857</v>
      </c>
      <c r="F4564" s="57">
        <v>3</v>
      </c>
      <c r="G4564" s="57" t="s">
        <v>6628</v>
      </c>
      <c r="H4564" s="57" t="s">
        <v>1114</v>
      </c>
    </row>
    <row r="4565" spans="2:8" ht="13.5" customHeight="1">
      <c r="B4565" s="71" t="s">
        <v>1366</v>
      </c>
      <c r="D4565" s="71" t="s">
        <v>2964</v>
      </c>
      <c r="F4565" s="57">
        <v>4</v>
      </c>
      <c r="G4565" s="57" t="s">
        <v>6628</v>
      </c>
      <c r="H4565" s="57" t="s">
        <v>1114</v>
      </c>
    </row>
    <row r="4566" spans="2:8" ht="13.5" customHeight="1">
      <c r="B4566" s="109" t="s">
        <v>8576</v>
      </c>
      <c r="D4566" s="109" t="s">
        <v>8577</v>
      </c>
      <c r="F4566" s="57">
        <v>4</v>
      </c>
      <c r="G4566" s="57" t="s">
        <v>6628</v>
      </c>
      <c r="H4566" s="57" t="s">
        <v>1114</v>
      </c>
    </row>
    <row r="4567" spans="2:8" ht="13.5" customHeight="1">
      <c r="B4567" s="108" t="s">
        <v>8600</v>
      </c>
      <c r="D4567" s="109" t="s">
        <v>8601</v>
      </c>
      <c r="F4567" s="57">
        <v>5</v>
      </c>
      <c r="G4567" s="57" t="s">
        <v>6628</v>
      </c>
      <c r="H4567" s="57" t="s">
        <v>1114</v>
      </c>
    </row>
    <row r="4568" spans="2:8" ht="13.5" customHeight="1">
      <c r="B4568" s="71" t="s">
        <v>1382</v>
      </c>
      <c r="D4568" s="71" t="s">
        <v>1383</v>
      </c>
      <c r="F4568" s="57">
        <v>6</v>
      </c>
      <c r="G4568" s="57" t="s">
        <v>6628</v>
      </c>
      <c r="H4568" s="57" t="s">
        <v>1114</v>
      </c>
    </row>
    <row r="4569" spans="2:8" ht="13.5" customHeight="1">
      <c r="B4569" s="71" t="s">
        <v>6140</v>
      </c>
      <c r="D4569" s="71" t="s">
        <v>6141</v>
      </c>
      <c r="F4569" s="57">
        <v>6</v>
      </c>
      <c r="G4569" s="57" t="s">
        <v>6628</v>
      </c>
      <c r="H4569" s="57" t="s">
        <v>1114</v>
      </c>
    </row>
    <row r="4570" spans="2:8" ht="13.5" customHeight="1">
      <c r="B4570" s="71" t="s">
        <v>6138</v>
      </c>
      <c r="D4570" s="71" t="s">
        <v>6139</v>
      </c>
      <c r="F4570" s="57">
        <v>6</v>
      </c>
      <c r="G4570" s="57" t="s">
        <v>6628</v>
      </c>
      <c r="H4570" s="57" t="s">
        <v>1114</v>
      </c>
    </row>
    <row r="4571" spans="2:8" ht="13.5" customHeight="1">
      <c r="B4571" s="108" t="s">
        <v>8563</v>
      </c>
      <c r="D4571" s="109" t="s">
        <v>8564</v>
      </c>
      <c r="F4571" s="57">
        <v>6</v>
      </c>
      <c r="G4571" s="57" t="s">
        <v>6628</v>
      </c>
      <c r="H4571" s="57" t="s">
        <v>1114</v>
      </c>
    </row>
    <row r="4572" spans="2:8" ht="13.5" customHeight="1">
      <c r="B4572" s="108" t="s">
        <v>8581</v>
      </c>
      <c r="D4572" s="109" t="s">
        <v>8582</v>
      </c>
      <c r="F4572" s="57">
        <v>7</v>
      </c>
      <c r="G4572" s="57" t="s">
        <v>6628</v>
      </c>
      <c r="H4572" s="57" t="s">
        <v>1114</v>
      </c>
    </row>
    <row r="4573" spans="2:8" ht="13.5" customHeight="1">
      <c r="B4573" s="102" t="s">
        <v>6144</v>
      </c>
      <c r="D4573" s="102" t="s">
        <v>6145</v>
      </c>
      <c r="F4573" s="57">
        <v>11</v>
      </c>
      <c r="G4573" s="57" t="s">
        <v>6628</v>
      </c>
      <c r="H4573" s="57" t="s">
        <v>1114</v>
      </c>
    </row>
    <row r="4574" spans="2:8" ht="13.5" customHeight="1">
      <c r="B4574" s="57" t="s">
        <v>6142</v>
      </c>
      <c r="D4574" s="57" t="s">
        <v>6143</v>
      </c>
      <c r="F4574" s="57">
        <v>11</v>
      </c>
      <c r="G4574" s="57" t="s">
        <v>6628</v>
      </c>
      <c r="H4574" s="57" t="s">
        <v>1114</v>
      </c>
    </row>
    <row r="4575" spans="2:8" ht="13.5" customHeight="1">
      <c r="B4575" s="103" t="s">
        <v>6146</v>
      </c>
      <c r="D4575" s="103" t="s">
        <v>6147</v>
      </c>
      <c r="F4575" s="57">
        <v>14</v>
      </c>
      <c r="G4575" s="57" t="s">
        <v>6628</v>
      </c>
      <c r="H4575" s="57" t="s">
        <v>1114</v>
      </c>
    </row>
    <row r="4576" spans="2:8" ht="13.5" customHeight="1">
      <c r="B4576" s="71" t="s">
        <v>683</v>
      </c>
      <c r="D4576" s="71" t="s">
        <v>4058</v>
      </c>
      <c r="F4576" s="57">
        <v>20</v>
      </c>
      <c r="G4576" s="57" t="s">
        <v>6628</v>
      </c>
      <c r="H4576" s="57" t="s">
        <v>1114</v>
      </c>
    </row>
    <row r="4577" spans="2:8" ht="13.5" customHeight="1">
      <c r="B4577" s="109" t="s">
        <v>8557</v>
      </c>
      <c r="D4577" s="109" t="s">
        <v>1425</v>
      </c>
      <c r="F4577" s="57">
        <v>32</v>
      </c>
      <c r="G4577" s="57" t="s">
        <v>6628</v>
      </c>
      <c r="H4577" s="57" t="s">
        <v>1114</v>
      </c>
    </row>
    <row r="4578" spans="2:8" ht="13.5" customHeight="1">
      <c r="B4578" s="108" t="s">
        <v>2717</v>
      </c>
      <c r="D4578" s="109" t="s">
        <v>685</v>
      </c>
      <c r="F4578" s="57">
        <v>34</v>
      </c>
      <c r="G4578" s="57" t="s">
        <v>6628</v>
      </c>
      <c r="H4578" s="57" t="s">
        <v>1114</v>
      </c>
    </row>
    <row r="4579" spans="2:8" ht="13.5" customHeight="1">
      <c r="B4579" s="108" t="s">
        <v>8536</v>
      </c>
      <c r="D4579" s="109" t="s">
        <v>8537</v>
      </c>
      <c r="F4579" s="57">
        <v>38</v>
      </c>
      <c r="G4579" s="57" t="s">
        <v>6628</v>
      </c>
      <c r="H4579" s="57" t="s">
        <v>1114</v>
      </c>
    </row>
    <row r="4580" spans="2:8" ht="13.5" customHeight="1">
      <c r="B4580" s="108" t="s">
        <v>8542</v>
      </c>
      <c r="D4580" s="109" t="s">
        <v>777</v>
      </c>
      <c r="F4580" s="57">
        <v>38</v>
      </c>
      <c r="G4580" s="57" t="s">
        <v>6628</v>
      </c>
      <c r="H4580" s="57" t="s">
        <v>1114</v>
      </c>
    </row>
    <row r="4581" spans="2:8" ht="13.5" customHeight="1">
      <c r="B4581" s="108" t="s">
        <v>8560</v>
      </c>
      <c r="D4581" s="110" t="s">
        <v>5903</v>
      </c>
      <c r="F4581" s="57">
        <v>41</v>
      </c>
      <c r="G4581" s="57" t="s">
        <v>6628</v>
      </c>
      <c r="H4581" s="57" t="s">
        <v>1114</v>
      </c>
    </row>
    <row r="4582" spans="2:8" ht="13.5" customHeight="1">
      <c r="B4582" s="71" t="s">
        <v>6148</v>
      </c>
      <c r="D4582" s="71" t="s">
        <v>6149</v>
      </c>
      <c r="F4582" s="57">
        <v>42</v>
      </c>
      <c r="G4582" s="57" t="s">
        <v>6628</v>
      </c>
      <c r="H4582" s="57" t="s">
        <v>1114</v>
      </c>
    </row>
    <row r="4583" spans="2:8" ht="13.5" customHeight="1">
      <c r="B4583" s="108" t="s">
        <v>8543</v>
      </c>
      <c r="D4583" s="109" t="s">
        <v>8544</v>
      </c>
      <c r="F4583" s="57">
        <v>43</v>
      </c>
      <c r="G4583" s="57" t="s">
        <v>6628</v>
      </c>
      <c r="H4583" s="57" t="s">
        <v>1114</v>
      </c>
    </row>
    <row r="4584" spans="2:8" ht="13.5" customHeight="1">
      <c r="B4584" s="122" t="s">
        <v>1335</v>
      </c>
      <c r="D4584" s="123" t="s">
        <v>1083</v>
      </c>
      <c r="F4584" s="57">
        <v>44</v>
      </c>
      <c r="G4584" s="57" t="s">
        <v>6628</v>
      </c>
      <c r="H4584" s="57" t="s">
        <v>1114</v>
      </c>
    </row>
    <row r="4585" spans="2:8" ht="13.5" customHeight="1">
      <c r="B4585" s="139" t="s">
        <v>683</v>
      </c>
      <c r="D4585" s="149" t="s">
        <v>4058</v>
      </c>
      <c r="F4585" s="57">
        <v>46</v>
      </c>
      <c r="G4585" s="57" t="s">
        <v>6628</v>
      </c>
      <c r="H4585" s="57" t="s">
        <v>1114</v>
      </c>
    </row>
    <row r="4586" spans="2:8" ht="13.5" customHeight="1">
      <c r="B4586" s="135" t="s">
        <v>1360</v>
      </c>
      <c r="D4586" s="124" t="s">
        <v>1361</v>
      </c>
      <c r="F4586" s="57">
        <v>48</v>
      </c>
      <c r="G4586" s="57" t="s">
        <v>6628</v>
      </c>
      <c r="H4586" s="57" t="s">
        <v>1114</v>
      </c>
    </row>
    <row r="4587" spans="2:8" ht="13.5" customHeight="1">
      <c r="B4587" s="108" t="s">
        <v>8587</v>
      </c>
      <c r="D4587" s="109" t="s">
        <v>8588</v>
      </c>
      <c r="F4587" s="57">
        <v>81</v>
      </c>
      <c r="G4587" s="57" t="s">
        <v>6628</v>
      </c>
      <c r="H4587" s="57" t="s">
        <v>1114</v>
      </c>
    </row>
    <row r="4588" spans="2:8" ht="13.5" customHeight="1">
      <c r="B4588" s="71" t="s">
        <v>1192</v>
      </c>
      <c r="D4588" s="71" t="s">
        <v>593</v>
      </c>
      <c r="F4588" s="57">
        <v>113</v>
      </c>
      <c r="G4588" s="57" t="s">
        <v>6628</v>
      </c>
      <c r="H4588" s="57" t="s">
        <v>1114</v>
      </c>
    </row>
    <row r="4589" spans="2:8" ht="13.5" customHeight="1">
      <c r="B4589" s="108" t="s">
        <v>8549</v>
      </c>
      <c r="D4589" s="109" t="s">
        <v>8550</v>
      </c>
      <c r="F4589" s="57">
        <v>114</v>
      </c>
      <c r="G4589" s="57" t="s">
        <v>6628</v>
      </c>
      <c r="H4589" s="57" t="s">
        <v>1114</v>
      </c>
    </row>
    <row r="4590" spans="2:8" ht="13.5" customHeight="1">
      <c r="B4590" s="108" t="s">
        <v>8594</v>
      </c>
      <c r="D4590" s="109" t="s">
        <v>8595</v>
      </c>
      <c r="F4590" s="57">
        <v>115</v>
      </c>
      <c r="G4590" s="57" t="s">
        <v>6628</v>
      </c>
      <c r="H4590" s="57" t="s">
        <v>1114</v>
      </c>
    </row>
    <row r="4591" spans="2:8" ht="13.5" customHeight="1">
      <c r="B4591" s="71" t="s">
        <v>6150</v>
      </c>
      <c r="D4591" s="71" t="s">
        <v>6151</v>
      </c>
      <c r="F4591" s="57">
        <v>173</v>
      </c>
      <c r="G4591" s="57" t="s">
        <v>6628</v>
      </c>
      <c r="H4591" s="57" t="s">
        <v>1114</v>
      </c>
    </row>
    <row r="4592" spans="2:8" ht="13.5" customHeight="1">
      <c r="B4592" s="108" t="s">
        <v>8545</v>
      </c>
      <c r="D4592" s="109" t="s">
        <v>8546</v>
      </c>
      <c r="F4592" s="57">
        <v>428</v>
      </c>
      <c r="G4592" s="57" t="s">
        <v>6628</v>
      </c>
      <c r="H4592" s="57" t="s">
        <v>1114</v>
      </c>
    </row>
    <row r="4593" spans="2:8" ht="13.5" customHeight="1">
      <c r="B4593" s="71" t="s">
        <v>6154</v>
      </c>
      <c r="D4593" s="71" t="s">
        <v>6155</v>
      </c>
      <c r="F4593" s="57">
        <v>1</v>
      </c>
      <c r="G4593" s="57" t="s">
        <v>6628</v>
      </c>
      <c r="H4593" s="57" t="s">
        <v>1115</v>
      </c>
    </row>
    <row r="4594" spans="2:8" ht="13.5" customHeight="1">
      <c r="B4594" s="109" t="s">
        <v>8596</v>
      </c>
      <c r="D4594" s="109" t="s">
        <v>8597</v>
      </c>
      <c r="F4594" s="57">
        <v>1</v>
      </c>
      <c r="G4594" s="57" t="s">
        <v>6628</v>
      </c>
      <c r="H4594" s="57" t="s">
        <v>1115</v>
      </c>
    </row>
    <row r="4595" spans="2:8" ht="13.5" customHeight="1">
      <c r="B4595" s="71" t="s">
        <v>6156</v>
      </c>
      <c r="D4595" s="71" t="s">
        <v>2714</v>
      </c>
      <c r="F4595" s="57">
        <v>8</v>
      </c>
      <c r="G4595" s="57" t="s">
        <v>6628</v>
      </c>
      <c r="H4595" s="57" t="s">
        <v>1115</v>
      </c>
    </row>
    <row r="4596" spans="2:8" ht="13.5" customHeight="1">
      <c r="B4596" s="71" t="s">
        <v>6157</v>
      </c>
      <c r="D4596" s="71" t="s">
        <v>6158</v>
      </c>
      <c r="F4596" s="57">
        <v>8</v>
      </c>
      <c r="G4596" s="57" t="s">
        <v>6628</v>
      </c>
      <c r="H4596" s="57" t="s">
        <v>1115</v>
      </c>
    </row>
    <row r="4597" spans="2:8" ht="13.5" customHeight="1">
      <c r="B4597" s="109" t="s">
        <v>8558</v>
      </c>
      <c r="D4597" s="109" t="s">
        <v>8559</v>
      </c>
      <c r="F4597" s="57">
        <v>9</v>
      </c>
      <c r="G4597" s="57" t="s">
        <v>6628</v>
      </c>
      <c r="H4597" s="57" t="s">
        <v>1115</v>
      </c>
    </row>
    <row r="4598" spans="2:8" ht="13.5" customHeight="1">
      <c r="B4598" s="72" t="s">
        <v>8551</v>
      </c>
      <c r="D4598" s="72" t="s">
        <v>3027</v>
      </c>
      <c r="F4598" s="57">
        <v>10</v>
      </c>
      <c r="G4598" s="57" t="s">
        <v>6628</v>
      </c>
      <c r="H4598" s="57" t="s">
        <v>1115</v>
      </c>
    </row>
    <row r="4599" spans="2:8" ht="13.5" customHeight="1">
      <c r="B4599" s="72" t="s">
        <v>8553</v>
      </c>
      <c r="D4599" s="72" t="s">
        <v>8002</v>
      </c>
      <c r="F4599" s="57">
        <v>10</v>
      </c>
      <c r="G4599" s="57" t="s">
        <v>6628</v>
      </c>
      <c r="H4599" s="57" t="s">
        <v>1115</v>
      </c>
    </row>
    <row r="4600" spans="2:8" ht="13.5" customHeight="1">
      <c r="B4600" s="72" t="s">
        <v>1368</v>
      </c>
      <c r="D4600" s="72" t="s">
        <v>8620</v>
      </c>
      <c r="F4600" s="57">
        <v>15</v>
      </c>
      <c r="G4600" s="57" t="s">
        <v>6628</v>
      </c>
      <c r="H4600" s="57" t="s">
        <v>1115</v>
      </c>
    </row>
    <row r="4601" spans="2:8" ht="13.5" customHeight="1">
      <c r="B4601" s="71" t="s">
        <v>313</v>
      </c>
      <c r="D4601" s="71" t="s">
        <v>314</v>
      </c>
      <c r="F4601" s="57">
        <v>16</v>
      </c>
      <c r="G4601" s="57" t="s">
        <v>6628</v>
      </c>
      <c r="H4601" s="57" t="s">
        <v>1115</v>
      </c>
    </row>
    <row r="4602" spans="2:8" ht="13.5" customHeight="1">
      <c r="B4602" s="71" t="s">
        <v>6159</v>
      </c>
      <c r="D4602" s="71" t="s">
        <v>6160</v>
      </c>
      <c r="F4602" s="57">
        <v>18</v>
      </c>
      <c r="G4602" s="57" t="s">
        <v>6628</v>
      </c>
      <c r="H4602" s="57" t="s">
        <v>1115</v>
      </c>
    </row>
    <row r="4603" spans="2:8" ht="13.5" customHeight="1">
      <c r="B4603" s="71" t="s">
        <v>6161</v>
      </c>
      <c r="D4603" s="71" t="s">
        <v>6162</v>
      </c>
      <c r="F4603" s="57">
        <v>23</v>
      </c>
      <c r="G4603" s="57" t="s">
        <v>6628</v>
      </c>
      <c r="H4603" s="57" t="s">
        <v>1115</v>
      </c>
    </row>
    <row r="4604" spans="2:8" ht="13.5" customHeight="1">
      <c r="B4604" s="71" t="s">
        <v>1388</v>
      </c>
      <c r="D4604" s="71" t="s">
        <v>1389</v>
      </c>
      <c r="F4604" s="57">
        <v>35</v>
      </c>
      <c r="G4604" s="57" t="s">
        <v>6628</v>
      </c>
      <c r="H4604" s="57" t="s">
        <v>1115</v>
      </c>
    </row>
    <row r="4605" spans="2:8" ht="13.5" customHeight="1">
      <c r="B4605" s="109" t="s">
        <v>6163</v>
      </c>
      <c r="D4605" s="109" t="s">
        <v>6164</v>
      </c>
      <c r="F4605" s="57">
        <v>46</v>
      </c>
      <c r="G4605" s="57" t="s">
        <v>6628</v>
      </c>
      <c r="H4605" s="57" t="s">
        <v>1115</v>
      </c>
    </row>
    <row r="4606" spans="2:8" ht="13.5" customHeight="1">
      <c r="B4606" s="72" t="s">
        <v>417</v>
      </c>
      <c r="D4606" s="72" t="s">
        <v>453</v>
      </c>
      <c r="F4606" s="57">
        <v>57</v>
      </c>
      <c r="G4606" s="57" t="s">
        <v>6628</v>
      </c>
      <c r="H4606" s="57" t="s">
        <v>1115</v>
      </c>
    </row>
    <row r="4607" spans="2:8" ht="13.5" customHeight="1">
      <c r="B4607" s="71" t="s">
        <v>4009</v>
      </c>
      <c r="D4607" s="71" t="s">
        <v>743</v>
      </c>
      <c r="F4607" s="57">
        <v>73</v>
      </c>
      <c r="G4607" s="57" t="s">
        <v>6628</v>
      </c>
      <c r="H4607" s="57" t="s">
        <v>1115</v>
      </c>
    </row>
    <row r="4608" spans="2:8" ht="13.5" customHeight="1">
      <c r="B4608" s="71" t="s">
        <v>6163</v>
      </c>
      <c r="D4608" s="71" t="s">
        <v>6164</v>
      </c>
      <c r="F4608" s="57">
        <v>74</v>
      </c>
      <c r="G4608" s="57" t="s">
        <v>6628</v>
      </c>
      <c r="H4608" s="57" t="s">
        <v>1115</v>
      </c>
    </row>
    <row r="4609" spans="2:8" ht="13.5" customHeight="1">
      <c r="B4609" s="108" t="s">
        <v>8540</v>
      </c>
      <c r="D4609" s="109" t="s">
        <v>8541</v>
      </c>
      <c r="F4609" s="57">
        <v>91</v>
      </c>
      <c r="G4609" s="57" t="s">
        <v>6628</v>
      </c>
      <c r="H4609" s="57" t="s">
        <v>1115</v>
      </c>
    </row>
    <row r="4610" spans="2:8" ht="13.5" customHeight="1">
      <c r="B4610" s="109" t="s">
        <v>5963</v>
      </c>
      <c r="D4610" s="109" t="s">
        <v>5964</v>
      </c>
      <c r="F4610" s="57">
        <v>98</v>
      </c>
      <c r="G4610" s="57" t="s">
        <v>6628</v>
      </c>
      <c r="H4610" s="57" t="s">
        <v>1115</v>
      </c>
    </row>
    <row r="4611" spans="2:8" ht="13.5" customHeight="1">
      <c r="B4611" s="71" t="s">
        <v>6165</v>
      </c>
      <c r="D4611" s="71" t="s">
        <v>6166</v>
      </c>
      <c r="F4611" s="57">
        <v>138</v>
      </c>
      <c r="G4611" s="57" t="s">
        <v>6628</v>
      </c>
      <c r="H4611" s="57" t="s">
        <v>1115</v>
      </c>
    </row>
    <row r="4612" spans="2:8" ht="13.5" customHeight="1">
      <c r="B4612" s="71" t="s">
        <v>6167</v>
      </c>
      <c r="D4612" s="71" t="s">
        <v>6168</v>
      </c>
      <c r="F4612" s="57">
        <v>146</v>
      </c>
      <c r="G4612" s="57" t="s">
        <v>6628</v>
      </c>
      <c r="H4612" s="57" t="s">
        <v>1115</v>
      </c>
    </row>
    <row r="4613" spans="2:8" ht="13.5" customHeight="1">
      <c r="B4613" s="72" t="s">
        <v>8613</v>
      </c>
      <c r="D4613" s="72" t="s">
        <v>8614</v>
      </c>
      <c r="F4613" s="57">
        <v>180</v>
      </c>
      <c r="G4613" s="57" t="s">
        <v>6628</v>
      </c>
      <c r="H4613" s="57" t="s">
        <v>1115</v>
      </c>
    </row>
    <row r="4614" spans="2:8" ht="13.5" customHeight="1">
      <c r="B4614" s="102" t="s">
        <v>6169</v>
      </c>
      <c r="D4614" s="102" t="s">
        <v>6170</v>
      </c>
      <c r="F4614" s="57">
        <v>185</v>
      </c>
      <c r="G4614" s="57" t="s">
        <v>6628</v>
      </c>
      <c r="H4614" s="57" t="s">
        <v>1115</v>
      </c>
    </row>
    <row r="4615" spans="2:8" ht="13.5" customHeight="1">
      <c r="B4615" s="57" t="s">
        <v>6171</v>
      </c>
      <c r="D4615" s="57" t="s">
        <v>6172</v>
      </c>
      <c r="F4615" s="57">
        <v>186</v>
      </c>
      <c r="G4615" s="57" t="s">
        <v>6628</v>
      </c>
      <c r="H4615" s="57" t="s">
        <v>1115</v>
      </c>
    </row>
    <row r="4616" spans="2:8" ht="13.5" customHeight="1">
      <c r="B4616" s="69" t="s">
        <v>8608</v>
      </c>
      <c r="D4616" s="69" t="s">
        <v>8243</v>
      </c>
      <c r="F4616" s="57">
        <v>194</v>
      </c>
      <c r="G4616" s="57" t="s">
        <v>6628</v>
      </c>
      <c r="H4616" s="57" t="s">
        <v>1115</v>
      </c>
    </row>
    <row r="4617" spans="2:8" ht="13.5" customHeight="1">
      <c r="B4617" s="198" t="s">
        <v>8611</v>
      </c>
      <c r="D4617" s="198" t="s">
        <v>8612</v>
      </c>
      <c r="F4617" s="57">
        <v>332</v>
      </c>
      <c r="G4617" s="57" t="s">
        <v>6628</v>
      </c>
      <c r="H4617" s="57" t="s">
        <v>1115</v>
      </c>
    </row>
    <row r="4618" spans="2:8" ht="13.5" customHeight="1">
      <c r="B4618" s="72" t="s">
        <v>3204</v>
      </c>
      <c r="D4618" s="72" t="s">
        <v>3205</v>
      </c>
      <c r="F4618" s="57">
        <v>335</v>
      </c>
      <c r="G4618" s="57" t="s">
        <v>6628</v>
      </c>
      <c r="H4618" s="57" t="s">
        <v>1115</v>
      </c>
    </row>
    <row r="4619" spans="2:8" ht="13.5" customHeight="1">
      <c r="B4619" s="72" t="s">
        <v>8615</v>
      </c>
      <c r="D4619" s="72" t="s">
        <v>4284</v>
      </c>
      <c r="F4619" s="57">
        <v>342</v>
      </c>
      <c r="G4619" s="57" t="s">
        <v>6628</v>
      </c>
      <c r="H4619" s="57" t="s">
        <v>1115</v>
      </c>
    </row>
    <row r="4620" spans="2:8" ht="13.5" customHeight="1">
      <c r="B4620" s="196" t="s">
        <v>8534</v>
      </c>
      <c r="C4620" s="107"/>
      <c r="D4620" s="196" t="s">
        <v>8535</v>
      </c>
      <c r="G4620" s="57" t="s">
        <v>6628</v>
      </c>
      <c r="H4620" s="57" t="s">
        <v>1115</v>
      </c>
    </row>
    <row r="4621" spans="2:8" ht="13.5" customHeight="1">
      <c r="B4621" s="71" t="s">
        <v>6174</v>
      </c>
      <c r="D4621" s="71" t="s">
        <v>6175</v>
      </c>
      <c r="F4621" s="57">
        <v>1</v>
      </c>
      <c r="G4621" s="57" t="s">
        <v>6628</v>
      </c>
      <c r="H4621" s="57" t="s">
        <v>1117</v>
      </c>
    </row>
    <row r="4622" spans="2:8" ht="13.5" customHeight="1">
      <c r="B4622" s="71" t="s">
        <v>5826</v>
      </c>
      <c r="D4622" s="71" t="s">
        <v>6173</v>
      </c>
      <c r="F4622" s="57">
        <v>1</v>
      </c>
      <c r="G4622" s="57" t="s">
        <v>6628</v>
      </c>
      <c r="H4622" s="57" t="s">
        <v>1117</v>
      </c>
    </row>
    <row r="4623" spans="2:8" ht="13.5" customHeight="1">
      <c r="B4623" s="108" t="s">
        <v>8565</v>
      </c>
      <c r="D4623" s="109" t="s">
        <v>8566</v>
      </c>
      <c r="F4623" s="57">
        <v>1</v>
      </c>
      <c r="G4623" s="57" t="s">
        <v>6628</v>
      </c>
      <c r="H4623" s="57" t="s">
        <v>1117</v>
      </c>
    </row>
    <row r="4624" spans="2:8" ht="13.5" customHeight="1">
      <c r="B4624" s="74" t="s">
        <v>6099</v>
      </c>
      <c r="D4624" s="74" t="s">
        <v>8636</v>
      </c>
      <c r="F4624" s="57">
        <v>1</v>
      </c>
      <c r="G4624" s="57" t="s">
        <v>6628</v>
      </c>
      <c r="H4624" s="57" t="s">
        <v>1117</v>
      </c>
    </row>
    <row r="4625" spans="2:8" ht="13.5" customHeight="1">
      <c r="B4625" s="71" t="s">
        <v>6176</v>
      </c>
      <c r="D4625" s="71" t="s">
        <v>6177</v>
      </c>
      <c r="F4625" s="57">
        <v>2</v>
      </c>
      <c r="G4625" s="57" t="s">
        <v>6628</v>
      </c>
      <c r="H4625" s="57" t="s">
        <v>1117</v>
      </c>
    </row>
    <row r="4626" spans="2:8" ht="13.5" customHeight="1">
      <c r="B4626" s="108" t="s">
        <v>253</v>
      </c>
      <c r="D4626" s="109" t="s">
        <v>51</v>
      </c>
      <c r="F4626" s="57">
        <v>2</v>
      </c>
      <c r="G4626" s="57" t="s">
        <v>6628</v>
      </c>
      <c r="H4626" s="57" t="s">
        <v>1117</v>
      </c>
    </row>
    <row r="4627" spans="2:8" ht="13.5" customHeight="1">
      <c r="B4627" s="72" t="s">
        <v>8622</v>
      </c>
      <c r="D4627" s="72" t="s">
        <v>8623</v>
      </c>
      <c r="F4627" s="57">
        <v>2</v>
      </c>
      <c r="G4627" s="57" t="s">
        <v>6628</v>
      </c>
      <c r="H4627" s="57" t="s">
        <v>1117</v>
      </c>
    </row>
    <row r="4628" spans="2:8" ht="13.5" customHeight="1">
      <c r="B4628" s="72" t="s">
        <v>428</v>
      </c>
      <c r="D4628" s="72" t="s">
        <v>3203</v>
      </c>
      <c r="F4628" s="57">
        <v>5</v>
      </c>
      <c r="G4628" s="57" t="s">
        <v>6628</v>
      </c>
      <c r="H4628" s="57" t="s">
        <v>1117</v>
      </c>
    </row>
    <row r="4629" spans="2:8" ht="13.5" customHeight="1">
      <c r="B4629" s="72" t="s">
        <v>8606</v>
      </c>
      <c r="D4629" s="72" t="s">
        <v>8607</v>
      </c>
      <c r="F4629" s="57">
        <v>6</v>
      </c>
      <c r="G4629" s="57" t="s">
        <v>6628</v>
      </c>
      <c r="H4629" s="57" t="s">
        <v>1117</v>
      </c>
    </row>
    <row r="4630" spans="2:8" ht="13.5" customHeight="1">
      <c r="B4630" s="74" t="s">
        <v>8639</v>
      </c>
      <c r="D4630" s="74" t="s">
        <v>8640</v>
      </c>
      <c r="F4630" s="57">
        <v>6</v>
      </c>
      <c r="G4630" s="57" t="s">
        <v>6628</v>
      </c>
      <c r="H4630" s="57" t="s">
        <v>1117</v>
      </c>
    </row>
    <row r="4631" spans="2:8" ht="13.5" customHeight="1">
      <c r="B4631" s="109" t="s">
        <v>6178</v>
      </c>
      <c r="D4631" s="109" t="s">
        <v>6179</v>
      </c>
      <c r="F4631" s="57">
        <v>7</v>
      </c>
      <c r="G4631" s="57" t="s">
        <v>6628</v>
      </c>
      <c r="H4631" s="57" t="s">
        <v>1117</v>
      </c>
    </row>
    <row r="4632" spans="2:8" ht="13.5" customHeight="1">
      <c r="B4632" s="72" t="s">
        <v>8621</v>
      </c>
      <c r="D4632" s="72" t="s">
        <v>473</v>
      </c>
      <c r="F4632" s="57">
        <v>8</v>
      </c>
      <c r="G4632" s="57" t="s">
        <v>6628</v>
      </c>
      <c r="H4632" s="57" t="s">
        <v>1117</v>
      </c>
    </row>
    <row r="4633" spans="2:8" ht="13.5" customHeight="1">
      <c r="B4633" s="71" t="s">
        <v>6180</v>
      </c>
      <c r="D4633" s="71" t="s">
        <v>6181</v>
      </c>
      <c r="F4633" s="57">
        <v>13</v>
      </c>
      <c r="G4633" s="57" t="s">
        <v>6628</v>
      </c>
      <c r="H4633" s="57" t="s">
        <v>1117</v>
      </c>
    </row>
    <row r="4634" spans="2:8" ht="13.5" customHeight="1">
      <c r="B4634" s="105" t="s">
        <v>6146</v>
      </c>
      <c r="D4634" s="105" t="s">
        <v>8633</v>
      </c>
      <c r="F4634" s="57">
        <v>15</v>
      </c>
      <c r="G4634" s="57" t="s">
        <v>6628</v>
      </c>
      <c r="H4634" s="57" t="s">
        <v>1117</v>
      </c>
    </row>
    <row r="4635" spans="2:8" ht="13.5" customHeight="1">
      <c r="B4635" s="72" t="s">
        <v>8609</v>
      </c>
      <c r="D4635" s="72" t="s">
        <v>8610</v>
      </c>
      <c r="F4635" s="57">
        <v>18</v>
      </c>
      <c r="G4635" s="57" t="s">
        <v>6628</v>
      </c>
      <c r="H4635" s="57" t="s">
        <v>1117</v>
      </c>
    </row>
    <row r="4636" spans="2:8" ht="13.5" customHeight="1">
      <c r="B4636" s="71" t="s">
        <v>6182</v>
      </c>
      <c r="D4636" s="71" t="s">
        <v>6183</v>
      </c>
      <c r="F4636" s="57">
        <v>23</v>
      </c>
      <c r="G4636" s="57" t="s">
        <v>6628</v>
      </c>
      <c r="H4636" s="57" t="s">
        <v>1117</v>
      </c>
    </row>
    <row r="4637" spans="2:8" ht="13.5" customHeight="1">
      <c r="B4637" s="71" t="s">
        <v>332</v>
      </c>
      <c r="D4637" s="71" t="s">
        <v>333</v>
      </c>
      <c r="F4637" s="57">
        <v>33</v>
      </c>
      <c r="G4637" s="57" t="s">
        <v>6628</v>
      </c>
      <c r="H4637" s="57" t="s">
        <v>1117</v>
      </c>
    </row>
    <row r="4638" spans="2:8" ht="13.5" customHeight="1">
      <c r="B4638" s="74" t="s">
        <v>8634</v>
      </c>
      <c r="D4638" s="74" t="s">
        <v>959</v>
      </c>
      <c r="F4638" s="57">
        <v>33</v>
      </c>
      <c r="G4638" s="57" t="s">
        <v>6628</v>
      </c>
      <c r="H4638" s="57" t="s">
        <v>1117</v>
      </c>
    </row>
    <row r="4639" spans="2:8" ht="13.5" customHeight="1">
      <c r="B4639" s="72" t="s">
        <v>6212</v>
      </c>
      <c r="D4639" s="72" t="s">
        <v>869</v>
      </c>
      <c r="F4639" s="57">
        <v>34</v>
      </c>
      <c r="G4639" s="57" t="s">
        <v>6628</v>
      </c>
      <c r="H4639" s="57" t="s">
        <v>1117</v>
      </c>
    </row>
    <row r="4640" spans="2:8" ht="13.5" customHeight="1">
      <c r="B4640" s="71" t="s">
        <v>5340</v>
      </c>
      <c r="C4640" s="71"/>
      <c r="D4640" s="71" t="s">
        <v>6184</v>
      </c>
      <c r="F4640" s="57">
        <v>48</v>
      </c>
      <c r="G4640" s="57" t="s">
        <v>6628</v>
      </c>
      <c r="H4640" s="57" t="s">
        <v>1117</v>
      </c>
    </row>
    <row r="4641" spans="2:8" ht="13.5" customHeight="1">
      <c r="B4641" s="71" t="s">
        <v>6185</v>
      </c>
      <c r="C4641" s="71"/>
      <c r="D4641" s="71" t="s">
        <v>6186</v>
      </c>
      <c r="F4641" s="57">
        <v>53</v>
      </c>
      <c r="G4641" s="57" t="s">
        <v>6628</v>
      </c>
      <c r="H4641" s="57" t="s">
        <v>1117</v>
      </c>
    </row>
    <row r="4642" spans="2:8" ht="13.5" customHeight="1">
      <c r="B4642" s="71" t="s">
        <v>6187</v>
      </c>
      <c r="C4642" s="71"/>
      <c r="D4642" s="71" t="s">
        <v>6188</v>
      </c>
      <c r="F4642" s="57">
        <v>64</v>
      </c>
      <c r="G4642" s="57" t="s">
        <v>6628</v>
      </c>
      <c r="H4642" s="57" t="s">
        <v>1117</v>
      </c>
    </row>
    <row r="4643" spans="2:8" ht="13.5" customHeight="1">
      <c r="B4643" s="114" t="s">
        <v>5218</v>
      </c>
      <c r="C4643" s="71"/>
      <c r="D4643" s="114" t="s">
        <v>5206</v>
      </c>
      <c r="F4643" s="57">
        <v>66</v>
      </c>
      <c r="G4643" s="57" t="s">
        <v>6628</v>
      </c>
      <c r="H4643" s="57" t="s">
        <v>1117</v>
      </c>
    </row>
    <row r="4644" spans="2:8" ht="13.5" customHeight="1">
      <c r="B4644" s="71" t="s">
        <v>6189</v>
      </c>
      <c r="C4644" s="71"/>
      <c r="D4644" s="71" t="s">
        <v>6190</v>
      </c>
      <c r="F4644" s="57">
        <v>77</v>
      </c>
      <c r="G4644" s="57" t="s">
        <v>6628</v>
      </c>
      <c r="H4644" s="57" t="s">
        <v>1117</v>
      </c>
    </row>
    <row r="4645" spans="2:8" ht="13.5" customHeight="1">
      <c r="B4645" s="71" t="s">
        <v>1334</v>
      </c>
      <c r="C4645" s="71"/>
      <c r="D4645" s="71" t="s">
        <v>6191</v>
      </c>
      <c r="F4645" s="57">
        <v>96</v>
      </c>
      <c r="G4645" s="57" t="s">
        <v>6628</v>
      </c>
      <c r="H4645" s="57" t="s">
        <v>1117</v>
      </c>
    </row>
    <row r="4646" spans="2:8" ht="13.5" customHeight="1">
      <c r="B4646" s="71" t="s">
        <v>6192</v>
      </c>
      <c r="C4646" s="71"/>
      <c r="D4646" s="71" t="s">
        <v>6193</v>
      </c>
      <c r="F4646" s="57">
        <v>97</v>
      </c>
      <c r="G4646" s="57" t="s">
        <v>6628</v>
      </c>
      <c r="H4646" s="57" t="s">
        <v>1117</v>
      </c>
    </row>
    <row r="4647" spans="2:8" ht="13.5" customHeight="1">
      <c r="B4647" s="71" t="s">
        <v>5740</v>
      </c>
      <c r="C4647" s="71"/>
      <c r="D4647" s="71" t="s">
        <v>3589</v>
      </c>
      <c r="F4647" s="57">
        <v>97</v>
      </c>
      <c r="G4647" s="57" t="s">
        <v>6628</v>
      </c>
      <c r="H4647" s="57" t="s">
        <v>1117</v>
      </c>
    </row>
    <row r="4648" spans="2:8" ht="13.5" customHeight="1">
      <c r="B4648" s="74" t="s">
        <v>3489</v>
      </c>
      <c r="C4648" s="71"/>
      <c r="D4648" s="74" t="s">
        <v>3678</v>
      </c>
      <c r="F4648" s="57">
        <v>128</v>
      </c>
      <c r="G4648" s="57" t="s">
        <v>6628</v>
      </c>
      <c r="H4648" s="57" t="s">
        <v>1117</v>
      </c>
    </row>
    <row r="4649" spans="2:8" ht="13.5" customHeight="1">
      <c r="B4649" s="71" t="s">
        <v>6198</v>
      </c>
      <c r="C4649" s="71"/>
      <c r="D4649" s="71" t="s">
        <v>6199</v>
      </c>
      <c r="F4649" s="57">
        <v>130</v>
      </c>
      <c r="G4649" s="57" t="s">
        <v>6628</v>
      </c>
      <c r="H4649" s="57" t="s">
        <v>1117</v>
      </c>
    </row>
    <row r="4650" spans="2:8" ht="13.5" customHeight="1">
      <c r="B4650" s="71" t="s">
        <v>6194</v>
      </c>
      <c r="C4650" s="71"/>
      <c r="D4650" s="71" t="s">
        <v>6195</v>
      </c>
      <c r="F4650" s="57">
        <v>132</v>
      </c>
      <c r="G4650" s="57" t="s">
        <v>6628</v>
      </c>
      <c r="H4650" s="57" t="s">
        <v>1117</v>
      </c>
    </row>
    <row r="4651" spans="2:8" ht="13.5" customHeight="1">
      <c r="B4651" s="71" t="s">
        <v>6196</v>
      </c>
      <c r="C4651" s="71"/>
      <c r="D4651" s="71" t="s">
        <v>6197</v>
      </c>
      <c r="F4651" s="57">
        <v>173</v>
      </c>
      <c r="G4651" s="57" t="s">
        <v>6628</v>
      </c>
      <c r="H4651" s="57" t="s">
        <v>1117</v>
      </c>
    </row>
    <row r="4652" spans="2:8" ht="13.5" customHeight="1">
      <c r="B4652" s="71" t="s">
        <v>6202</v>
      </c>
      <c r="C4652" s="71"/>
      <c r="D4652" s="71" t="s">
        <v>6203</v>
      </c>
      <c r="F4652" s="57">
        <v>1</v>
      </c>
      <c r="G4652" s="57" t="s">
        <v>6628</v>
      </c>
      <c r="H4652" s="57" t="s">
        <v>1347</v>
      </c>
    </row>
    <row r="4653" spans="2:8" ht="13.5" customHeight="1">
      <c r="B4653" s="71" t="s">
        <v>6152</v>
      </c>
      <c r="C4653" s="71"/>
      <c r="D4653" s="71" t="s">
        <v>6153</v>
      </c>
      <c r="F4653" s="57">
        <v>2</v>
      </c>
      <c r="G4653" s="57" t="s">
        <v>6628</v>
      </c>
      <c r="H4653" s="57" t="s">
        <v>1347</v>
      </c>
    </row>
    <row r="4654" spans="2:8" ht="13.5" customHeight="1">
      <c r="B4654" s="139" t="s">
        <v>8574</v>
      </c>
      <c r="D4654" s="149" t="s">
        <v>8575</v>
      </c>
      <c r="F4654" s="57">
        <v>2</v>
      </c>
      <c r="G4654" s="57" t="s">
        <v>6628</v>
      </c>
      <c r="H4654" s="57" t="s">
        <v>1347</v>
      </c>
    </row>
    <row r="4655" spans="2:8" ht="13.5" customHeight="1">
      <c r="B4655" s="71" t="s">
        <v>6204</v>
      </c>
      <c r="D4655" s="71" t="s">
        <v>6204</v>
      </c>
      <c r="F4655" s="57">
        <v>3</v>
      </c>
      <c r="G4655" s="57" t="s">
        <v>6628</v>
      </c>
      <c r="H4655" s="71" t="s">
        <v>1347</v>
      </c>
    </row>
    <row r="4656" spans="2:8" ht="13.5" customHeight="1">
      <c r="B4656" s="72" t="s">
        <v>6114</v>
      </c>
      <c r="D4656" s="72" t="s">
        <v>8624</v>
      </c>
      <c r="F4656" s="57">
        <v>3</v>
      </c>
      <c r="G4656" s="57" t="s">
        <v>6628</v>
      </c>
      <c r="H4656" s="57" t="s">
        <v>1347</v>
      </c>
    </row>
    <row r="4657" spans="2:8" ht="13.5" customHeight="1">
      <c r="B4657" s="114" t="s">
        <v>326</v>
      </c>
      <c r="D4657" s="114" t="s">
        <v>327</v>
      </c>
      <c r="F4657" s="57">
        <v>3</v>
      </c>
      <c r="G4657" s="57" t="s">
        <v>6628</v>
      </c>
      <c r="H4657" s="57" t="s">
        <v>1347</v>
      </c>
    </row>
    <row r="4658" spans="2:8" ht="13.5" customHeight="1">
      <c r="B4658" s="71" t="s">
        <v>6207</v>
      </c>
      <c r="D4658" s="71" t="s">
        <v>6208</v>
      </c>
      <c r="F4658" s="57">
        <v>6</v>
      </c>
      <c r="G4658" s="57" t="s">
        <v>6628</v>
      </c>
      <c r="H4658" s="57" t="s">
        <v>1347</v>
      </c>
    </row>
    <row r="4659" spans="2:8" ht="13.5" customHeight="1">
      <c r="B4659" s="71" t="s">
        <v>3582</v>
      </c>
      <c r="D4659" s="71" t="s">
        <v>1104</v>
      </c>
      <c r="F4659" s="57">
        <v>6</v>
      </c>
      <c r="G4659" s="57" t="s">
        <v>6628</v>
      </c>
      <c r="H4659" s="57" t="s">
        <v>1347</v>
      </c>
    </row>
    <row r="4660" spans="2:8" ht="13.5" customHeight="1">
      <c r="B4660" s="71" t="s">
        <v>6205</v>
      </c>
      <c r="C4660" s="71"/>
      <c r="D4660" s="71" t="s">
        <v>6206</v>
      </c>
      <c r="F4660" s="57">
        <v>6</v>
      </c>
      <c r="G4660" s="57" t="s">
        <v>6628</v>
      </c>
      <c r="H4660" s="57" t="s">
        <v>1347</v>
      </c>
    </row>
    <row r="4661" spans="2:8" ht="13.5" customHeight="1">
      <c r="B4661" s="71" t="s">
        <v>6209</v>
      </c>
      <c r="C4661" s="71"/>
      <c r="D4661" s="71" t="s">
        <v>6210</v>
      </c>
      <c r="F4661" s="57">
        <v>7</v>
      </c>
      <c r="G4661" s="57" t="s">
        <v>6628</v>
      </c>
      <c r="H4661" s="57" t="s">
        <v>1347</v>
      </c>
    </row>
    <row r="4662" spans="2:8" ht="13.5" customHeight="1">
      <c r="B4662" s="71" t="s">
        <v>5862</v>
      </c>
      <c r="C4662" s="71"/>
      <c r="D4662" s="71" t="s">
        <v>6211</v>
      </c>
      <c r="F4662" s="57">
        <v>8</v>
      </c>
      <c r="G4662" s="57" t="s">
        <v>6628</v>
      </c>
      <c r="H4662" s="57" t="s">
        <v>1347</v>
      </c>
    </row>
    <row r="4663" spans="2:8" ht="13.5" customHeight="1">
      <c r="B4663" s="71" t="s">
        <v>6212</v>
      </c>
      <c r="C4663" s="71"/>
      <c r="D4663" s="71" t="s">
        <v>6213</v>
      </c>
      <c r="F4663" s="57">
        <v>8</v>
      </c>
      <c r="G4663" s="57" t="s">
        <v>6628</v>
      </c>
      <c r="H4663" s="57" t="s">
        <v>1347</v>
      </c>
    </row>
    <row r="4664" spans="2:8" ht="13.5" customHeight="1">
      <c r="B4664" s="113" t="s">
        <v>1368</v>
      </c>
      <c r="D4664" s="113" t="s">
        <v>1369</v>
      </c>
      <c r="F4664" s="57">
        <v>9</v>
      </c>
      <c r="G4664" s="57" t="s">
        <v>6628</v>
      </c>
      <c r="H4664" s="57" t="s">
        <v>1347</v>
      </c>
    </row>
    <row r="4665" spans="2:8" ht="13.5" customHeight="1">
      <c r="B4665" s="113" t="s">
        <v>8626</v>
      </c>
      <c r="D4665" s="113" t="s">
        <v>8627</v>
      </c>
      <c r="F4665" s="57">
        <v>9</v>
      </c>
      <c r="G4665" s="57" t="s">
        <v>6628</v>
      </c>
      <c r="H4665" s="57" t="s">
        <v>1347</v>
      </c>
    </row>
    <row r="4666" spans="2:8" ht="13.5" customHeight="1">
      <c r="B4666" s="71" t="s">
        <v>6214</v>
      </c>
      <c r="D4666" s="71" t="s">
        <v>6215</v>
      </c>
      <c r="F4666" s="57">
        <v>12</v>
      </c>
      <c r="G4666" s="57" t="s">
        <v>6628</v>
      </c>
      <c r="H4666" s="57" t="s">
        <v>1347</v>
      </c>
    </row>
    <row r="4667" spans="2:8" ht="13.5" customHeight="1">
      <c r="B4667" s="71" t="s">
        <v>6216</v>
      </c>
      <c r="C4667" s="71"/>
      <c r="D4667" s="71" t="s">
        <v>6217</v>
      </c>
      <c r="F4667" s="57">
        <v>23</v>
      </c>
      <c r="G4667" s="57" t="s">
        <v>6628</v>
      </c>
      <c r="H4667" s="57" t="s">
        <v>1347</v>
      </c>
    </row>
    <row r="4668" spans="2:8" ht="13.5" customHeight="1">
      <c r="B4668" s="57" t="s">
        <v>3590</v>
      </c>
      <c r="D4668" s="71" t="s">
        <v>5285</v>
      </c>
      <c r="F4668" s="57">
        <v>29</v>
      </c>
      <c r="G4668" s="57" t="s">
        <v>6628</v>
      </c>
      <c r="H4668" s="71" t="s">
        <v>1347</v>
      </c>
    </row>
    <row r="4669" spans="2:8" ht="13.5" customHeight="1">
      <c r="B4669" s="57" t="s">
        <v>6218</v>
      </c>
      <c r="D4669" s="71" t="s">
        <v>6219</v>
      </c>
      <c r="F4669" s="57">
        <v>31</v>
      </c>
      <c r="G4669" s="57" t="s">
        <v>6628</v>
      </c>
      <c r="H4669" s="71" t="s">
        <v>1347</v>
      </c>
    </row>
    <row r="4670" spans="2:8" ht="13.5" customHeight="1">
      <c r="B4670" s="139" t="s">
        <v>8551</v>
      </c>
      <c r="D4670" s="149" t="s">
        <v>8552</v>
      </c>
      <c r="F4670" s="57">
        <v>33</v>
      </c>
      <c r="G4670" s="57" t="s">
        <v>6628</v>
      </c>
      <c r="H4670" s="57" t="s">
        <v>1347</v>
      </c>
    </row>
    <row r="4671" spans="2:8" ht="13.5" customHeight="1">
      <c r="B4671" s="57" t="s">
        <v>6222</v>
      </c>
      <c r="D4671" s="57" t="s">
        <v>6223</v>
      </c>
      <c r="F4671" s="57">
        <v>38</v>
      </c>
      <c r="G4671" s="57" t="s">
        <v>6628</v>
      </c>
      <c r="H4671" s="57" t="s">
        <v>1347</v>
      </c>
    </row>
    <row r="4672" spans="2:8" ht="13.5" customHeight="1">
      <c r="B4672" s="57" t="s">
        <v>6220</v>
      </c>
      <c r="D4672" s="57" t="s">
        <v>6221</v>
      </c>
      <c r="F4672" s="57">
        <v>39</v>
      </c>
      <c r="G4672" s="57" t="s">
        <v>6628</v>
      </c>
      <c r="H4672" s="57" t="s">
        <v>1347</v>
      </c>
    </row>
    <row r="4673" spans="2:8" ht="13.5" customHeight="1">
      <c r="B4673" s="57" t="s">
        <v>1364</v>
      </c>
      <c r="D4673" s="57" t="s">
        <v>6224</v>
      </c>
      <c r="F4673" s="57">
        <v>51</v>
      </c>
      <c r="G4673" s="57" t="s">
        <v>6628</v>
      </c>
      <c r="H4673" s="57" t="s">
        <v>1347</v>
      </c>
    </row>
    <row r="4674" spans="2:8" ht="13.5" customHeight="1">
      <c r="B4674" s="57" t="s">
        <v>891</v>
      </c>
      <c r="D4674" s="57" t="s">
        <v>892</v>
      </c>
      <c r="F4674" s="57">
        <v>60</v>
      </c>
      <c r="G4674" s="57" t="s">
        <v>6628</v>
      </c>
      <c r="H4674" s="57" t="s">
        <v>1347</v>
      </c>
    </row>
    <row r="4675" spans="2:8" ht="13.5" customHeight="1">
      <c r="B4675" s="57" t="s">
        <v>1394</v>
      </c>
      <c r="D4675" s="57" t="s">
        <v>846</v>
      </c>
      <c r="F4675" s="57">
        <v>62</v>
      </c>
      <c r="G4675" s="57" t="s">
        <v>6628</v>
      </c>
      <c r="H4675" s="57" t="s">
        <v>1347</v>
      </c>
    </row>
    <row r="4676" spans="2:8" ht="13.5" customHeight="1">
      <c r="B4676" s="149" t="s">
        <v>8578</v>
      </c>
      <c r="D4676" s="149" t="s">
        <v>8579</v>
      </c>
      <c r="F4676" s="57">
        <v>79</v>
      </c>
      <c r="G4676" s="57" t="s">
        <v>6628</v>
      </c>
      <c r="H4676" s="57" t="s">
        <v>1347</v>
      </c>
    </row>
    <row r="4677" spans="2:8" ht="13.5" customHeight="1">
      <c r="B4677" s="57" t="s">
        <v>285</v>
      </c>
      <c r="D4677" s="57" t="s">
        <v>286</v>
      </c>
      <c r="F4677" s="57">
        <v>88</v>
      </c>
      <c r="G4677" s="57" t="s">
        <v>6628</v>
      </c>
      <c r="H4677" s="57" t="s">
        <v>1347</v>
      </c>
    </row>
    <row r="4678" spans="2:8" ht="13.5" customHeight="1">
      <c r="B4678" s="141" t="s">
        <v>8637</v>
      </c>
      <c r="D4678" s="141" t="s">
        <v>8638</v>
      </c>
      <c r="F4678" s="57">
        <v>88</v>
      </c>
      <c r="G4678" s="57" t="s">
        <v>6628</v>
      </c>
      <c r="H4678" s="57" t="s">
        <v>1347</v>
      </c>
    </row>
    <row r="4679" spans="2:8" ht="13.5" customHeight="1">
      <c r="B4679" s="139" t="s">
        <v>8591</v>
      </c>
      <c r="D4679" s="149" t="s">
        <v>8592</v>
      </c>
      <c r="F4679" s="57">
        <v>89</v>
      </c>
      <c r="G4679" s="57" t="s">
        <v>6628</v>
      </c>
      <c r="H4679" s="57" t="s">
        <v>1347</v>
      </c>
    </row>
    <row r="4680" spans="2:8" ht="13.5" customHeight="1">
      <c r="B4680" s="139" t="s">
        <v>8589</v>
      </c>
      <c r="D4680" s="149" t="s">
        <v>8590</v>
      </c>
      <c r="F4680" s="57">
        <v>93</v>
      </c>
      <c r="G4680" s="57" t="s">
        <v>6628</v>
      </c>
      <c r="H4680" s="57" t="s">
        <v>1347</v>
      </c>
    </row>
    <row r="4681" spans="2:8" ht="13.5" customHeight="1">
      <c r="B4681" s="57" t="s">
        <v>2856</v>
      </c>
      <c r="D4681" s="57" t="s">
        <v>6225</v>
      </c>
      <c r="F4681" s="57">
        <v>94</v>
      </c>
      <c r="G4681" s="57" t="s">
        <v>6628</v>
      </c>
      <c r="H4681" s="57" t="s">
        <v>1347</v>
      </c>
    </row>
    <row r="4682" spans="2:8" ht="13.5" customHeight="1">
      <c r="B4682" s="139" t="s">
        <v>3364</v>
      </c>
      <c r="D4682" s="149" t="s">
        <v>3365</v>
      </c>
      <c r="F4682" s="57">
        <v>94</v>
      </c>
      <c r="G4682" s="57" t="s">
        <v>6628</v>
      </c>
      <c r="H4682" s="57" t="s">
        <v>1347</v>
      </c>
    </row>
    <row r="4683" spans="2:8" ht="13.5" customHeight="1">
      <c r="B4683" s="139" t="s">
        <v>8585</v>
      </c>
      <c r="D4683" s="149" t="s">
        <v>8586</v>
      </c>
      <c r="F4683" s="57">
        <v>96</v>
      </c>
      <c r="G4683" s="57" t="s">
        <v>6628</v>
      </c>
      <c r="H4683" s="57" t="s">
        <v>1347</v>
      </c>
    </row>
    <row r="4684" spans="2:8" ht="13.5" customHeight="1">
      <c r="B4684" s="139" t="s">
        <v>8583</v>
      </c>
      <c r="D4684" s="149" t="s">
        <v>8584</v>
      </c>
      <c r="F4684" s="57">
        <v>97</v>
      </c>
      <c r="G4684" s="57" t="s">
        <v>6628</v>
      </c>
      <c r="H4684" s="57" t="s">
        <v>1347</v>
      </c>
    </row>
    <row r="4685" spans="2:8" ht="13.5" customHeight="1">
      <c r="B4685" s="57" t="s">
        <v>1362</v>
      </c>
      <c r="D4685" s="57" t="s">
        <v>1363</v>
      </c>
      <c r="F4685" s="57">
        <v>98</v>
      </c>
      <c r="G4685" s="57" t="s">
        <v>6628</v>
      </c>
      <c r="H4685" s="57" t="s">
        <v>1347</v>
      </c>
    </row>
    <row r="4686" spans="2:8" ht="13.5" customHeight="1">
      <c r="B4686" s="57" t="s">
        <v>6200</v>
      </c>
      <c r="D4686" s="57" t="s">
        <v>6201</v>
      </c>
      <c r="F4686" s="57">
        <v>99</v>
      </c>
      <c r="G4686" s="57" t="s">
        <v>6628</v>
      </c>
      <c r="H4686" s="57" t="s">
        <v>1347</v>
      </c>
    </row>
    <row r="4687" spans="2:8" ht="13.5" customHeight="1">
      <c r="B4687" s="57" t="s">
        <v>6226</v>
      </c>
      <c r="D4687" s="57" t="s">
        <v>6227</v>
      </c>
      <c r="F4687" s="57">
        <v>118</v>
      </c>
      <c r="G4687" s="57" t="s">
        <v>6628</v>
      </c>
      <c r="H4687" s="57" t="s">
        <v>1347</v>
      </c>
    </row>
    <row r="4688" spans="2:8" ht="13.5" customHeight="1">
      <c r="B4688" s="141" t="s">
        <v>8635</v>
      </c>
      <c r="D4688" s="141" t="s">
        <v>8168</v>
      </c>
      <c r="F4688" s="57">
        <v>157</v>
      </c>
      <c r="G4688" s="57" t="s">
        <v>6628</v>
      </c>
      <c r="H4688" s="57" t="s">
        <v>1347</v>
      </c>
    </row>
    <row r="4689" spans="2:8" ht="13.5" customHeight="1">
      <c r="B4689" s="69" t="s">
        <v>8618</v>
      </c>
      <c r="D4689" s="69" t="s">
        <v>8619</v>
      </c>
      <c r="F4689" s="57">
        <v>290</v>
      </c>
      <c r="G4689" s="57" t="s">
        <v>6628</v>
      </c>
      <c r="H4689" s="57" t="s">
        <v>1347</v>
      </c>
    </row>
    <row r="4690" spans="2:8" ht="13.5" customHeight="1">
      <c r="B4690" s="57" t="s">
        <v>6229</v>
      </c>
      <c r="D4690" s="57" t="s">
        <v>6229</v>
      </c>
      <c r="F4690" s="57">
        <v>22</v>
      </c>
      <c r="G4690" s="57" t="s">
        <v>6628</v>
      </c>
      <c r="H4690" s="57" t="s">
        <v>1355</v>
      </c>
    </row>
    <row r="4691" spans="2:8" ht="13.5" customHeight="1">
      <c r="B4691" s="57" t="s">
        <v>6236</v>
      </c>
      <c r="D4691" s="57" t="s">
        <v>6237</v>
      </c>
      <c r="F4691" s="57">
        <v>35</v>
      </c>
      <c r="G4691" s="57" t="s">
        <v>6628</v>
      </c>
      <c r="H4691" s="57" t="s">
        <v>1355</v>
      </c>
    </row>
    <row r="4692" spans="2:8" ht="13.5" customHeight="1">
      <c r="B4692" s="57" t="s">
        <v>6230</v>
      </c>
      <c r="D4692" s="57" t="s">
        <v>6230</v>
      </c>
      <c r="F4692" s="57">
        <v>36</v>
      </c>
      <c r="G4692" s="57" t="s">
        <v>6628</v>
      </c>
      <c r="H4692" s="57" t="s">
        <v>1355</v>
      </c>
    </row>
    <row r="4693" spans="2:8" ht="13.5" customHeight="1">
      <c r="B4693" s="71" t="s">
        <v>6231</v>
      </c>
      <c r="D4693" s="71" t="s">
        <v>6231</v>
      </c>
      <c r="F4693" s="57">
        <v>40</v>
      </c>
      <c r="G4693" s="57" t="s">
        <v>6628</v>
      </c>
      <c r="H4693" s="57" t="s">
        <v>1355</v>
      </c>
    </row>
    <row r="4694" spans="2:8" ht="13.5" customHeight="1">
      <c r="B4694" s="71" t="s">
        <v>6232</v>
      </c>
      <c r="D4694" s="71" t="s">
        <v>6233</v>
      </c>
      <c r="F4694" s="57">
        <v>50</v>
      </c>
      <c r="G4694" s="57" t="s">
        <v>6628</v>
      </c>
      <c r="H4694" s="57" t="s">
        <v>1355</v>
      </c>
    </row>
    <row r="4695" spans="2:8" ht="13.5" customHeight="1">
      <c r="B4695" s="71" t="s">
        <v>6234</v>
      </c>
      <c r="D4695" s="71" t="s">
        <v>6235</v>
      </c>
      <c r="F4695" s="57">
        <v>60</v>
      </c>
      <c r="G4695" s="57" t="s">
        <v>6628</v>
      </c>
      <c r="H4695" s="57" t="s">
        <v>1355</v>
      </c>
    </row>
    <row r="4696" spans="2:8" ht="13.5" customHeight="1">
      <c r="B4696" s="71"/>
      <c r="D4696" s="71" t="s">
        <v>6238</v>
      </c>
      <c r="F4696" s="57">
        <v>149</v>
      </c>
      <c r="G4696" s="57" t="s">
        <v>6628</v>
      </c>
      <c r="H4696" s="57" t="s">
        <v>1355</v>
      </c>
    </row>
    <row r="4697" spans="2:8" ht="13.5" customHeight="1">
      <c r="B4697" s="71" t="s">
        <v>6239</v>
      </c>
      <c r="D4697" s="71" t="s">
        <v>6240</v>
      </c>
      <c r="F4697" s="57">
        <v>2</v>
      </c>
      <c r="G4697" s="57" t="s">
        <v>6628</v>
      </c>
      <c r="H4697" s="57" t="s">
        <v>1354</v>
      </c>
    </row>
    <row r="4698" spans="2:8" ht="13.5" customHeight="1">
      <c r="B4698" s="71" t="s">
        <v>6243</v>
      </c>
      <c r="D4698" s="71" t="s">
        <v>6244</v>
      </c>
      <c r="F4698" s="57">
        <v>3</v>
      </c>
      <c r="G4698" s="57" t="s">
        <v>6628</v>
      </c>
      <c r="H4698" s="57" t="s">
        <v>1354</v>
      </c>
    </row>
    <row r="4699" spans="2:8" ht="13.5" customHeight="1">
      <c r="B4699" s="71" t="s">
        <v>6252</v>
      </c>
      <c r="D4699" s="71" t="s">
        <v>6253</v>
      </c>
      <c r="F4699" s="57">
        <v>3</v>
      </c>
      <c r="G4699" s="57" t="s">
        <v>6628</v>
      </c>
      <c r="H4699" s="57" t="s">
        <v>1354</v>
      </c>
    </row>
    <row r="4700" spans="2:8" ht="13.5" customHeight="1">
      <c r="B4700" s="57" t="s">
        <v>6241</v>
      </c>
      <c r="D4700" s="71" t="s">
        <v>6242</v>
      </c>
      <c r="F4700" s="57">
        <v>3</v>
      </c>
      <c r="G4700" s="57" t="s">
        <v>6628</v>
      </c>
      <c r="H4700" s="57" t="s">
        <v>1354</v>
      </c>
    </row>
    <row r="4701" spans="2:8" ht="13.5" customHeight="1">
      <c r="B4701" s="71" t="s">
        <v>6245</v>
      </c>
      <c r="D4701" s="71" t="s">
        <v>6246</v>
      </c>
      <c r="F4701" s="57">
        <v>3</v>
      </c>
      <c r="G4701" s="57" t="s">
        <v>6628</v>
      </c>
      <c r="H4701" s="57" t="s">
        <v>1354</v>
      </c>
    </row>
    <row r="4702" spans="2:8" ht="13.5" customHeight="1">
      <c r="B4702" s="71" t="s">
        <v>2556</v>
      </c>
      <c r="D4702" s="71">
        <v>61300311121</v>
      </c>
      <c r="F4702" s="57">
        <v>4</v>
      </c>
      <c r="G4702" s="57" t="s">
        <v>6628</v>
      </c>
      <c r="H4702" s="57" t="s">
        <v>1354</v>
      </c>
    </row>
    <row r="4703" spans="2:8" ht="13.5" customHeight="1">
      <c r="B4703" s="71" t="s">
        <v>5264</v>
      </c>
      <c r="D4703" s="71" t="s">
        <v>6251</v>
      </c>
      <c r="F4703" s="57">
        <v>5</v>
      </c>
      <c r="G4703" s="57" t="s">
        <v>6628</v>
      </c>
      <c r="H4703" s="57" t="s">
        <v>1354</v>
      </c>
    </row>
    <row r="4704" spans="2:8" ht="13.5" customHeight="1">
      <c r="B4704" s="71" t="s">
        <v>6249</v>
      </c>
      <c r="D4704" s="71" t="s">
        <v>6250</v>
      </c>
      <c r="F4704" s="57">
        <v>5</v>
      </c>
      <c r="G4704" s="57" t="s">
        <v>6628</v>
      </c>
      <c r="H4704" s="57" t="s">
        <v>1354</v>
      </c>
    </row>
    <row r="4705" spans="2:8" ht="13.5" customHeight="1">
      <c r="B4705" s="71" t="s">
        <v>6247</v>
      </c>
      <c r="D4705" s="71" t="s">
        <v>6248</v>
      </c>
      <c r="F4705" s="57">
        <v>5</v>
      </c>
      <c r="G4705" s="57" t="s">
        <v>6628</v>
      </c>
      <c r="H4705" s="57" t="s">
        <v>1354</v>
      </c>
    </row>
    <row r="4706" spans="2:8" ht="13.5" customHeight="1">
      <c r="B4706" s="78" t="s">
        <v>8512</v>
      </c>
      <c r="C4706" s="64" t="s">
        <v>8513</v>
      </c>
      <c r="D4706" s="78" t="s">
        <v>8514</v>
      </c>
      <c r="F4706" s="76">
        <v>5</v>
      </c>
      <c r="G4706" s="57" t="s">
        <v>6628</v>
      </c>
      <c r="H4706" s="57" t="s">
        <v>1354</v>
      </c>
    </row>
    <row r="4707" spans="2:8" ht="13.5" customHeight="1">
      <c r="B4707" s="71" t="s">
        <v>6254</v>
      </c>
      <c r="D4707" s="71" t="s">
        <v>6255</v>
      </c>
      <c r="F4707" s="57">
        <v>8</v>
      </c>
      <c r="G4707" s="57" t="s">
        <v>6628</v>
      </c>
      <c r="H4707" s="57" t="s">
        <v>1354</v>
      </c>
    </row>
    <row r="4708" spans="2:8" ht="13.5" customHeight="1">
      <c r="B4708" s="71" t="s">
        <v>6256</v>
      </c>
      <c r="D4708" s="71" t="s">
        <v>6257</v>
      </c>
      <c r="F4708" s="57">
        <v>8</v>
      </c>
      <c r="G4708" s="57" t="s">
        <v>6628</v>
      </c>
      <c r="H4708" s="57" t="s">
        <v>1354</v>
      </c>
    </row>
    <row r="4709" spans="2:8" ht="13.5" customHeight="1">
      <c r="B4709" s="71" t="s">
        <v>6258</v>
      </c>
      <c r="D4709" s="71" t="s">
        <v>6259</v>
      </c>
      <c r="F4709" s="57">
        <v>10</v>
      </c>
      <c r="G4709" s="57" t="s">
        <v>6628</v>
      </c>
      <c r="H4709" s="57" t="s">
        <v>1354</v>
      </c>
    </row>
    <row r="4710" spans="2:8" ht="13.5" customHeight="1">
      <c r="B4710" s="71" t="s">
        <v>6260</v>
      </c>
      <c r="D4710" s="71" t="s">
        <v>6261</v>
      </c>
      <c r="F4710" s="57">
        <v>12</v>
      </c>
      <c r="G4710" s="57" t="s">
        <v>6628</v>
      </c>
      <c r="H4710" s="57" t="s">
        <v>1354</v>
      </c>
    </row>
    <row r="4711" spans="2:8" ht="13.5" customHeight="1">
      <c r="B4711" s="71" t="s">
        <v>6262</v>
      </c>
      <c r="D4711" s="71">
        <v>15910200</v>
      </c>
      <c r="F4711" s="57">
        <v>20</v>
      </c>
      <c r="G4711" s="57" t="s">
        <v>6628</v>
      </c>
      <c r="H4711" s="57" t="s">
        <v>1354</v>
      </c>
    </row>
    <row r="4712" spans="2:8" ht="13.5" customHeight="1">
      <c r="B4712" s="71" t="s">
        <v>6263</v>
      </c>
      <c r="D4712" s="71" t="s">
        <v>6264</v>
      </c>
      <c r="F4712" s="57">
        <v>20</v>
      </c>
      <c r="G4712" s="57" t="s">
        <v>6628</v>
      </c>
      <c r="H4712" s="57" t="s">
        <v>1354</v>
      </c>
    </row>
    <row r="4713" spans="2:8" ht="13.5" customHeight="1">
      <c r="B4713" s="103" t="s">
        <v>6265</v>
      </c>
      <c r="D4713" s="103" t="s">
        <v>6266</v>
      </c>
      <c r="F4713" s="57">
        <v>29</v>
      </c>
      <c r="G4713" s="57" t="s">
        <v>6628</v>
      </c>
      <c r="H4713" s="57" t="s">
        <v>1354</v>
      </c>
    </row>
    <row r="4714" spans="2:8" ht="13.5" customHeight="1">
      <c r="B4714" s="71" t="s">
        <v>6267</v>
      </c>
      <c r="D4714" s="71" t="s">
        <v>6268</v>
      </c>
      <c r="F4714" s="57">
        <v>36</v>
      </c>
      <c r="G4714" s="57" t="s">
        <v>6628</v>
      </c>
      <c r="H4714" s="57" t="s">
        <v>1354</v>
      </c>
    </row>
    <row r="4715" spans="2:8" ht="13.5" customHeight="1">
      <c r="B4715" s="71" t="s">
        <v>6269</v>
      </c>
      <c r="D4715" s="71" t="s">
        <v>6270</v>
      </c>
      <c r="F4715" s="57">
        <v>45</v>
      </c>
      <c r="G4715" s="57" t="s">
        <v>6628</v>
      </c>
      <c r="H4715" s="57" t="s">
        <v>1354</v>
      </c>
    </row>
    <row r="4716" spans="2:8" ht="13.5" customHeight="1">
      <c r="B4716" s="71" t="s">
        <v>6271</v>
      </c>
      <c r="D4716" s="71" t="s">
        <v>6272</v>
      </c>
      <c r="F4716" s="57">
        <v>86</v>
      </c>
      <c r="G4716" s="57" t="s">
        <v>6628</v>
      </c>
      <c r="H4716" s="57" t="s">
        <v>1354</v>
      </c>
    </row>
    <row r="4717" spans="2:8" ht="13.5" customHeight="1">
      <c r="B4717" s="71" t="s">
        <v>6275</v>
      </c>
      <c r="D4717" s="71" t="s">
        <v>6276</v>
      </c>
      <c r="F4717" s="57">
        <v>1</v>
      </c>
      <c r="G4717" s="57" t="s">
        <v>6628</v>
      </c>
      <c r="H4717" s="57" t="s">
        <v>1356</v>
      </c>
    </row>
    <row r="4718" spans="2:8" ht="13.5" customHeight="1">
      <c r="B4718" s="71" t="s">
        <v>6273</v>
      </c>
      <c r="D4718" s="71" t="s">
        <v>6274</v>
      </c>
      <c r="F4718" s="57">
        <v>1</v>
      </c>
      <c r="G4718" s="57" t="s">
        <v>6628</v>
      </c>
      <c r="H4718" s="57" t="s">
        <v>1356</v>
      </c>
    </row>
    <row r="4719" spans="2:8" ht="13.5" customHeight="1">
      <c r="B4719" s="71" t="s">
        <v>6277</v>
      </c>
      <c r="D4719" s="71" t="s">
        <v>6278</v>
      </c>
      <c r="F4719" s="57">
        <v>1</v>
      </c>
      <c r="G4719" s="57" t="s">
        <v>6628</v>
      </c>
      <c r="H4719" s="57" t="s">
        <v>1356</v>
      </c>
    </row>
    <row r="4720" spans="2:8" ht="13.5" customHeight="1">
      <c r="B4720" s="71" t="s">
        <v>6279</v>
      </c>
      <c r="D4720" s="71" t="s">
        <v>6280</v>
      </c>
      <c r="F4720" s="57">
        <v>2</v>
      </c>
      <c r="G4720" s="57" t="s">
        <v>6628</v>
      </c>
      <c r="H4720" s="57" t="s">
        <v>1356</v>
      </c>
    </row>
    <row r="4721" spans="2:8" ht="13.5" customHeight="1">
      <c r="B4721" s="71" t="s">
        <v>6605</v>
      </c>
      <c r="D4721" s="71" t="s">
        <v>6606</v>
      </c>
      <c r="F4721" s="57">
        <v>2</v>
      </c>
      <c r="G4721" s="57" t="s">
        <v>6628</v>
      </c>
      <c r="H4721" s="57" t="s">
        <v>1356</v>
      </c>
    </row>
    <row r="4722" spans="2:8" ht="13.5" customHeight="1">
      <c r="B4722" s="71" t="s">
        <v>6299</v>
      </c>
      <c r="D4722" s="71" t="s">
        <v>6300</v>
      </c>
      <c r="F4722" s="57">
        <v>2</v>
      </c>
      <c r="G4722" s="57" t="s">
        <v>6628</v>
      </c>
      <c r="H4722" s="57" t="s">
        <v>1356</v>
      </c>
    </row>
    <row r="4723" spans="2:8" ht="13.5" customHeight="1">
      <c r="B4723" s="71" t="s">
        <v>6281</v>
      </c>
      <c r="D4723" s="71" t="s">
        <v>6282</v>
      </c>
      <c r="F4723" s="57">
        <v>3</v>
      </c>
      <c r="G4723" s="57" t="s">
        <v>6628</v>
      </c>
      <c r="H4723" s="57" t="s">
        <v>1356</v>
      </c>
    </row>
    <row r="4724" spans="2:8" ht="13.5" customHeight="1">
      <c r="B4724" s="71" t="s">
        <v>6285</v>
      </c>
      <c r="D4724" s="71" t="s">
        <v>6286</v>
      </c>
      <c r="F4724" s="57">
        <v>3</v>
      </c>
      <c r="G4724" s="57" t="s">
        <v>6628</v>
      </c>
      <c r="H4724" s="57" t="s">
        <v>1356</v>
      </c>
    </row>
    <row r="4725" spans="2:8" ht="13.5" customHeight="1">
      <c r="B4725" s="71" t="s">
        <v>6283</v>
      </c>
      <c r="D4725" s="71" t="s">
        <v>6284</v>
      </c>
      <c r="F4725" s="57">
        <v>3</v>
      </c>
      <c r="G4725" s="57" t="s">
        <v>6628</v>
      </c>
      <c r="H4725" s="57" t="s">
        <v>1356</v>
      </c>
    </row>
    <row r="4726" spans="2:8" ht="13.5" customHeight="1">
      <c r="B4726" s="71" t="s">
        <v>6603</v>
      </c>
      <c r="D4726" s="71" t="s">
        <v>6604</v>
      </c>
      <c r="F4726" s="57">
        <v>4</v>
      </c>
      <c r="G4726" s="57" t="s">
        <v>6628</v>
      </c>
      <c r="H4726" s="57" t="s">
        <v>1356</v>
      </c>
    </row>
    <row r="4727" spans="2:8" ht="13.5" customHeight="1">
      <c r="B4727" s="71" t="s">
        <v>6599</v>
      </c>
      <c r="D4727" s="71" t="s">
        <v>6600</v>
      </c>
      <c r="F4727" s="57">
        <v>4</v>
      </c>
      <c r="G4727" s="57" t="s">
        <v>6628</v>
      </c>
      <c r="H4727" s="57" t="s">
        <v>1356</v>
      </c>
    </row>
    <row r="4728" spans="2:8" ht="13.5" customHeight="1">
      <c r="B4728" s="71" t="s">
        <v>6287</v>
      </c>
      <c r="D4728" s="71" t="s">
        <v>6288</v>
      </c>
      <c r="F4728" s="57">
        <v>5</v>
      </c>
      <c r="G4728" s="57" t="s">
        <v>6628</v>
      </c>
      <c r="H4728" s="57" t="s">
        <v>1356</v>
      </c>
    </row>
    <row r="4729" spans="2:8" ht="13.5" customHeight="1">
      <c r="B4729" s="71" t="s">
        <v>6289</v>
      </c>
      <c r="D4729" s="71" t="s">
        <v>6290</v>
      </c>
      <c r="F4729" s="57">
        <v>6</v>
      </c>
      <c r="G4729" s="57" t="s">
        <v>6628</v>
      </c>
      <c r="H4729" s="57" t="s">
        <v>1356</v>
      </c>
    </row>
    <row r="4730" spans="2:8" ht="13.5" customHeight="1">
      <c r="B4730" s="71" t="s">
        <v>6297</v>
      </c>
      <c r="D4730" s="71" t="s">
        <v>6298</v>
      </c>
      <c r="F4730" s="57">
        <v>8</v>
      </c>
      <c r="G4730" s="57" t="s">
        <v>6628</v>
      </c>
      <c r="H4730" s="57" t="s">
        <v>1356</v>
      </c>
    </row>
    <row r="4731" spans="2:8" ht="13.5" customHeight="1">
      <c r="B4731" s="71" t="s">
        <v>6291</v>
      </c>
      <c r="D4731" s="71" t="s">
        <v>6292</v>
      </c>
      <c r="F4731" s="57">
        <v>8</v>
      </c>
      <c r="G4731" s="57" t="s">
        <v>6628</v>
      </c>
      <c r="H4731" s="57" t="s">
        <v>1356</v>
      </c>
    </row>
    <row r="4732" spans="2:8" ht="13.5" customHeight="1">
      <c r="B4732" s="71" t="s">
        <v>6293</v>
      </c>
      <c r="D4732" s="71" t="s">
        <v>6294</v>
      </c>
      <c r="F4732" s="57">
        <v>8</v>
      </c>
      <c r="G4732" s="57" t="s">
        <v>6628</v>
      </c>
      <c r="H4732" s="57" t="s">
        <v>1356</v>
      </c>
    </row>
    <row r="4733" spans="2:8" ht="13.5" customHeight="1">
      <c r="B4733" s="71" t="s">
        <v>6295</v>
      </c>
      <c r="D4733" s="71" t="s">
        <v>6296</v>
      </c>
      <c r="F4733" s="57">
        <v>8</v>
      </c>
      <c r="G4733" s="57" t="s">
        <v>6628</v>
      </c>
      <c r="H4733" s="57" t="s">
        <v>1356</v>
      </c>
    </row>
    <row r="4734" spans="2:8" ht="13.5" customHeight="1">
      <c r="B4734" s="71" t="s">
        <v>6601</v>
      </c>
      <c r="D4734" s="71" t="s">
        <v>6602</v>
      </c>
      <c r="F4734" s="57">
        <v>8</v>
      </c>
      <c r="G4734" s="57" t="s">
        <v>6628</v>
      </c>
      <c r="H4734" s="57" t="s">
        <v>1356</v>
      </c>
    </row>
    <row r="4735" spans="2:8" ht="13.5" customHeight="1">
      <c r="B4735" s="71" t="s">
        <v>6301</v>
      </c>
      <c r="D4735" s="71" t="s">
        <v>6302</v>
      </c>
      <c r="F4735" s="57">
        <v>10</v>
      </c>
      <c r="G4735" s="57" t="s">
        <v>6628</v>
      </c>
      <c r="H4735" s="57" t="s">
        <v>1356</v>
      </c>
    </row>
    <row r="4736" spans="2:8" ht="13.5" customHeight="1">
      <c r="B4736" s="71" t="s">
        <v>6303</v>
      </c>
      <c r="D4736" s="71" t="s">
        <v>6303</v>
      </c>
      <c r="F4736" s="57">
        <v>12</v>
      </c>
      <c r="G4736" s="57" t="s">
        <v>6628</v>
      </c>
      <c r="H4736" s="57" t="s">
        <v>1356</v>
      </c>
    </row>
    <row r="4737" spans="2:8" ht="13.5" customHeight="1">
      <c r="B4737" s="71" t="s">
        <v>6304</v>
      </c>
      <c r="D4737" s="71" t="s">
        <v>6305</v>
      </c>
      <c r="F4737" s="57">
        <v>18</v>
      </c>
      <c r="G4737" s="57" t="s">
        <v>6628</v>
      </c>
      <c r="H4737" s="57" t="s">
        <v>1356</v>
      </c>
    </row>
    <row r="4738" spans="2:8" ht="13.5" customHeight="1">
      <c r="B4738" s="71" t="s">
        <v>6306</v>
      </c>
      <c r="D4738" s="71" t="s">
        <v>6307</v>
      </c>
      <c r="F4738" s="57">
        <v>40</v>
      </c>
      <c r="G4738" s="57" t="s">
        <v>6628</v>
      </c>
      <c r="H4738" s="57" t="s">
        <v>1356</v>
      </c>
    </row>
    <row r="4739" spans="2:8" ht="13.5" customHeight="1">
      <c r="B4739" s="71" t="s">
        <v>6308</v>
      </c>
      <c r="D4739" s="71" t="s">
        <v>6309</v>
      </c>
      <c r="F4739" s="57">
        <v>47</v>
      </c>
      <c r="G4739" s="57" t="s">
        <v>6628</v>
      </c>
      <c r="H4739" s="57" t="s">
        <v>1356</v>
      </c>
    </row>
    <row r="4740" spans="2:8" ht="13.5" customHeight="1">
      <c r="B4740" s="71" t="s">
        <v>6310</v>
      </c>
      <c r="D4740" s="71" t="s">
        <v>6311</v>
      </c>
      <c r="F4740" s="57">
        <v>48</v>
      </c>
      <c r="G4740" s="57" t="s">
        <v>6628</v>
      </c>
      <c r="H4740" s="57" t="s">
        <v>1356</v>
      </c>
    </row>
    <row r="4741" spans="2:8" ht="13.5" customHeight="1">
      <c r="B4741" s="71" t="s">
        <v>6312</v>
      </c>
      <c r="D4741" s="71" t="s">
        <v>6313</v>
      </c>
      <c r="F4741" s="57">
        <v>51</v>
      </c>
      <c r="G4741" s="57" t="s">
        <v>6628</v>
      </c>
      <c r="H4741" s="57" t="s">
        <v>1356</v>
      </c>
    </row>
    <row r="4742" spans="2:8" ht="13.5" customHeight="1">
      <c r="B4742" s="71" t="s">
        <v>6314</v>
      </c>
      <c r="D4742" s="71" t="s">
        <v>6314</v>
      </c>
      <c r="F4742" s="57">
        <v>92</v>
      </c>
      <c r="G4742" s="57" t="s">
        <v>6628</v>
      </c>
      <c r="H4742" s="57" t="s">
        <v>1356</v>
      </c>
    </row>
    <row r="4743" spans="2:8" ht="13.5" customHeight="1">
      <c r="B4743" s="71" t="s">
        <v>6315</v>
      </c>
      <c r="D4743" s="71" t="s">
        <v>6316</v>
      </c>
      <c r="F4743" s="57">
        <v>2</v>
      </c>
      <c r="G4743" s="57" t="s">
        <v>6628</v>
      </c>
      <c r="H4743" s="57" t="s">
        <v>2287</v>
      </c>
    </row>
    <row r="4744" spans="2:8" ht="13.5" customHeight="1">
      <c r="B4744" s="71" t="s">
        <v>6319</v>
      </c>
      <c r="D4744" s="71" t="s">
        <v>6320</v>
      </c>
      <c r="F4744" s="57">
        <v>2</v>
      </c>
      <c r="G4744" s="57" t="s">
        <v>6628</v>
      </c>
      <c r="H4744" s="57" t="s">
        <v>2287</v>
      </c>
    </row>
    <row r="4745" spans="2:8" ht="13.5" customHeight="1">
      <c r="B4745" s="71" t="s">
        <v>6317</v>
      </c>
      <c r="D4745" s="71" t="s">
        <v>6318</v>
      </c>
      <c r="F4745" s="57">
        <v>2</v>
      </c>
      <c r="G4745" s="57" t="s">
        <v>6628</v>
      </c>
      <c r="H4745" s="57" t="s">
        <v>2287</v>
      </c>
    </row>
    <row r="4746" spans="2:8" ht="13.5" customHeight="1">
      <c r="B4746" s="71" t="s">
        <v>6321</v>
      </c>
      <c r="D4746" s="71" t="s">
        <v>6322</v>
      </c>
      <c r="F4746" s="57">
        <v>5</v>
      </c>
      <c r="G4746" s="57" t="s">
        <v>6628</v>
      </c>
      <c r="H4746" s="57" t="s">
        <v>2287</v>
      </c>
    </row>
    <row r="4747" spans="2:8" ht="13.5" customHeight="1">
      <c r="B4747" s="103" t="s">
        <v>6326</v>
      </c>
      <c r="D4747" s="103" t="s">
        <v>6327</v>
      </c>
      <c r="F4747" s="57">
        <v>5</v>
      </c>
      <c r="G4747" s="57" t="s">
        <v>6628</v>
      </c>
      <c r="H4747" s="57" t="s">
        <v>2287</v>
      </c>
    </row>
    <row r="4748" spans="2:8" ht="13.5" customHeight="1">
      <c r="B4748" s="71" t="s">
        <v>6323</v>
      </c>
      <c r="D4748" s="71" t="s">
        <v>6324</v>
      </c>
      <c r="F4748" s="57">
        <v>5</v>
      </c>
      <c r="G4748" s="57" t="s">
        <v>6628</v>
      </c>
      <c r="H4748" s="57" t="s">
        <v>2287</v>
      </c>
    </row>
    <row r="4749" spans="2:8" ht="13.5" customHeight="1">
      <c r="B4749" s="71" t="s">
        <v>5657</v>
      </c>
      <c r="D4749" s="71" t="s">
        <v>6325</v>
      </c>
      <c r="F4749" s="57">
        <v>5</v>
      </c>
      <c r="G4749" s="57" t="s">
        <v>6628</v>
      </c>
      <c r="H4749" s="57" t="s">
        <v>2287</v>
      </c>
    </row>
    <row r="4750" spans="2:8" ht="13.5" customHeight="1">
      <c r="B4750" s="71" t="s">
        <v>6337</v>
      </c>
      <c r="D4750" s="71" t="s">
        <v>6338</v>
      </c>
      <c r="F4750" s="57">
        <v>5</v>
      </c>
      <c r="G4750" s="57" t="s">
        <v>6628</v>
      </c>
      <c r="H4750" s="57" t="s">
        <v>2287</v>
      </c>
    </row>
    <row r="4751" spans="2:8" ht="13.5" customHeight="1">
      <c r="B4751" s="71" t="s">
        <v>6340</v>
      </c>
      <c r="D4751" s="71" t="s">
        <v>6341</v>
      </c>
      <c r="F4751" s="57">
        <v>7</v>
      </c>
      <c r="G4751" s="57" t="s">
        <v>6628</v>
      </c>
      <c r="H4751" s="57" t="s">
        <v>2287</v>
      </c>
    </row>
    <row r="4752" spans="2:8" ht="13.5" customHeight="1">
      <c r="B4752" s="71" t="s">
        <v>6328</v>
      </c>
      <c r="D4752" s="71" t="s">
        <v>6329</v>
      </c>
      <c r="F4752" s="57">
        <v>7</v>
      </c>
      <c r="G4752" s="57" t="s">
        <v>6628</v>
      </c>
      <c r="H4752" s="57" t="s">
        <v>2287</v>
      </c>
    </row>
    <row r="4753" spans="2:8" ht="13.5" customHeight="1">
      <c r="B4753" s="71" t="s">
        <v>6330</v>
      </c>
      <c r="D4753" s="71" t="s">
        <v>6331</v>
      </c>
      <c r="F4753" s="57">
        <v>8</v>
      </c>
      <c r="G4753" s="57" t="s">
        <v>6628</v>
      </c>
      <c r="H4753" s="57" t="s">
        <v>2287</v>
      </c>
    </row>
    <row r="4754" spans="2:8" ht="13.5" customHeight="1">
      <c r="B4754" s="71" t="s">
        <v>6332</v>
      </c>
      <c r="D4754" s="71" t="s">
        <v>6333</v>
      </c>
      <c r="F4754" s="57">
        <v>8</v>
      </c>
      <c r="G4754" s="57" t="s">
        <v>6628</v>
      </c>
      <c r="H4754" s="57" t="s">
        <v>2287</v>
      </c>
    </row>
    <row r="4755" spans="2:8" ht="13.5" customHeight="1">
      <c r="B4755" s="71" t="s">
        <v>6334</v>
      </c>
      <c r="D4755" s="71" t="s">
        <v>6335</v>
      </c>
      <c r="F4755" s="57">
        <v>8</v>
      </c>
      <c r="G4755" s="57" t="s">
        <v>6628</v>
      </c>
      <c r="H4755" s="57" t="s">
        <v>2287</v>
      </c>
    </row>
    <row r="4756" spans="2:8" ht="13.5" customHeight="1">
      <c r="B4756" s="71" t="s">
        <v>1397</v>
      </c>
      <c r="D4756" s="71" t="s">
        <v>6336</v>
      </c>
      <c r="F4756" s="57">
        <v>8</v>
      </c>
      <c r="G4756" s="57" t="s">
        <v>6628</v>
      </c>
      <c r="H4756" s="57" t="s">
        <v>2287</v>
      </c>
    </row>
    <row r="4757" spans="2:8" ht="13.5" customHeight="1">
      <c r="B4757" s="71" t="s">
        <v>6343</v>
      </c>
      <c r="D4757" s="71" t="s">
        <v>6343</v>
      </c>
      <c r="F4757" s="57">
        <v>11</v>
      </c>
      <c r="G4757" s="57" t="s">
        <v>6628</v>
      </c>
      <c r="H4757" s="57" t="s">
        <v>2287</v>
      </c>
    </row>
    <row r="4758" spans="2:8" ht="13.5" customHeight="1">
      <c r="B4758" s="71" t="s">
        <v>5893</v>
      </c>
      <c r="D4758" s="71" t="s">
        <v>6339</v>
      </c>
      <c r="F4758" s="57">
        <v>15</v>
      </c>
      <c r="G4758" s="57" t="s">
        <v>6628</v>
      </c>
      <c r="H4758" s="57" t="s">
        <v>2287</v>
      </c>
    </row>
    <row r="4759" spans="2:8" ht="13.5" customHeight="1">
      <c r="B4759" s="71" t="s">
        <v>6334</v>
      </c>
      <c r="D4759" s="71" t="s">
        <v>6342</v>
      </c>
      <c r="F4759" s="57">
        <v>18</v>
      </c>
      <c r="G4759" s="57" t="s">
        <v>6628</v>
      </c>
      <c r="H4759" s="57" t="s">
        <v>2287</v>
      </c>
    </row>
    <row r="4760" spans="2:8" ht="13.5" customHeight="1">
      <c r="B4760" s="71" t="s">
        <v>6344</v>
      </c>
      <c r="D4760" s="71" t="s">
        <v>6344</v>
      </c>
      <c r="F4760" s="57">
        <v>24</v>
      </c>
      <c r="G4760" s="57" t="s">
        <v>6628</v>
      </c>
      <c r="H4760" s="57" t="s">
        <v>2287</v>
      </c>
    </row>
    <row r="4761" spans="2:8" ht="13.5" customHeight="1">
      <c r="B4761" s="71" t="s">
        <v>6345</v>
      </c>
      <c r="D4761" s="71" t="s">
        <v>6346</v>
      </c>
      <c r="F4761" s="57">
        <v>49</v>
      </c>
      <c r="G4761" s="57" t="s">
        <v>6628</v>
      </c>
      <c r="H4761" s="57" t="s">
        <v>2287</v>
      </c>
    </row>
    <row r="4762" spans="2:8" ht="13.5" customHeight="1">
      <c r="B4762" s="71" t="s">
        <v>6347</v>
      </c>
      <c r="D4762" s="71" t="s">
        <v>6348</v>
      </c>
      <c r="F4762" s="57">
        <v>920</v>
      </c>
      <c r="G4762" s="57" t="s">
        <v>6628</v>
      </c>
      <c r="H4762" s="57" t="s">
        <v>2287</v>
      </c>
    </row>
    <row r="4763" spans="2:8" ht="13.5" customHeight="1">
      <c r="B4763" s="71" t="s">
        <v>6349</v>
      </c>
      <c r="D4763" s="71" t="s">
        <v>6350</v>
      </c>
      <c r="F4763" s="57">
        <v>5</v>
      </c>
      <c r="G4763" s="57" t="s">
        <v>6628</v>
      </c>
      <c r="H4763" s="57" t="s">
        <v>2289</v>
      </c>
    </row>
    <row r="4764" spans="2:8" ht="13.5" customHeight="1">
      <c r="B4764" s="71" t="s">
        <v>6351</v>
      </c>
      <c r="D4764" s="71" t="s">
        <v>6352</v>
      </c>
      <c r="F4764" s="57">
        <v>8</v>
      </c>
      <c r="G4764" s="57" t="s">
        <v>6628</v>
      </c>
      <c r="H4764" s="57" t="s">
        <v>2289</v>
      </c>
    </row>
    <row r="4765" spans="2:8" ht="13.5" customHeight="1">
      <c r="B4765" s="71" t="s">
        <v>6353</v>
      </c>
      <c r="D4765" s="71" t="s">
        <v>6354</v>
      </c>
      <c r="F4765" s="57">
        <v>8</v>
      </c>
      <c r="G4765" s="57" t="s">
        <v>6628</v>
      </c>
      <c r="H4765" s="57" t="s">
        <v>2289</v>
      </c>
    </row>
    <row r="4766" spans="2:8" ht="13.5" customHeight="1">
      <c r="B4766" s="71" t="s">
        <v>6355</v>
      </c>
      <c r="D4766" s="71" t="s">
        <v>6356</v>
      </c>
      <c r="F4766" s="57">
        <v>8</v>
      </c>
      <c r="G4766" s="57" t="s">
        <v>6628</v>
      </c>
      <c r="H4766" s="57" t="s">
        <v>2289</v>
      </c>
    </row>
    <row r="4767" spans="2:8" ht="13.5" customHeight="1">
      <c r="B4767" s="71" t="s">
        <v>6357</v>
      </c>
      <c r="D4767" s="71" t="s">
        <v>6358</v>
      </c>
      <c r="F4767" s="57">
        <v>8</v>
      </c>
      <c r="G4767" s="57" t="s">
        <v>6628</v>
      </c>
      <c r="H4767" s="57" t="s">
        <v>2289</v>
      </c>
    </row>
    <row r="4768" spans="2:8" ht="13.5" customHeight="1">
      <c r="B4768" s="71" t="s">
        <v>6361</v>
      </c>
      <c r="D4768" s="71" t="s">
        <v>6362</v>
      </c>
      <c r="F4768" s="57">
        <v>8</v>
      </c>
      <c r="G4768" s="57" t="s">
        <v>6628</v>
      </c>
      <c r="H4768" s="57" t="s">
        <v>2289</v>
      </c>
    </row>
    <row r="4769" spans="2:8" ht="13.5" customHeight="1">
      <c r="B4769" s="71" t="s">
        <v>6359</v>
      </c>
      <c r="D4769" s="71" t="s">
        <v>6360</v>
      </c>
      <c r="F4769" s="57">
        <v>8</v>
      </c>
      <c r="G4769" s="57" t="s">
        <v>6628</v>
      </c>
      <c r="H4769" s="57" t="s">
        <v>2289</v>
      </c>
    </row>
    <row r="4770" spans="2:8" ht="13.5" customHeight="1">
      <c r="B4770" s="71" t="s">
        <v>6363</v>
      </c>
      <c r="D4770" s="71" t="s">
        <v>6364</v>
      </c>
      <c r="F4770" s="57">
        <v>10</v>
      </c>
      <c r="G4770" s="57" t="s">
        <v>6628</v>
      </c>
      <c r="H4770" s="57" t="s">
        <v>2289</v>
      </c>
    </row>
    <row r="4771" spans="2:8" ht="13.5" customHeight="1">
      <c r="B4771" s="71" t="s">
        <v>6365</v>
      </c>
      <c r="D4771" s="71" t="s">
        <v>6366</v>
      </c>
      <c r="F4771" s="57">
        <v>10</v>
      </c>
      <c r="G4771" s="57" t="s">
        <v>6628</v>
      </c>
      <c r="H4771" s="57" t="s">
        <v>2289</v>
      </c>
    </row>
    <row r="4772" spans="2:8" ht="13.5" customHeight="1">
      <c r="B4772" s="71" t="s">
        <v>6349</v>
      </c>
      <c r="D4772" s="71" t="s">
        <v>6367</v>
      </c>
      <c r="F4772" s="57">
        <v>35</v>
      </c>
      <c r="G4772" s="57" t="s">
        <v>6628</v>
      </c>
      <c r="H4772" s="57" t="s">
        <v>2289</v>
      </c>
    </row>
    <row r="4773" spans="2:8" ht="13.5" customHeight="1">
      <c r="B4773" s="71" t="s">
        <v>5877</v>
      </c>
      <c r="D4773" s="71" t="s">
        <v>5878</v>
      </c>
      <c r="F4773" s="57">
        <v>1</v>
      </c>
      <c r="G4773" s="57" t="s">
        <v>6628</v>
      </c>
      <c r="H4773" s="57" t="s">
        <v>2981</v>
      </c>
    </row>
    <row r="4774" spans="2:8" ht="13.5" customHeight="1">
      <c r="B4774" s="102" t="s">
        <v>6368</v>
      </c>
      <c r="D4774" s="102" t="s">
        <v>6369</v>
      </c>
      <c r="F4774" s="57">
        <v>1</v>
      </c>
      <c r="G4774" s="57" t="s">
        <v>6628</v>
      </c>
      <c r="H4774" s="57" t="s">
        <v>2981</v>
      </c>
    </row>
    <row r="4775" spans="2:8" ht="13.5" customHeight="1">
      <c r="B4775" s="71" t="s">
        <v>2771</v>
      </c>
      <c r="D4775" s="71" t="s">
        <v>6374</v>
      </c>
      <c r="F4775" s="57">
        <v>1</v>
      </c>
      <c r="G4775" s="57" t="s">
        <v>6628</v>
      </c>
      <c r="H4775" s="57" t="s">
        <v>2981</v>
      </c>
    </row>
    <row r="4776" spans="2:8" ht="13.5" customHeight="1">
      <c r="B4776" s="103" t="s">
        <v>6370</v>
      </c>
      <c r="D4776" s="103" t="s">
        <v>6371</v>
      </c>
      <c r="F4776" s="57">
        <v>2</v>
      </c>
      <c r="G4776" s="57" t="s">
        <v>6628</v>
      </c>
      <c r="H4776" s="57" t="s">
        <v>2981</v>
      </c>
    </row>
    <row r="4777" spans="2:8" ht="13.5" customHeight="1">
      <c r="B4777" s="71" t="s">
        <v>6375</v>
      </c>
      <c r="D4777" s="71" t="s">
        <v>6376</v>
      </c>
      <c r="F4777" s="57">
        <v>2</v>
      </c>
      <c r="G4777" s="57" t="s">
        <v>6628</v>
      </c>
      <c r="H4777" s="57" t="s">
        <v>2981</v>
      </c>
    </row>
    <row r="4778" spans="2:8" ht="13.5" customHeight="1">
      <c r="B4778" s="71" t="s">
        <v>6372</v>
      </c>
      <c r="D4778" s="71" t="s">
        <v>6373</v>
      </c>
      <c r="F4778" s="57">
        <v>3</v>
      </c>
      <c r="G4778" s="57" t="s">
        <v>6628</v>
      </c>
      <c r="H4778" s="57" t="s">
        <v>2981</v>
      </c>
    </row>
    <row r="4779" spans="2:8" ht="13.5" customHeight="1">
      <c r="B4779" s="71" t="s">
        <v>6377</v>
      </c>
      <c r="D4779" s="71" t="s">
        <v>897</v>
      </c>
      <c r="F4779" s="57">
        <v>5</v>
      </c>
      <c r="G4779" s="57" t="s">
        <v>6628</v>
      </c>
      <c r="H4779" s="57" t="s">
        <v>2981</v>
      </c>
    </row>
    <row r="4780" spans="2:8" ht="13.5" customHeight="1">
      <c r="B4780" s="71" t="s">
        <v>6378</v>
      </c>
      <c r="D4780" s="71" t="s">
        <v>5448</v>
      </c>
      <c r="F4780" s="57">
        <v>15</v>
      </c>
      <c r="G4780" s="57" t="s">
        <v>6628</v>
      </c>
      <c r="H4780" s="57" t="s">
        <v>2981</v>
      </c>
    </row>
    <row r="4781" spans="2:8" ht="13.5" customHeight="1">
      <c r="B4781" s="71" t="s">
        <v>5947</v>
      </c>
      <c r="D4781" s="71" t="s">
        <v>6379</v>
      </c>
      <c r="F4781" s="57">
        <v>16131</v>
      </c>
      <c r="G4781" s="57" t="s">
        <v>6628</v>
      </c>
      <c r="H4781" s="57" t="s">
        <v>1357</v>
      </c>
    </row>
    <row r="4782" spans="2:8" ht="13.5" customHeight="1">
      <c r="B4782" s="71" t="s">
        <v>6380</v>
      </c>
      <c r="D4782" s="71" t="s">
        <v>6381</v>
      </c>
      <c r="F4782" s="57">
        <v>4</v>
      </c>
      <c r="G4782" s="57" t="s">
        <v>6628</v>
      </c>
      <c r="H4782" s="57" t="s">
        <v>2984</v>
      </c>
    </row>
    <row r="4783" spans="2:8" ht="13.5" customHeight="1">
      <c r="B4783" s="71" t="s">
        <v>6390</v>
      </c>
      <c r="D4783" s="71" t="s">
        <v>6391</v>
      </c>
      <c r="F4783" s="57">
        <v>5</v>
      </c>
      <c r="G4783" s="57" t="s">
        <v>6628</v>
      </c>
      <c r="H4783" s="57" t="s">
        <v>2984</v>
      </c>
    </row>
    <row r="4784" spans="2:8" ht="13.5" customHeight="1">
      <c r="B4784" s="71" t="s">
        <v>6387</v>
      </c>
      <c r="D4784" s="71" t="s">
        <v>4458</v>
      </c>
      <c r="F4784" s="57">
        <v>5</v>
      </c>
      <c r="G4784" s="57" t="s">
        <v>6628</v>
      </c>
      <c r="H4784" s="57" t="s">
        <v>2984</v>
      </c>
    </row>
    <row r="4785" spans="2:8" ht="13.5" customHeight="1">
      <c r="B4785" s="71" t="s">
        <v>6388</v>
      </c>
      <c r="D4785" s="71" t="s">
        <v>6389</v>
      </c>
      <c r="E4785" s="71"/>
      <c r="F4785" s="57">
        <v>5</v>
      </c>
      <c r="G4785" s="57" t="s">
        <v>6628</v>
      </c>
      <c r="H4785" s="186" t="s">
        <v>2984</v>
      </c>
    </row>
    <row r="4786" spans="2:8" ht="13.5" customHeight="1">
      <c r="B4786" s="71" t="s">
        <v>6385</v>
      </c>
      <c r="D4786" s="71" t="s">
        <v>6386</v>
      </c>
      <c r="E4786" s="71"/>
      <c r="F4786" s="57">
        <v>5</v>
      </c>
      <c r="G4786" s="57" t="s">
        <v>6628</v>
      </c>
      <c r="H4786" s="186" t="s">
        <v>2984</v>
      </c>
    </row>
    <row r="4787" spans="2:8" ht="13.5" customHeight="1">
      <c r="B4787" s="102" t="s">
        <v>6383</v>
      </c>
      <c r="D4787" s="102" t="s">
        <v>6384</v>
      </c>
      <c r="E4787" s="102"/>
      <c r="F4787" s="57">
        <v>5</v>
      </c>
      <c r="G4787" s="57" t="s">
        <v>6628</v>
      </c>
      <c r="H4787" s="57" t="s">
        <v>2984</v>
      </c>
    </row>
    <row r="4788" spans="2:8" ht="13.5" customHeight="1">
      <c r="B4788" s="71" t="s">
        <v>6392</v>
      </c>
      <c r="D4788" s="71" t="s">
        <v>6393</v>
      </c>
      <c r="E4788" s="71"/>
      <c r="F4788" s="57">
        <v>6</v>
      </c>
      <c r="G4788" s="57" t="s">
        <v>6628</v>
      </c>
      <c r="H4788" s="71" t="s">
        <v>2984</v>
      </c>
    </row>
    <row r="4789" spans="2:8" ht="13.5" customHeight="1">
      <c r="B4789" s="71" t="s">
        <v>6394</v>
      </c>
      <c r="D4789" s="71" t="s">
        <v>6395</v>
      </c>
      <c r="E4789" s="71"/>
      <c r="F4789" s="57">
        <v>9</v>
      </c>
      <c r="G4789" s="57" t="s">
        <v>6628</v>
      </c>
      <c r="H4789" s="71" t="s">
        <v>2984</v>
      </c>
    </row>
    <row r="4790" spans="2:8" ht="13.5" customHeight="1">
      <c r="B4790" s="71" t="s">
        <v>494</v>
      </c>
      <c r="D4790" s="71" t="s">
        <v>6396</v>
      </c>
      <c r="E4790" s="71"/>
      <c r="F4790" s="57">
        <v>9</v>
      </c>
      <c r="G4790" s="57" t="s">
        <v>6628</v>
      </c>
      <c r="H4790" s="71" t="s">
        <v>2984</v>
      </c>
    </row>
    <row r="4791" spans="2:8" ht="13.5" customHeight="1">
      <c r="B4791" s="103" t="s">
        <v>4259</v>
      </c>
      <c r="D4791" s="103" t="s">
        <v>4260</v>
      </c>
      <c r="E4791" s="103"/>
      <c r="F4791" s="57">
        <v>10</v>
      </c>
      <c r="G4791" s="57" t="s">
        <v>6628</v>
      </c>
      <c r="H4791" s="186" t="s">
        <v>2984</v>
      </c>
    </row>
    <row r="4792" spans="2:8" ht="13.5" customHeight="1">
      <c r="B4792" s="71" t="s">
        <v>6397</v>
      </c>
      <c r="D4792" s="71" t="s">
        <v>6398</v>
      </c>
      <c r="E4792" s="71"/>
      <c r="F4792" s="57">
        <v>12</v>
      </c>
      <c r="G4792" s="57" t="s">
        <v>6628</v>
      </c>
      <c r="H4792" s="186" t="s">
        <v>2984</v>
      </c>
    </row>
    <row r="4793" spans="2:8" ht="13.5" customHeight="1">
      <c r="B4793" s="71" t="s">
        <v>6399</v>
      </c>
      <c r="D4793" s="71" t="s">
        <v>3121</v>
      </c>
      <c r="E4793" s="71"/>
      <c r="F4793" s="57">
        <v>13</v>
      </c>
      <c r="G4793" s="57" t="s">
        <v>6628</v>
      </c>
      <c r="H4793" s="186" t="s">
        <v>2984</v>
      </c>
    </row>
    <row r="4794" spans="2:8" ht="13.5" customHeight="1">
      <c r="B4794" s="102" t="s">
        <v>6400</v>
      </c>
      <c r="D4794" s="102" t="s">
        <v>6401</v>
      </c>
      <c r="E4794" s="102"/>
      <c r="F4794" s="57">
        <v>17</v>
      </c>
      <c r="G4794" s="57" t="s">
        <v>6628</v>
      </c>
      <c r="H4794" s="57" t="s">
        <v>2984</v>
      </c>
    </row>
    <row r="4795" spans="2:8" ht="13.5" customHeight="1">
      <c r="B4795" s="71" t="s">
        <v>6402</v>
      </c>
      <c r="D4795" s="71" t="s">
        <v>6403</v>
      </c>
      <c r="E4795" s="71"/>
      <c r="F4795" s="57">
        <v>18</v>
      </c>
      <c r="G4795" s="57" t="s">
        <v>6628</v>
      </c>
      <c r="H4795" s="71" t="s">
        <v>2984</v>
      </c>
    </row>
    <row r="4796" spans="2:8" ht="13.5" customHeight="1">
      <c r="B4796" s="103" t="s">
        <v>6405</v>
      </c>
      <c r="D4796" s="103" t="s">
        <v>6406</v>
      </c>
      <c r="E4796" s="103"/>
      <c r="F4796" s="57">
        <v>20</v>
      </c>
      <c r="G4796" s="57" t="s">
        <v>6628</v>
      </c>
      <c r="H4796" s="186" t="s">
        <v>2984</v>
      </c>
    </row>
    <row r="4797" spans="2:8" ht="13.5" customHeight="1">
      <c r="B4797" s="102" t="s">
        <v>6404</v>
      </c>
      <c r="D4797" s="102" t="s">
        <v>318</v>
      </c>
      <c r="E4797" s="102"/>
      <c r="F4797" s="57">
        <v>20</v>
      </c>
      <c r="G4797" s="57" t="s">
        <v>6628</v>
      </c>
      <c r="H4797" s="57" t="s">
        <v>2984</v>
      </c>
    </row>
    <row r="4798" spans="2:8" ht="13.5" customHeight="1">
      <c r="B4798" s="71" t="s">
        <v>6407</v>
      </c>
      <c r="D4798" s="71" t="s">
        <v>6408</v>
      </c>
      <c r="E4798" s="71"/>
      <c r="F4798" s="57">
        <v>22</v>
      </c>
      <c r="G4798" s="57" t="s">
        <v>6628</v>
      </c>
      <c r="H4798" s="71" t="s">
        <v>2984</v>
      </c>
    </row>
    <row r="4799" spans="2:8" ht="13.5" customHeight="1">
      <c r="B4799" s="102" t="s">
        <v>6409</v>
      </c>
      <c r="D4799" s="102" t="s">
        <v>6410</v>
      </c>
      <c r="E4799" s="102"/>
      <c r="F4799" s="57">
        <v>24</v>
      </c>
      <c r="G4799" s="57" t="s">
        <v>6628</v>
      </c>
      <c r="H4799" s="57" t="s">
        <v>2984</v>
      </c>
    </row>
    <row r="4800" spans="2:8" ht="13.5" customHeight="1">
      <c r="B4800" s="71" t="s">
        <v>6411</v>
      </c>
      <c r="D4800" s="71" t="s">
        <v>6412</v>
      </c>
      <c r="E4800" s="71"/>
      <c r="F4800" s="57">
        <v>24</v>
      </c>
      <c r="G4800" s="57" t="s">
        <v>6628</v>
      </c>
      <c r="H4800" s="71" t="s">
        <v>2984</v>
      </c>
    </row>
    <row r="4801" spans="2:8" ht="13.5" customHeight="1">
      <c r="B4801" s="103" t="s">
        <v>6413</v>
      </c>
      <c r="D4801" s="103" t="s">
        <v>4472</v>
      </c>
      <c r="E4801" s="103"/>
      <c r="F4801" s="57">
        <v>25</v>
      </c>
      <c r="G4801" s="57" t="s">
        <v>6628</v>
      </c>
      <c r="H4801" s="186" t="s">
        <v>2984</v>
      </c>
    </row>
    <row r="4802" spans="2:8" ht="13.5" customHeight="1">
      <c r="B4802" s="102" t="s">
        <v>6414</v>
      </c>
      <c r="D4802" s="102" t="s">
        <v>6415</v>
      </c>
      <c r="E4802" s="102"/>
      <c r="F4802" s="57">
        <v>26</v>
      </c>
      <c r="G4802" s="57" t="s">
        <v>6628</v>
      </c>
      <c r="H4802" s="57" t="s">
        <v>2984</v>
      </c>
    </row>
    <row r="4803" spans="2:8" ht="13.5" customHeight="1">
      <c r="B4803" s="102" t="s">
        <v>6416</v>
      </c>
      <c r="D4803" s="102" t="s">
        <v>4493</v>
      </c>
      <c r="E4803" s="102"/>
      <c r="F4803" s="57">
        <v>43</v>
      </c>
      <c r="G4803" s="57" t="s">
        <v>6628</v>
      </c>
      <c r="H4803" s="57" t="s">
        <v>2984</v>
      </c>
    </row>
    <row r="4804" spans="2:8" ht="13.5" customHeight="1">
      <c r="B4804" s="80" t="s">
        <v>6417</v>
      </c>
      <c r="D4804" s="80" t="s">
        <v>6418</v>
      </c>
      <c r="E4804" s="80"/>
      <c r="F4804" s="57">
        <v>45</v>
      </c>
      <c r="G4804" s="57" t="s">
        <v>6628</v>
      </c>
      <c r="H4804" s="57" t="s">
        <v>2984</v>
      </c>
    </row>
    <row r="4805" spans="2:8" ht="13.5" customHeight="1">
      <c r="B4805" s="71" t="s">
        <v>6419</v>
      </c>
      <c r="D4805" s="71" t="s">
        <v>5511</v>
      </c>
      <c r="E4805" s="71"/>
      <c r="F4805" s="57">
        <v>73</v>
      </c>
      <c r="G4805" s="57" t="s">
        <v>6628</v>
      </c>
      <c r="H4805" s="71" t="s">
        <v>2984</v>
      </c>
    </row>
    <row r="4806" spans="2:8" ht="13.5" customHeight="1">
      <c r="B4806" s="71" t="s">
        <v>6420</v>
      </c>
      <c r="D4806" s="71" t="s">
        <v>4268</v>
      </c>
      <c r="E4806" s="71"/>
      <c r="F4806" s="57">
        <v>143</v>
      </c>
      <c r="G4806" s="57" t="s">
        <v>6628</v>
      </c>
      <c r="H4806" s="71" t="s">
        <v>2984</v>
      </c>
    </row>
    <row r="4807" spans="2:8" ht="13.5" customHeight="1">
      <c r="B4807" s="71" t="s">
        <v>6421</v>
      </c>
      <c r="D4807" s="71" t="s">
        <v>3555</v>
      </c>
      <c r="E4807" s="71"/>
      <c r="F4807" s="57">
        <v>150</v>
      </c>
      <c r="G4807" s="57" t="s">
        <v>6628</v>
      </c>
      <c r="H4807" s="71" t="s">
        <v>2984</v>
      </c>
    </row>
    <row r="4808" spans="2:8" ht="13.5" customHeight="1">
      <c r="B4808" s="71" t="s">
        <v>6422</v>
      </c>
      <c r="D4808" s="71" t="s">
        <v>6423</v>
      </c>
      <c r="E4808" s="71"/>
      <c r="F4808" s="57">
        <v>1</v>
      </c>
      <c r="G4808" s="57" t="s">
        <v>6628</v>
      </c>
      <c r="H4808" s="71" t="s">
        <v>2980</v>
      </c>
    </row>
    <row r="4809" spans="2:8" ht="13.5" customHeight="1">
      <c r="B4809" s="71" t="s">
        <v>3081</v>
      </c>
      <c r="D4809" s="71" t="s">
        <v>6430</v>
      </c>
      <c r="E4809" s="71"/>
      <c r="F4809" s="57">
        <v>2</v>
      </c>
      <c r="G4809" s="57" t="s">
        <v>6628</v>
      </c>
      <c r="H4809" s="71" t="s">
        <v>2980</v>
      </c>
    </row>
    <row r="4810" spans="2:8" ht="13.5" customHeight="1">
      <c r="B4810" s="71" t="s">
        <v>6426</v>
      </c>
      <c r="D4810" s="71" t="s">
        <v>6427</v>
      </c>
      <c r="E4810" s="71"/>
      <c r="F4810" s="57">
        <v>2</v>
      </c>
      <c r="G4810" s="57" t="s">
        <v>6628</v>
      </c>
      <c r="H4810" s="71" t="s">
        <v>2980</v>
      </c>
    </row>
    <row r="4811" spans="2:8" ht="13.5" customHeight="1">
      <c r="B4811" s="80" t="s">
        <v>6428</v>
      </c>
      <c r="D4811" s="80" t="s">
        <v>6429</v>
      </c>
      <c r="E4811" s="80"/>
      <c r="F4811" s="57">
        <v>2</v>
      </c>
      <c r="G4811" s="57" t="s">
        <v>6628</v>
      </c>
      <c r="H4811" s="57" t="s">
        <v>2980</v>
      </c>
    </row>
    <row r="4812" spans="2:8" ht="13.5" customHeight="1">
      <c r="B4812" s="71" t="s">
        <v>6424</v>
      </c>
      <c r="D4812" s="71" t="s">
        <v>6425</v>
      </c>
      <c r="E4812" s="71"/>
      <c r="F4812" s="57">
        <v>2</v>
      </c>
      <c r="G4812" s="57" t="s">
        <v>6628</v>
      </c>
      <c r="H4812" s="71" t="s">
        <v>2980</v>
      </c>
    </row>
    <row r="4813" spans="2:8" ht="13.5" customHeight="1">
      <c r="B4813" s="80" t="s">
        <v>6431</v>
      </c>
      <c r="D4813" s="80" t="s">
        <v>6432</v>
      </c>
      <c r="E4813" s="80"/>
      <c r="F4813" s="57">
        <v>3</v>
      </c>
      <c r="G4813" s="57" t="s">
        <v>6628</v>
      </c>
      <c r="H4813" s="57" t="s">
        <v>2980</v>
      </c>
    </row>
    <row r="4814" spans="2:8" ht="13.5" customHeight="1">
      <c r="B4814" s="71" t="s">
        <v>6433</v>
      </c>
      <c r="D4814" s="71" t="s">
        <v>6434</v>
      </c>
      <c r="E4814" s="71"/>
      <c r="F4814" s="57">
        <v>4</v>
      </c>
      <c r="G4814" s="57" t="s">
        <v>6628</v>
      </c>
      <c r="H4814" s="71" t="s">
        <v>2980</v>
      </c>
    </row>
    <row r="4815" spans="2:8" ht="13.5" customHeight="1">
      <c r="B4815" s="71" t="s">
        <v>6438</v>
      </c>
      <c r="D4815" s="71" t="s">
        <v>6439</v>
      </c>
      <c r="E4815" s="71"/>
      <c r="F4815" s="57">
        <v>5</v>
      </c>
      <c r="G4815" s="57" t="s">
        <v>6628</v>
      </c>
      <c r="H4815" s="71" t="s">
        <v>2980</v>
      </c>
    </row>
    <row r="4816" spans="2:8" ht="13.5" customHeight="1">
      <c r="B4816" s="71" t="s">
        <v>5344</v>
      </c>
      <c r="D4816" s="71" t="s">
        <v>6435</v>
      </c>
      <c r="E4816" s="71"/>
      <c r="F4816" s="57">
        <v>5</v>
      </c>
      <c r="G4816" s="57" t="s">
        <v>6628</v>
      </c>
      <c r="H4816" s="71" t="s">
        <v>2980</v>
      </c>
    </row>
    <row r="4817" spans="2:9" ht="13.5" customHeight="1">
      <c r="B4817" s="80" t="s">
        <v>6436</v>
      </c>
      <c r="D4817" s="103" t="s">
        <v>6437</v>
      </c>
      <c r="E4817" s="103"/>
      <c r="F4817" s="57">
        <v>5</v>
      </c>
      <c r="G4817" s="57" t="s">
        <v>6628</v>
      </c>
      <c r="H4817" s="186" t="s">
        <v>2980</v>
      </c>
    </row>
    <row r="4818" spans="2:9" ht="13.5" customHeight="1">
      <c r="B4818" s="57" t="s">
        <v>1555</v>
      </c>
      <c r="D4818" s="57" t="s">
        <v>6440</v>
      </c>
      <c r="F4818" s="57">
        <v>8</v>
      </c>
      <c r="G4818" s="57" t="s">
        <v>6628</v>
      </c>
      <c r="H4818" s="57" t="s">
        <v>2980</v>
      </c>
    </row>
    <row r="4819" spans="2:9" ht="13.5" customHeight="1">
      <c r="B4819" s="71" t="s">
        <v>6441</v>
      </c>
      <c r="D4819" s="71" t="s">
        <v>1206</v>
      </c>
      <c r="F4819" s="57">
        <v>9</v>
      </c>
      <c r="G4819" s="57" t="s">
        <v>6628</v>
      </c>
      <c r="H4819" s="57" t="s">
        <v>2980</v>
      </c>
    </row>
    <row r="4820" spans="2:9" ht="13.5" customHeight="1">
      <c r="B4820" s="71" t="s">
        <v>3050</v>
      </c>
      <c r="D4820" s="71" t="s">
        <v>3051</v>
      </c>
      <c r="F4820" s="57">
        <v>10</v>
      </c>
      <c r="G4820" s="57" t="s">
        <v>6628</v>
      </c>
      <c r="H4820" s="57" t="s">
        <v>2980</v>
      </c>
      <c r="I4820" s="57" t="s">
        <v>8674</v>
      </c>
    </row>
    <row r="4821" spans="2:9" ht="13.5" customHeight="1">
      <c r="B4821" s="71" t="s">
        <v>6446</v>
      </c>
      <c r="D4821" s="71" t="s">
        <v>6446</v>
      </c>
      <c r="F4821" s="57">
        <v>10</v>
      </c>
      <c r="G4821" s="57" t="s">
        <v>6628</v>
      </c>
      <c r="H4821" s="57" t="s">
        <v>2980</v>
      </c>
    </row>
    <row r="4822" spans="2:9" ht="13.5" customHeight="1">
      <c r="B4822" s="71" t="s">
        <v>6442</v>
      </c>
      <c r="D4822" s="71" t="s">
        <v>6443</v>
      </c>
      <c r="F4822" s="57">
        <v>10</v>
      </c>
      <c r="G4822" s="57" t="s">
        <v>6628</v>
      </c>
      <c r="H4822" s="57" t="s">
        <v>2980</v>
      </c>
    </row>
    <row r="4823" spans="2:9" ht="13.5" customHeight="1">
      <c r="B4823" s="71" t="s">
        <v>6444</v>
      </c>
      <c r="D4823" s="71" t="s">
        <v>6445</v>
      </c>
      <c r="F4823" s="57">
        <v>10</v>
      </c>
      <c r="G4823" s="57" t="s">
        <v>6628</v>
      </c>
      <c r="H4823" s="57" t="s">
        <v>2980</v>
      </c>
    </row>
    <row r="4824" spans="2:9" ht="13.5" customHeight="1">
      <c r="B4824" s="71" t="s">
        <v>6447</v>
      </c>
      <c r="D4824" s="71" t="s">
        <v>6448</v>
      </c>
      <c r="F4824" s="57">
        <v>12</v>
      </c>
      <c r="G4824" s="57" t="s">
        <v>6628</v>
      </c>
      <c r="H4824" s="57" t="s">
        <v>2980</v>
      </c>
    </row>
    <row r="4825" spans="2:9" ht="13.5" customHeight="1">
      <c r="B4825" s="71" t="s">
        <v>5221</v>
      </c>
      <c r="D4825" s="71" t="s">
        <v>6449</v>
      </c>
      <c r="F4825" s="57">
        <v>16</v>
      </c>
      <c r="G4825" s="57" t="s">
        <v>6628</v>
      </c>
      <c r="H4825" s="57" t="s">
        <v>2980</v>
      </c>
    </row>
    <row r="4826" spans="2:9" ht="13.5" customHeight="1">
      <c r="B4826" s="71" t="s">
        <v>6452</v>
      </c>
      <c r="D4826" s="71" t="s">
        <v>6453</v>
      </c>
      <c r="F4826" s="57">
        <v>17</v>
      </c>
      <c r="G4826" s="57" t="s">
        <v>6628</v>
      </c>
      <c r="H4826" s="57" t="s">
        <v>2980</v>
      </c>
    </row>
    <row r="4827" spans="2:9" ht="13.5" customHeight="1">
      <c r="B4827" s="71" t="s">
        <v>6450</v>
      </c>
      <c r="D4827" s="71" t="s">
        <v>6451</v>
      </c>
      <c r="F4827" s="57">
        <v>17</v>
      </c>
      <c r="G4827" s="57" t="s">
        <v>6628</v>
      </c>
      <c r="H4827" s="57" t="s">
        <v>2980</v>
      </c>
    </row>
    <row r="4828" spans="2:9" ht="13.5" customHeight="1">
      <c r="B4828" s="71" t="s">
        <v>6454</v>
      </c>
      <c r="D4828" s="71" t="s">
        <v>6455</v>
      </c>
      <c r="F4828" s="57">
        <v>19</v>
      </c>
      <c r="G4828" s="57" t="s">
        <v>6628</v>
      </c>
      <c r="H4828" s="57" t="s">
        <v>2980</v>
      </c>
    </row>
    <row r="4829" spans="2:9" ht="13.5" customHeight="1">
      <c r="B4829" s="71" t="s">
        <v>6456</v>
      </c>
      <c r="D4829" s="71" t="s">
        <v>6457</v>
      </c>
      <c r="F4829" s="57">
        <v>58</v>
      </c>
      <c r="G4829" s="57" t="s">
        <v>6628</v>
      </c>
      <c r="H4829" s="57" t="s">
        <v>2980</v>
      </c>
    </row>
    <row r="4830" spans="2:9" ht="13.5" customHeight="1">
      <c r="B4830" s="71" t="s">
        <v>659</v>
      </c>
      <c r="D4830" s="71" t="s">
        <v>6458</v>
      </c>
      <c r="F4830" s="57">
        <v>69</v>
      </c>
      <c r="G4830" s="57" t="s">
        <v>6628</v>
      </c>
      <c r="H4830" s="57" t="s">
        <v>2980</v>
      </c>
    </row>
    <row r="4831" spans="2:9" ht="13.5" customHeight="1">
      <c r="B4831" s="71" t="s">
        <v>6459</v>
      </c>
      <c r="D4831" s="71" t="s">
        <v>6460</v>
      </c>
      <c r="F4831" s="57">
        <v>70</v>
      </c>
      <c r="G4831" s="57" t="s">
        <v>6628</v>
      </c>
      <c r="H4831" s="57" t="s">
        <v>2980</v>
      </c>
    </row>
    <row r="4832" spans="2:9" ht="13.5" customHeight="1">
      <c r="B4832" s="71" t="s">
        <v>6461</v>
      </c>
      <c r="D4832" s="71" t="s">
        <v>6462</v>
      </c>
      <c r="F4832" s="57">
        <v>105</v>
      </c>
      <c r="G4832" s="57" t="s">
        <v>6628</v>
      </c>
      <c r="H4832" s="57" t="s">
        <v>2980</v>
      </c>
    </row>
    <row r="4833" spans="2:8" ht="13.5" customHeight="1">
      <c r="B4833" s="71" t="s">
        <v>6463</v>
      </c>
      <c r="D4833" s="71" t="s">
        <v>6464</v>
      </c>
      <c r="F4833" s="57">
        <v>106</v>
      </c>
      <c r="G4833" s="57" t="s">
        <v>6628</v>
      </c>
      <c r="H4833" s="57" t="s">
        <v>2980</v>
      </c>
    </row>
    <row r="4834" spans="2:8" ht="13.5" customHeight="1">
      <c r="B4834" s="71" t="s">
        <v>6465</v>
      </c>
      <c r="D4834" s="71" t="s">
        <v>3300</v>
      </c>
      <c r="F4834" s="57">
        <v>1</v>
      </c>
      <c r="G4834" s="57" t="s">
        <v>6628</v>
      </c>
      <c r="H4834" s="57" t="s">
        <v>2979</v>
      </c>
    </row>
    <row r="4835" spans="2:8" ht="13.5" customHeight="1">
      <c r="B4835" s="71" t="s">
        <v>6466</v>
      </c>
      <c r="D4835" s="71" t="s">
        <v>6467</v>
      </c>
      <c r="F4835" s="57">
        <v>1</v>
      </c>
      <c r="G4835" s="57" t="s">
        <v>6628</v>
      </c>
      <c r="H4835" s="57" t="s">
        <v>2979</v>
      </c>
    </row>
    <row r="4836" spans="2:8" ht="13.5" customHeight="1">
      <c r="B4836" s="71" t="s">
        <v>6468</v>
      </c>
      <c r="D4836" s="71" t="s">
        <v>6469</v>
      </c>
      <c r="F4836" s="57">
        <v>1</v>
      </c>
      <c r="G4836" s="57" t="s">
        <v>6628</v>
      </c>
      <c r="H4836" s="57" t="s">
        <v>2979</v>
      </c>
    </row>
    <row r="4837" spans="2:8" ht="13.5" customHeight="1">
      <c r="B4837" s="71" t="s">
        <v>6470</v>
      </c>
      <c r="D4837" s="71" t="s">
        <v>6471</v>
      </c>
      <c r="F4837" s="57">
        <v>2</v>
      </c>
      <c r="G4837" s="57" t="s">
        <v>6628</v>
      </c>
      <c r="H4837" s="57" t="s">
        <v>2979</v>
      </c>
    </row>
    <row r="4838" spans="2:8" ht="13.5" customHeight="1">
      <c r="B4838" s="71" t="s">
        <v>6481</v>
      </c>
      <c r="D4838" s="71" t="s">
        <v>6482</v>
      </c>
      <c r="F4838" s="57">
        <v>2</v>
      </c>
      <c r="G4838" s="57" t="s">
        <v>6628</v>
      </c>
      <c r="H4838" s="57" t="s">
        <v>2979</v>
      </c>
    </row>
    <row r="4839" spans="2:8" ht="13.5" customHeight="1">
      <c r="B4839" s="71" t="s">
        <v>5875</v>
      </c>
      <c r="D4839" s="71" t="s">
        <v>6478</v>
      </c>
      <c r="F4839" s="57">
        <v>2</v>
      </c>
      <c r="G4839" s="57" t="s">
        <v>6628</v>
      </c>
      <c r="H4839" s="57" t="s">
        <v>2979</v>
      </c>
    </row>
    <row r="4840" spans="2:8" ht="13.5" customHeight="1">
      <c r="B4840" s="71" t="s">
        <v>6476</v>
      </c>
      <c r="D4840" s="71" t="s">
        <v>6477</v>
      </c>
      <c r="F4840" s="57">
        <v>2</v>
      </c>
      <c r="G4840" s="57" t="s">
        <v>6628</v>
      </c>
      <c r="H4840" s="57" t="s">
        <v>2979</v>
      </c>
    </row>
    <row r="4841" spans="2:8" ht="13.5" customHeight="1">
      <c r="B4841" s="71" t="s">
        <v>898</v>
      </c>
      <c r="D4841" s="71" t="s">
        <v>6483</v>
      </c>
      <c r="F4841" s="57">
        <v>2</v>
      </c>
      <c r="G4841" s="57" t="s">
        <v>6628</v>
      </c>
      <c r="H4841" s="57" t="s">
        <v>2979</v>
      </c>
    </row>
    <row r="4842" spans="2:8" ht="13.5" customHeight="1">
      <c r="B4842" s="71" t="s">
        <v>898</v>
      </c>
      <c r="D4842" s="71" t="s">
        <v>3772</v>
      </c>
      <c r="F4842" s="57">
        <v>2</v>
      </c>
      <c r="G4842" s="57" t="s">
        <v>6628</v>
      </c>
      <c r="H4842" s="57" t="s">
        <v>2979</v>
      </c>
    </row>
    <row r="4843" spans="2:8" ht="13.5" customHeight="1">
      <c r="B4843" s="71" t="s">
        <v>6479</v>
      </c>
      <c r="D4843" s="71" t="s">
        <v>6480</v>
      </c>
      <c r="F4843" s="57">
        <v>2</v>
      </c>
      <c r="G4843" s="57" t="s">
        <v>6628</v>
      </c>
      <c r="H4843" s="57" t="s">
        <v>2979</v>
      </c>
    </row>
    <row r="4844" spans="2:8" ht="13.5" customHeight="1">
      <c r="B4844" s="71" t="s">
        <v>6472</v>
      </c>
      <c r="D4844" s="71" t="s">
        <v>6473</v>
      </c>
      <c r="F4844" s="57">
        <v>2</v>
      </c>
      <c r="G4844" s="57" t="s">
        <v>6628</v>
      </c>
      <c r="H4844" s="57" t="s">
        <v>2979</v>
      </c>
    </row>
    <row r="4845" spans="2:8" ht="13.5" customHeight="1">
      <c r="B4845" s="71" t="s">
        <v>6474</v>
      </c>
      <c r="D4845" s="71" t="s">
        <v>6475</v>
      </c>
      <c r="F4845" s="57">
        <v>2</v>
      </c>
      <c r="G4845" s="57" t="s">
        <v>6628</v>
      </c>
      <c r="H4845" s="57" t="s">
        <v>2979</v>
      </c>
    </row>
    <row r="4846" spans="2:8" ht="13.5" customHeight="1">
      <c r="B4846" s="71" t="s">
        <v>6486</v>
      </c>
      <c r="D4846" s="71" t="s">
        <v>6487</v>
      </c>
      <c r="F4846" s="57">
        <v>3</v>
      </c>
      <c r="G4846" s="57" t="s">
        <v>6628</v>
      </c>
      <c r="H4846" s="57" t="s">
        <v>2979</v>
      </c>
    </row>
    <row r="4847" spans="2:8" ht="13.5" customHeight="1">
      <c r="B4847" s="71" t="s">
        <v>6484</v>
      </c>
      <c r="D4847" s="71" t="s">
        <v>6485</v>
      </c>
      <c r="F4847" s="57">
        <v>3</v>
      </c>
      <c r="G4847" s="57" t="s">
        <v>6628</v>
      </c>
      <c r="H4847" s="57" t="s">
        <v>2979</v>
      </c>
    </row>
    <row r="4848" spans="2:8" ht="13.5" customHeight="1">
      <c r="B4848" s="71" t="s">
        <v>5363</v>
      </c>
      <c r="D4848" s="71" t="s">
        <v>6488</v>
      </c>
      <c r="F4848" s="57">
        <v>4</v>
      </c>
      <c r="G4848" s="57" t="s">
        <v>6628</v>
      </c>
      <c r="H4848" s="57" t="s">
        <v>2979</v>
      </c>
    </row>
    <row r="4849" spans="2:8" ht="13.5" customHeight="1">
      <c r="B4849" s="71" t="s">
        <v>6489</v>
      </c>
      <c r="D4849" s="71" t="s">
        <v>6490</v>
      </c>
      <c r="F4849" s="57">
        <v>4</v>
      </c>
      <c r="G4849" s="57" t="s">
        <v>6628</v>
      </c>
      <c r="H4849" s="57" t="s">
        <v>2979</v>
      </c>
    </row>
    <row r="4850" spans="2:8" ht="13.5" customHeight="1">
      <c r="B4850" s="71" t="s">
        <v>6491</v>
      </c>
      <c r="D4850" s="71" t="s">
        <v>6492</v>
      </c>
      <c r="F4850" s="57">
        <v>4</v>
      </c>
      <c r="G4850" s="57" t="s">
        <v>6628</v>
      </c>
      <c r="H4850" s="57" t="s">
        <v>2979</v>
      </c>
    </row>
    <row r="4851" spans="2:8" ht="13.5" customHeight="1">
      <c r="B4851" s="71" t="s">
        <v>4431</v>
      </c>
      <c r="D4851" s="71" t="s">
        <v>6499</v>
      </c>
      <c r="F4851" s="57">
        <v>5</v>
      </c>
      <c r="G4851" s="57" t="s">
        <v>6628</v>
      </c>
      <c r="H4851" s="57" t="s">
        <v>2979</v>
      </c>
    </row>
    <row r="4852" spans="2:8" ht="13.5" customHeight="1">
      <c r="B4852" s="71" t="s">
        <v>6497</v>
      </c>
      <c r="D4852" s="71" t="s">
        <v>6498</v>
      </c>
      <c r="F4852" s="57">
        <v>5</v>
      </c>
      <c r="G4852" s="57" t="s">
        <v>6628</v>
      </c>
      <c r="H4852" s="71" t="s">
        <v>2979</v>
      </c>
    </row>
    <row r="4853" spans="2:8" ht="13.5" customHeight="1">
      <c r="B4853" s="71" t="s">
        <v>6500</v>
      </c>
      <c r="D4853" s="71" t="s">
        <v>6501</v>
      </c>
      <c r="F4853" s="57">
        <v>5</v>
      </c>
      <c r="G4853" s="57" t="s">
        <v>6628</v>
      </c>
      <c r="H4853" s="71" t="s">
        <v>2979</v>
      </c>
    </row>
    <row r="4854" spans="2:8" ht="13.5" customHeight="1">
      <c r="B4854" s="71" t="s">
        <v>6495</v>
      </c>
      <c r="D4854" s="71" t="s">
        <v>6496</v>
      </c>
      <c r="F4854" s="57">
        <v>5</v>
      </c>
      <c r="G4854" s="57" t="s">
        <v>6628</v>
      </c>
      <c r="H4854" s="57" t="s">
        <v>2979</v>
      </c>
    </row>
    <row r="4855" spans="2:8" ht="13.5" customHeight="1">
      <c r="B4855" s="71" t="s">
        <v>6502</v>
      </c>
      <c r="D4855" s="71" t="s">
        <v>6503</v>
      </c>
      <c r="F4855" s="57">
        <v>5</v>
      </c>
      <c r="G4855" s="57" t="s">
        <v>6628</v>
      </c>
      <c r="H4855" s="57" t="s">
        <v>2979</v>
      </c>
    </row>
    <row r="4856" spans="2:8" ht="13.5" customHeight="1">
      <c r="B4856" s="71" t="s">
        <v>6504</v>
      </c>
      <c r="D4856" s="71" t="s">
        <v>6505</v>
      </c>
      <c r="F4856" s="57">
        <v>5</v>
      </c>
      <c r="G4856" s="57" t="s">
        <v>6628</v>
      </c>
      <c r="H4856" s="57" t="s">
        <v>2979</v>
      </c>
    </row>
    <row r="4857" spans="2:8" ht="13.5" customHeight="1">
      <c r="B4857" s="71" t="s">
        <v>6493</v>
      </c>
      <c r="D4857" s="71" t="s">
        <v>6494</v>
      </c>
      <c r="F4857" s="57">
        <v>5</v>
      </c>
      <c r="G4857" s="57" t="s">
        <v>6628</v>
      </c>
      <c r="H4857" s="57" t="s">
        <v>2979</v>
      </c>
    </row>
    <row r="4858" spans="2:8" ht="13.5" customHeight="1">
      <c r="B4858" s="71" t="s">
        <v>6506</v>
      </c>
      <c r="D4858" s="71" t="s">
        <v>6507</v>
      </c>
      <c r="F4858" s="57">
        <v>7</v>
      </c>
      <c r="G4858" s="57" t="s">
        <v>6628</v>
      </c>
      <c r="H4858" s="57" t="s">
        <v>2979</v>
      </c>
    </row>
    <row r="4859" spans="2:8" ht="13.5" customHeight="1">
      <c r="B4859" s="71" t="s">
        <v>6508</v>
      </c>
      <c r="D4859" s="71" t="s">
        <v>6509</v>
      </c>
      <c r="F4859" s="57">
        <v>7</v>
      </c>
      <c r="G4859" s="57" t="s">
        <v>6628</v>
      </c>
      <c r="H4859" s="57" t="s">
        <v>2979</v>
      </c>
    </row>
    <row r="4860" spans="2:8" ht="13.5" customHeight="1">
      <c r="B4860" s="71" t="s">
        <v>6512</v>
      </c>
      <c r="D4860" s="71" t="s">
        <v>6513</v>
      </c>
      <c r="F4860" s="57">
        <v>8</v>
      </c>
      <c r="G4860" s="57" t="s">
        <v>6628</v>
      </c>
      <c r="H4860" s="57" t="s">
        <v>2979</v>
      </c>
    </row>
    <row r="4861" spans="2:8" ht="13.5" customHeight="1">
      <c r="B4861" s="71" t="s">
        <v>6510</v>
      </c>
      <c r="D4861" s="71" t="s">
        <v>6511</v>
      </c>
      <c r="F4861" s="57">
        <v>8</v>
      </c>
      <c r="G4861" s="57" t="s">
        <v>6628</v>
      </c>
      <c r="H4861" s="57" t="s">
        <v>2979</v>
      </c>
    </row>
    <row r="4862" spans="2:8" ht="13.5" customHeight="1">
      <c r="B4862" s="71" t="s">
        <v>6514</v>
      </c>
      <c r="D4862" s="71" t="s">
        <v>6515</v>
      </c>
      <c r="F4862" s="57">
        <v>9</v>
      </c>
      <c r="G4862" s="57" t="s">
        <v>6628</v>
      </c>
      <c r="H4862" s="57" t="s">
        <v>2979</v>
      </c>
    </row>
    <row r="4863" spans="2:8" ht="13.5" customHeight="1">
      <c r="B4863" s="71" t="s">
        <v>6516</v>
      </c>
      <c r="D4863" s="71" t="s">
        <v>1616</v>
      </c>
      <c r="F4863" s="57">
        <v>10</v>
      </c>
      <c r="G4863" s="57" t="s">
        <v>6628</v>
      </c>
      <c r="H4863" s="57" t="s">
        <v>2979</v>
      </c>
    </row>
    <row r="4864" spans="2:8" ht="13.5" customHeight="1">
      <c r="B4864" s="71" t="s">
        <v>5260</v>
      </c>
      <c r="D4864" s="71" t="s">
        <v>6517</v>
      </c>
      <c r="F4864" s="57">
        <v>12</v>
      </c>
      <c r="G4864" s="57" t="s">
        <v>6628</v>
      </c>
      <c r="H4864" s="57" t="s">
        <v>2979</v>
      </c>
    </row>
    <row r="4865" spans="2:8" ht="13.5" customHeight="1">
      <c r="B4865" s="71" t="s">
        <v>6518</v>
      </c>
      <c r="D4865" s="71" t="s">
        <v>6519</v>
      </c>
      <c r="F4865" s="57">
        <v>14</v>
      </c>
      <c r="G4865" s="57" t="s">
        <v>6628</v>
      </c>
      <c r="H4865" s="57" t="s">
        <v>2979</v>
      </c>
    </row>
    <row r="4866" spans="2:8" ht="13.5" customHeight="1">
      <c r="B4866" s="71" t="s">
        <v>6520</v>
      </c>
      <c r="D4866" s="71" t="s">
        <v>6521</v>
      </c>
      <c r="F4866" s="57">
        <v>16</v>
      </c>
      <c r="G4866" s="57" t="s">
        <v>6628</v>
      </c>
      <c r="H4866" s="57" t="s">
        <v>2979</v>
      </c>
    </row>
    <row r="4867" spans="2:8" ht="13.5" customHeight="1">
      <c r="B4867" s="71" t="s">
        <v>6523</v>
      </c>
      <c r="D4867" s="71" t="s">
        <v>6524</v>
      </c>
      <c r="F4867" s="57">
        <v>23</v>
      </c>
      <c r="G4867" s="57" t="s">
        <v>6628</v>
      </c>
      <c r="H4867" s="57" t="s">
        <v>2979</v>
      </c>
    </row>
    <row r="4868" spans="2:8" ht="13.5" customHeight="1">
      <c r="B4868" s="71" t="s">
        <v>6525</v>
      </c>
      <c r="D4868" s="71" t="s">
        <v>6526</v>
      </c>
      <c r="F4868" s="57">
        <v>26</v>
      </c>
      <c r="G4868" s="57" t="s">
        <v>6628</v>
      </c>
      <c r="H4868" s="57" t="s">
        <v>2979</v>
      </c>
    </row>
    <row r="4869" spans="2:8" ht="13.5" customHeight="1">
      <c r="B4869" s="102" t="s">
        <v>2771</v>
      </c>
      <c r="D4869" s="102" t="s">
        <v>6529</v>
      </c>
      <c r="F4869" s="57">
        <v>32</v>
      </c>
      <c r="G4869" s="57" t="s">
        <v>6628</v>
      </c>
      <c r="H4869" s="57" t="s">
        <v>2979</v>
      </c>
    </row>
    <row r="4870" spans="2:8" ht="13.5" customHeight="1">
      <c r="B4870" s="57" t="s">
        <v>6527</v>
      </c>
      <c r="D4870" s="57" t="s">
        <v>6528</v>
      </c>
      <c r="F4870" s="57">
        <v>32</v>
      </c>
      <c r="G4870" s="57" t="s">
        <v>6628</v>
      </c>
      <c r="H4870" s="57" t="s">
        <v>2979</v>
      </c>
    </row>
    <row r="4871" spans="2:8" ht="13.5" customHeight="1">
      <c r="B4871" s="103" t="s">
        <v>6530</v>
      </c>
      <c r="D4871" s="103" t="s">
        <v>6531</v>
      </c>
      <c r="F4871" s="57">
        <v>39</v>
      </c>
      <c r="G4871" s="57" t="s">
        <v>6628</v>
      </c>
      <c r="H4871" s="57" t="s">
        <v>2979</v>
      </c>
    </row>
    <row r="4872" spans="2:8" ht="13.5" customHeight="1">
      <c r="B4872" s="71" t="s">
        <v>6532</v>
      </c>
      <c r="D4872" s="71" t="s">
        <v>6533</v>
      </c>
      <c r="F4872" s="57">
        <v>100</v>
      </c>
      <c r="G4872" s="57" t="s">
        <v>6628</v>
      </c>
      <c r="H4872" s="57" t="s">
        <v>2979</v>
      </c>
    </row>
    <row r="4873" spans="2:8" ht="13.5" customHeight="1">
      <c r="B4873" s="71" t="s">
        <v>6534</v>
      </c>
      <c r="D4873" s="71" t="s">
        <v>6535</v>
      </c>
      <c r="F4873" s="57">
        <v>139</v>
      </c>
      <c r="G4873" s="57" t="s">
        <v>6628</v>
      </c>
      <c r="H4873" s="57" t="s">
        <v>2979</v>
      </c>
    </row>
    <row r="4874" spans="2:8" ht="13.5" customHeight="1">
      <c r="B4874" s="71" t="s">
        <v>6536</v>
      </c>
      <c r="D4874" s="71" t="s">
        <v>6537</v>
      </c>
      <c r="F4874" s="57">
        <v>3</v>
      </c>
      <c r="G4874" s="57" t="s">
        <v>6628</v>
      </c>
      <c r="H4874" s="57" t="s">
        <v>6624</v>
      </c>
    </row>
    <row r="4875" spans="2:8" ht="13.5" customHeight="1">
      <c r="B4875" s="71" t="s">
        <v>6544</v>
      </c>
      <c r="D4875" s="71" t="s">
        <v>6545</v>
      </c>
      <c r="F4875" s="57">
        <v>4</v>
      </c>
      <c r="G4875" s="57" t="s">
        <v>6628</v>
      </c>
      <c r="H4875" s="57" t="s">
        <v>6624</v>
      </c>
    </row>
    <row r="4876" spans="2:8" ht="13.5" customHeight="1">
      <c r="B4876" s="71" t="s">
        <v>6538</v>
      </c>
      <c r="D4876" s="71" t="s">
        <v>6539</v>
      </c>
      <c r="F4876" s="57">
        <v>4</v>
      </c>
      <c r="G4876" s="57" t="s">
        <v>6628</v>
      </c>
      <c r="H4876" s="57" t="s">
        <v>6624</v>
      </c>
    </row>
    <row r="4877" spans="2:8" ht="13.5" customHeight="1">
      <c r="B4877" s="71" t="s">
        <v>6542</v>
      </c>
      <c r="D4877" s="71" t="s">
        <v>6543</v>
      </c>
      <c r="F4877" s="57">
        <v>4</v>
      </c>
      <c r="G4877" s="57" t="s">
        <v>6628</v>
      </c>
      <c r="H4877" s="57" t="s">
        <v>6624</v>
      </c>
    </row>
    <row r="4878" spans="2:8" ht="13.5" customHeight="1">
      <c r="B4878" s="71" t="s">
        <v>6540</v>
      </c>
      <c r="D4878" s="71" t="s">
        <v>6541</v>
      </c>
      <c r="F4878" s="57">
        <v>4</v>
      </c>
      <c r="G4878" s="57" t="s">
        <v>6628</v>
      </c>
      <c r="H4878" s="57" t="s">
        <v>6624</v>
      </c>
    </row>
    <row r="4879" spans="2:8" ht="13.5" customHeight="1">
      <c r="B4879" s="71" t="s">
        <v>5000</v>
      </c>
      <c r="D4879" s="71" t="s">
        <v>2252</v>
      </c>
      <c r="F4879" s="57">
        <v>5</v>
      </c>
      <c r="G4879" s="57" t="s">
        <v>6628</v>
      </c>
      <c r="H4879" s="57" t="s">
        <v>6624</v>
      </c>
    </row>
    <row r="4880" spans="2:8" ht="13.5" customHeight="1">
      <c r="B4880" s="71" t="s">
        <v>6546</v>
      </c>
      <c r="D4880" s="71" t="s">
        <v>6547</v>
      </c>
      <c r="F4880" s="57">
        <v>5</v>
      </c>
      <c r="G4880" s="57" t="s">
        <v>6628</v>
      </c>
      <c r="H4880" s="57" t="s">
        <v>6624</v>
      </c>
    </row>
    <row r="4881" spans="2:8" ht="13.5" customHeight="1">
      <c r="B4881" s="71" t="s">
        <v>6550</v>
      </c>
      <c r="D4881" s="71" t="s">
        <v>6551</v>
      </c>
      <c r="F4881" s="57">
        <v>5</v>
      </c>
      <c r="G4881" s="57" t="s">
        <v>6628</v>
      </c>
      <c r="H4881" s="57" t="s">
        <v>6624</v>
      </c>
    </row>
    <row r="4882" spans="2:8" ht="13.5" customHeight="1">
      <c r="B4882" s="71" t="s">
        <v>6548</v>
      </c>
      <c r="D4882" s="71" t="s">
        <v>6549</v>
      </c>
      <c r="F4882" s="57">
        <v>5</v>
      </c>
      <c r="G4882" s="57" t="s">
        <v>6628</v>
      </c>
      <c r="H4882" s="57" t="s">
        <v>6624</v>
      </c>
    </row>
    <row r="4883" spans="2:8" ht="13.5" customHeight="1">
      <c r="B4883" s="71" t="s">
        <v>6552</v>
      </c>
      <c r="D4883" s="71" t="s">
        <v>6553</v>
      </c>
      <c r="F4883" s="57">
        <v>8</v>
      </c>
      <c r="G4883" s="57" t="s">
        <v>6628</v>
      </c>
      <c r="H4883" s="57" t="s">
        <v>6624</v>
      </c>
    </row>
    <row r="4884" spans="2:8" ht="13.5" customHeight="1">
      <c r="B4884" s="71" t="s">
        <v>6554</v>
      </c>
      <c r="D4884" s="71" t="s">
        <v>6555</v>
      </c>
      <c r="F4884" s="57">
        <v>9</v>
      </c>
      <c r="G4884" s="57" t="s">
        <v>6628</v>
      </c>
      <c r="H4884" s="57" t="s">
        <v>6624</v>
      </c>
    </row>
    <row r="4885" spans="2:8" ht="13.5" customHeight="1">
      <c r="B4885" s="71" t="s">
        <v>6556</v>
      </c>
      <c r="D4885" s="71" t="s">
        <v>6557</v>
      </c>
      <c r="F4885" s="57">
        <v>10</v>
      </c>
      <c r="G4885" s="57" t="s">
        <v>6628</v>
      </c>
      <c r="H4885" s="71" t="s">
        <v>6624</v>
      </c>
    </row>
    <row r="4886" spans="2:8" ht="13.5" customHeight="1">
      <c r="B4886" s="71" t="s">
        <v>6561</v>
      </c>
      <c r="D4886" s="71" t="s">
        <v>6562</v>
      </c>
      <c r="F4886" s="57">
        <v>16</v>
      </c>
      <c r="G4886" s="57" t="s">
        <v>6628</v>
      </c>
      <c r="H4886" s="71" t="s">
        <v>6624</v>
      </c>
    </row>
    <row r="4887" spans="2:8" ht="13.5" customHeight="1">
      <c r="B4887" s="71" t="s">
        <v>6559</v>
      </c>
      <c r="D4887" s="71" t="s">
        <v>6560</v>
      </c>
      <c r="F4887" s="57">
        <v>16</v>
      </c>
      <c r="G4887" s="57" t="s">
        <v>6628</v>
      </c>
      <c r="H4887" s="71" t="s">
        <v>6624</v>
      </c>
    </row>
    <row r="4888" spans="2:8" ht="13.5" customHeight="1">
      <c r="B4888" s="71" t="s">
        <v>6558</v>
      </c>
      <c r="C4888" s="71"/>
      <c r="D4888" s="71" t="s">
        <v>6558</v>
      </c>
      <c r="F4888" s="57">
        <v>16</v>
      </c>
      <c r="G4888" s="57" t="s">
        <v>6628</v>
      </c>
      <c r="H4888" s="57" t="s">
        <v>6624</v>
      </c>
    </row>
    <row r="4889" spans="2:8" ht="13.5" customHeight="1">
      <c r="B4889" s="71" t="s">
        <v>6563</v>
      </c>
      <c r="C4889" s="71"/>
      <c r="D4889" s="71" t="s">
        <v>6564</v>
      </c>
      <c r="F4889" s="57">
        <v>18</v>
      </c>
      <c r="G4889" s="57" t="s">
        <v>6628</v>
      </c>
      <c r="H4889" s="57" t="s">
        <v>6624</v>
      </c>
    </row>
    <row r="4890" spans="2:8" ht="13.5" customHeight="1">
      <c r="B4890" s="71" t="s">
        <v>6565</v>
      </c>
      <c r="C4890" s="71"/>
      <c r="D4890" s="71" t="s">
        <v>4935</v>
      </c>
      <c r="F4890" s="57">
        <v>24</v>
      </c>
      <c r="G4890" s="57" t="s">
        <v>6628</v>
      </c>
      <c r="H4890" s="57" t="s">
        <v>6624</v>
      </c>
    </row>
    <row r="4891" spans="2:8" ht="13.5" customHeight="1">
      <c r="B4891" s="71" t="s">
        <v>6566</v>
      </c>
      <c r="D4891" s="71" t="s">
        <v>6567</v>
      </c>
      <c r="F4891" s="57">
        <v>29</v>
      </c>
      <c r="G4891" s="57" t="s">
        <v>6628</v>
      </c>
      <c r="H4891" s="57" t="s">
        <v>6624</v>
      </c>
    </row>
    <row r="4892" spans="2:8" ht="13.5" customHeight="1">
      <c r="B4892" s="71" t="s">
        <v>6568</v>
      </c>
      <c r="C4892" s="71"/>
      <c r="D4892" s="71" t="s">
        <v>6569</v>
      </c>
      <c r="F4892" s="57">
        <v>32</v>
      </c>
      <c r="G4892" s="57" t="s">
        <v>6628</v>
      </c>
      <c r="H4892" s="57" t="s">
        <v>6624</v>
      </c>
    </row>
    <row r="4893" spans="2:8" ht="13.5" customHeight="1">
      <c r="B4893" s="102" t="s">
        <v>6570</v>
      </c>
      <c r="D4893" s="102" t="s">
        <v>6571</v>
      </c>
      <c r="F4893" s="57">
        <v>40</v>
      </c>
      <c r="G4893" s="57" t="s">
        <v>6628</v>
      </c>
      <c r="H4893" s="57" t="s">
        <v>6624</v>
      </c>
    </row>
    <row r="4894" spans="2:8" ht="13.5" customHeight="1">
      <c r="B4894" s="71" t="s">
        <v>6572</v>
      </c>
      <c r="D4894" s="71" t="s">
        <v>270</v>
      </c>
      <c r="F4894" s="57">
        <v>55</v>
      </c>
      <c r="G4894" s="57" t="s">
        <v>6628</v>
      </c>
      <c r="H4894" s="57" t="s">
        <v>6624</v>
      </c>
    </row>
    <row r="4895" spans="2:8" ht="13.5" customHeight="1">
      <c r="B4895" s="71" t="s">
        <v>6573</v>
      </c>
      <c r="D4895" s="71" t="s">
        <v>6574</v>
      </c>
      <c r="F4895" s="57">
        <v>60</v>
      </c>
      <c r="G4895" s="57" t="s">
        <v>6628</v>
      </c>
      <c r="H4895" s="57" t="s">
        <v>6624</v>
      </c>
    </row>
    <row r="4896" spans="2:8" ht="13.5" customHeight="1">
      <c r="B4896" s="57" t="s">
        <v>6575</v>
      </c>
      <c r="D4896" s="57" t="s">
        <v>6576</v>
      </c>
      <c r="F4896" s="57">
        <v>84</v>
      </c>
      <c r="G4896" s="57" t="s">
        <v>6628</v>
      </c>
      <c r="H4896" s="57" t="s">
        <v>6624</v>
      </c>
    </row>
    <row r="4897" spans="2:8" ht="13.5" customHeight="1">
      <c r="B4897" s="57" t="s">
        <v>6577</v>
      </c>
      <c r="D4897" s="57" t="s">
        <v>6578</v>
      </c>
      <c r="F4897" s="57">
        <v>92</v>
      </c>
      <c r="G4897" s="57" t="s">
        <v>6628</v>
      </c>
      <c r="H4897" s="57" t="s">
        <v>6624</v>
      </c>
    </row>
    <row r="4898" spans="2:8" ht="13.5" customHeight="1">
      <c r="B4898" s="71" t="s">
        <v>6579</v>
      </c>
      <c r="C4898" s="71"/>
      <c r="D4898" s="71" t="s">
        <v>6580</v>
      </c>
      <c r="F4898" s="57">
        <v>98</v>
      </c>
      <c r="G4898" s="57" t="s">
        <v>6628</v>
      </c>
      <c r="H4898" s="57" t="s">
        <v>6624</v>
      </c>
    </row>
    <row r="4899" spans="2:8" ht="13.5" customHeight="1">
      <c r="B4899" s="71" t="s">
        <v>4486</v>
      </c>
      <c r="C4899" s="71"/>
      <c r="D4899" s="71" t="s">
        <v>5136</v>
      </c>
      <c r="F4899" s="57">
        <v>257</v>
      </c>
      <c r="G4899" s="57" t="s">
        <v>6628</v>
      </c>
      <c r="H4899" s="57" t="s">
        <v>6624</v>
      </c>
    </row>
    <row r="4900" spans="2:8" ht="13.5" customHeight="1">
      <c r="B4900" s="71" t="s">
        <v>6581</v>
      </c>
      <c r="C4900" s="71"/>
      <c r="D4900" s="71">
        <v>5045280892</v>
      </c>
      <c r="F4900" s="57">
        <v>2</v>
      </c>
      <c r="G4900" s="57" t="s">
        <v>6628</v>
      </c>
      <c r="H4900" s="57" t="s">
        <v>6625</v>
      </c>
    </row>
    <row r="4901" spans="2:8" ht="13.5" customHeight="1">
      <c r="B4901" s="71" t="s">
        <v>6582</v>
      </c>
      <c r="C4901" s="71"/>
      <c r="D4901" s="71" t="s">
        <v>6583</v>
      </c>
      <c r="F4901" s="57">
        <v>2</v>
      </c>
      <c r="G4901" s="57" t="s">
        <v>6628</v>
      </c>
      <c r="H4901" s="57" t="s">
        <v>6625</v>
      </c>
    </row>
    <row r="4902" spans="2:8" ht="13.5" customHeight="1">
      <c r="B4902" s="71" t="s">
        <v>6584</v>
      </c>
      <c r="C4902" s="71"/>
      <c r="D4902" s="71" t="s">
        <v>6584</v>
      </c>
      <c r="F4902" s="57">
        <v>5</v>
      </c>
      <c r="G4902" s="57" t="s">
        <v>6628</v>
      </c>
      <c r="H4902" s="57" t="s">
        <v>6625</v>
      </c>
    </row>
    <row r="4903" spans="2:8" ht="13.5" customHeight="1">
      <c r="B4903" s="71" t="s">
        <v>6585</v>
      </c>
      <c r="C4903" s="71"/>
      <c r="D4903" s="71" t="s">
        <v>6586</v>
      </c>
      <c r="F4903" s="57">
        <v>33</v>
      </c>
      <c r="G4903" s="57" t="s">
        <v>6628</v>
      </c>
      <c r="H4903" s="57" t="s">
        <v>6625</v>
      </c>
    </row>
    <row r="4904" spans="2:8" ht="13.5" customHeight="1">
      <c r="B4904" s="71" t="s">
        <v>6587</v>
      </c>
      <c r="C4904" s="71"/>
      <c r="D4904" s="71" t="s">
        <v>6588</v>
      </c>
      <c r="F4904" s="57">
        <v>35</v>
      </c>
      <c r="G4904" s="57" t="s">
        <v>6628</v>
      </c>
      <c r="H4904" s="57" t="s">
        <v>6625</v>
      </c>
    </row>
    <row r="4905" spans="2:8" ht="13.5" customHeight="1">
      <c r="B4905" s="71" t="s">
        <v>6589</v>
      </c>
      <c r="C4905" s="71"/>
      <c r="D4905" s="71" t="s">
        <v>6590</v>
      </c>
      <c r="F4905" s="57">
        <v>469</v>
      </c>
      <c r="G4905" s="57" t="s">
        <v>6628</v>
      </c>
      <c r="H4905" s="57" t="s">
        <v>6625</v>
      </c>
    </row>
    <row r="4906" spans="2:8" ht="13.5" customHeight="1">
      <c r="B4906" s="71" t="s">
        <v>5947</v>
      </c>
      <c r="C4906" s="71"/>
      <c r="D4906" s="71" t="s">
        <v>6591</v>
      </c>
      <c r="F4906" s="57">
        <v>1163</v>
      </c>
      <c r="G4906" s="57" t="s">
        <v>6628</v>
      </c>
      <c r="H4906" s="57" t="s">
        <v>6625</v>
      </c>
    </row>
    <row r="4907" spans="2:8" ht="13.5" customHeight="1">
      <c r="B4907" s="71" t="s">
        <v>6592</v>
      </c>
      <c r="C4907" s="71"/>
      <c r="D4907" s="71" t="s">
        <v>6593</v>
      </c>
      <c r="F4907" s="57">
        <v>2364</v>
      </c>
      <c r="G4907" s="57" t="s">
        <v>6628</v>
      </c>
      <c r="H4907" s="57" t="s">
        <v>6625</v>
      </c>
    </row>
    <row r="4908" spans="2:8" ht="13.5" customHeight="1">
      <c r="B4908" s="71" t="s">
        <v>6594</v>
      </c>
      <c r="C4908" s="71"/>
      <c r="D4908" s="71" t="s">
        <v>6595</v>
      </c>
      <c r="F4908" s="57">
        <v>9006</v>
      </c>
      <c r="G4908" s="57" t="s">
        <v>6628</v>
      </c>
      <c r="H4908" s="57" t="s">
        <v>6625</v>
      </c>
    </row>
    <row r="4909" spans="2:8" ht="13.5" customHeight="1">
      <c r="B4909" s="71" t="s">
        <v>8162</v>
      </c>
      <c r="C4909" s="71"/>
      <c r="D4909" s="71" t="s">
        <v>6596</v>
      </c>
      <c r="F4909" s="57">
        <v>119900</v>
      </c>
      <c r="G4909" s="57" t="s">
        <v>6628</v>
      </c>
      <c r="H4909" s="57" t="s">
        <v>6626</v>
      </c>
    </row>
    <row r="4910" spans="2:8" ht="13.5" customHeight="1">
      <c r="B4910" s="71" t="s">
        <v>8692</v>
      </c>
      <c r="C4910" s="71"/>
      <c r="D4910" s="71" t="s">
        <v>8693</v>
      </c>
      <c r="F4910" s="76">
        <v>1</v>
      </c>
      <c r="G4910" s="57" t="s">
        <v>6628</v>
      </c>
      <c r="H4910" s="57" t="s">
        <v>2669</v>
      </c>
    </row>
    <row r="4911" spans="2:8" ht="13.5" customHeight="1">
      <c r="B4911" s="63" t="s">
        <v>8456</v>
      </c>
      <c r="C4911" s="71"/>
      <c r="D4911" s="63" t="s">
        <v>8457</v>
      </c>
      <c r="F4911" s="57">
        <v>2</v>
      </c>
      <c r="G4911" s="57" t="s">
        <v>8458</v>
      </c>
      <c r="H4911" s="57" t="s">
        <v>363</v>
      </c>
    </row>
    <row r="4912" spans="2:8" ht="13.5" customHeight="1">
      <c r="B4912" s="9" t="s">
        <v>8976</v>
      </c>
      <c r="C4912" s="129" t="s">
        <v>8977</v>
      </c>
      <c r="D4912" s="127" t="s">
        <v>8978</v>
      </c>
      <c r="F4912" s="57">
        <v>1</v>
      </c>
      <c r="G4912" s="57" t="s">
        <v>9169</v>
      </c>
      <c r="H4912" s="57" t="s">
        <v>343</v>
      </c>
    </row>
    <row r="4913" spans="2:8" ht="13.5" customHeight="1">
      <c r="B4913" s="9" t="s">
        <v>8979</v>
      </c>
      <c r="C4913" s="129" t="s">
        <v>8980</v>
      </c>
      <c r="D4913" s="127" t="s">
        <v>8981</v>
      </c>
      <c r="F4913" s="57">
        <v>1</v>
      </c>
      <c r="G4913" s="57" t="s">
        <v>9169</v>
      </c>
      <c r="H4913" s="57" t="s">
        <v>343</v>
      </c>
    </row>
    <row r="4914" spans="2:8" ht="13.5" customHeight="1">
      <c r="B4914" s="9" t="s">
        <v>9152</v>
      </c>
      <c r="C4914" s="129" t="s">
        <v>9153</v>
      </c>
      <c r="D4914" s="127" t="s">
        <v>9154</v>
      </c>
      <c r="F4914" s="57">
        <v>1</v>
      </c>
      <c r="G4914" s="57" t="s">
        <v>9169</v>
      </c>
      <c r="H4914" s="57" t="s">
        <v>343</v>
      </c>
    </row>
    <row r="4915" spans="2:8" ht="13.5" customHeight="1">
      <c r="B4915" s="130" t="s">
        <v>9163</v>
      </c>
      <c r="C4915" s="130"/>
      <c r="D4915" s="127" t="s">
        <v>9164</v>
      </c>
      <c r="F4915" s="57">
        <v>1</v>
      </c>
      <c r="G4915" s="57" t="s">
        <v>9169</v>
      </c>
      <c r="H4915" s="57" t="s">
        <v>343</v>
      </c>
    </row>
    <row r="4916" spans="2:8" ht="13.5" customHeight="1">
      <c r="B4916" s="9" t="s">
        <v>8973</v>
      </c>
      <c r="C4916" s="129" t="s">
        <v>8974</v>
      </c>
      <c r="D4916" s="127" t="s">
        <v>8975</v>
      </c>
      <c r="F4916" s="57">
        <v>2</v>
      </c>
      <c r="G4916" s="57" t="s">
        <v>9169</v>
      </c>
      <c r="H4916" s="57" t="s">
        <v>343</v>
      </c>
    </row>
    <row r="4917" spans="2:8" ht="13.5" customHeight="1">
      <c r="B4917" s="9" t="s">
        <v>9031</v>
      </c>
      <c r="C4917" s="129" t="s">
        <v>9032</v>
      </c>
      <c r="D4917" s="127" t="s">
        <v>9033</v>
      </c>
      <c r="F4917" s="57">
        <v>2</v>
      </c>
      <c r="G4917" s="57" t="s">
        <v>9169</v>
      </c>
      <c r="H4917" s="57" t="s">
        <v>343</v>
      </c>
    </row>
    <row r="4918" spans="2:8" ht="13.5" customHeight="1">
      <c r="B4918" s="9" t="s">
        <v>9065</v>
      </c>
      <c r="C4918" s="129" t="s">
        <v>9063</v>
      </c>
      <c r="D4918" s="127" t="s">
        <v>9066</v>
      </c>
      <c r="F4918" s="57">
        <v>2</v>
      </c>
      <c r="G4918" s="57" t="s">
        <v>9169</v>
      </c>
      <c r="H4918" s="57" t="s">
        <v>343</v>
      </c>
    </row>
    <row r="4919" spans="2:8" ht="13.5" customHeight="1">
      <c r="B4919" s="9" t="s">
        <v>9090</v>
      </c>
      <c r="C4919" s="9" t="s">
        <v>8379</v>
      </c>
      <c r="D4919" s="127" t="s">
        <v>2451</v>
      </c>
      <c r="F4919" s="57">
        <v>2</v>
      </c>
      <c r="G4919" s="57" t="s">
        <v>9169</v>
      </c>
      <c r="H4919" s="57" t="s">
        <v>343</v>
      </c>
    </row>
    <row r="4920" spans="2:8" ht="13.5" customHeight="1">
      <c r="B4920" s="9" t="s">
        <v>9121</v>
      </c>
      <c r="C4920" s="129" t="s">
        <v>9122</v>
      </c>
      <c r="D4920" s="127" t="s">
        <v>9123</v>
      </c>
      <c r="F4920" s="57">
        <v>2</v>
      </c>
      <c r="G4920" s="57" t="s">
        <v>9169</v>
      </c>
      <c r="H4920" s="57" t="s">
        <v>343</v>
      </c>
    </row>
    <row r="4921" spans="2:8" ht="13.5" customHeight="1">
      <c r="B4921" s="9" t="s">
        <v>9157</v>
      </c>
      <c r="C4921" s="129" t="s">
        <v>9158</v>
      </c>
      <c r="D4921" s="127" t="s">
        <v>9159</v>
      </c>
      <c r="F4921" s="57">
        <v>2</v>
      </c>
      <c r="G4921" s="57" t="s">
        <v>9169</v>
      </c>
      <c r="H4921" s="57" t="s">
        <v>343</v>
      </c>
    </row>
    <row r="4922" spans="2:8" ht="13.5" customHeight="1">
      <c r="B4922" s="9" t="s">
        <v>8970</v>
      </c>
      <c r="C4922" s="9" t="s">
        <v>8971</v>
      </c>
      <c r="D4922" s="127" t="s">
        <v>1029</v>
      </c>
      <c r="F4922" s="57">
        <v>3</v>
      </c>
      <c r="G4922" s="57" t="s">
        <v>9169</v>
      </c>
      <c r="H4922" s="57" t="s">
        <v>343</v>
      </c>
    </row>
    <row r="4923" spans="2:8" ht="13.5" customHeight="1">
      <c r="B4923" s="9" t="s">
        <v>9062</v>
      </c>
      <c r="C4923" s="129" t="s">
        <v>9063</v>
      </c>
      <c r="D4923" s="127" t="s">
        <v>9064</v>
      </c>
      <c r="F4923" s="57">
        <v>3</v>
      </c>
      <c r="G4923" s="57" t="s">
        <v>9169</v>
      </c>
      <c r="H4923" s="57" t="s">
        <v>343</v>
      </c>
    </row>
    <row r="4924" spans="2:8" ht="13.5" customHeight="1">
      <c r="B4924" s="9" t="s">
        <v>9139</v>
      </c>
      <c r="C4924" s="9" t="s">
        <v>9140</v>
      </c>
      <c r="D4924" s="127" t="s">
        <v>6947</v>
      </c>
      <c r="F4924" s="57">
        <v>3</v>
      </c>
      <c r="G4924" s="57" t="s">
        <v>9169</v>
      </c>
      <c r="H4924" s="57" t="s">
        <v>343</v>
      </c>
    </row>
    <row r="4925" spans="2:8" ht="13.5" customHeight="1">
      <c r="B4925" s="9" t="s">
        <v>9034</v>
      </c>
      <c r="C4925" s="129" t="s">
        <v>9035</v>
      </c>
      <c r="D4925" s="127" t="s">
        <v>9036</v>
      </c>
      <c r="F4925" s="57">
        <v>4</v>
      </c>
      <c r="G4925" s="57" t="s">
        <v>9169</v>
      </c>
      <c r="H4925" s="57" t="s">
        <v>343</v>
      </c>
    </row>
    <row r="4926" spans="2:8" ht="13.5" customHeight="1">
      <c r="B4926" s="9" t="s">
        <v>9155</v>
      </c>
      <c r="C4926" s="129" t="s">
        <v>8974</v>
      </c>
      <c r="D4926" s="127" t="s">
        <v>9156</v>
      </c>
      <c r="F4926" s="57">
        <v>4</v>
      </c>
      <c r="G4926" s="57" t="s">
        <v>9169</v>
      </c>
      <c r="H4926" s="57" t="s">
        <v>343</v>
      </c>
    </row>
    <row r="4927" spans="2:8" ht="13.5" customHeight="1">
      <c r="B4927" s="9" t="s">
        <v>9011</v>
      </c>
      <c r="C4927" s="129" t="s">
        <v>9012</v>
      </c>
      <c r="D4927" s="127" t="s">
        <v>9013</v>
      </c>
      <c r="F4927" s="57">
        <v>5</v>
      </c>
      <c r="G4927" s="57" t="s">
        <v>9169</v>
      </c>
      <c r="H4927" s="57" t="s">
        <v>343</v>
      </c>
    </row>
    <row r="4928" spans="2:8" ht="13.5" customHeight="1">
      <c r="B4928" s="9" t="s">
        <v>9150</v>
      </c>
      <c r="C4928" s="9" t="s">
        <v>9151</v>
      </c>
      <c r="D4928" s="127" t="s">
        <v>3838</v>
      </c>
      <c r="F4928" s="57">
        <v>5</v>
      </c>
      <c r="G4928" s="57" t="s">
        <v>9169</v>
      </c>
      <c r="H4928" s="57" t="s">
        <v>343</v>
      </c>
    </row>
    <row r="4929" spans="2:8" ht="13.5" customHeight="1">
      <c r="B4929" s="9" t="s">
        <v>9026</v>
      </c>
      <c r="C4929" s="129" t="s">
        <v>9027</v>
      </c>
      <c r="D4929" s="127" t="s">
        <v>9028</v>
      </c>
      <c r="F4929" s="57">
        <v>7</v>
      </c>
      <c r="G4929" s="57" t="s">
        <v>9169</v>
      </c>
      <c r="H4929" s="57" t="s">
        <v>343</v>
      </c>
    </row>
    <row r="4930" spans="2:8" ht="13.5" customHeight="1">
      <c r="B4930" s="9" t="s">
        <v>9148</v>
      </c>
      <c r="C4930" s="129" t="s">
        <v>9027</v>
      </c>
      <c r="D4930" s="127" t="s">
        <v>9149</v>
      </c>
      <c r="F4930" s="57">
        <v>7</v>
      </c>
      <c r="G4930" s="57" t="s">
        <v>9169</v>
      </c>
      <c r="H4930" s="57" t="s">
        <v>343</v>
      </c>
    </row>
    <row r="4931" spans="2:8" ht="13.5" customHeight="1">
      <c r="B4931" s="9" t="s">
        <v>9155</v>
      </c>
      <c r="C4931" s="129" t="s">
        <v>8974</v>
      </c>
      <c r="D4931" s="127" t="s">
        <v>2527</v>
      </c>
      <c r="F4931" s="57">
        <v>7</v>
      </c>
      <c r="G4931" s="57" t="s">
        <v>9169</v>
      </c>
      <c r="H4931" s="57" t="s">
        <v>343</v>
      </c>
    </row>
    <row r="4932" spans="2:8" ht="13.5" customHeight="1">
      <c r="B4932" s="9" t="s">
        <v>8962</v>
      </c>
      <c r="C4932" s="9" t="s">
        <v>8963</v>
      </c>
      <c r="D4932" s="127" t="s">
        <v>8964</v>
      </c>
      <c r="F4932" s="57">
        <v>28</v>
      </c>
      <c r="G4932" s="57" t="s">
        <v>9169</v>
      </c>
      <c r="H4932" s="57" t="s">
        <v>343</v>
      </c>
    </row>
    <row r="4933" spans="2:8" ht="13.5" customHeight="1">
      <c r="B4933" s="9" t="s">
        <v>9117</v>
      </c>
      <c r="C4933" s="9" t="s">
        <v>9118</v>
      </c>
      <c r="D4933" s="127" t="s">
        <v>476</v>
      </c>
      <c r="F4933" s="57">
        <v>50</v>
      </c>
      <c r="G4933" s="57" t="s">
        <v>9169</v>
      </c>
      <c r="H4933" s="57" t="s">
        <v>343</v>
      </c>
    </row>
    <row r="4934" spans="2:8" ht="13.5" customHeight="1">
      <c r="B4934" s="9" t="s">
        <v>8952</v>
      </c>
      <c r="C4934" s="9" t="s">
        <v>8953</v>
      </c>
      <c r="D4934" s="127" t="s">
        <v>478</v>
      </c>
      <c r="F4934" s="57">
        <v>70</v>
      </c>
      <c r="G4934" s="57" t="s">
        <v>9169</v>
      </c>
      <c r="H4934" s="57" t="s">
        <v>343</v>
      </c>
    </row>
    <row r="4935" spans="2:8" ht="13.5" customHeight="1">
      <c r="B4935" s="9" t="s">
        <v>8954</v>
      </c>
      <c r="C4935" s="9" t="s">
        <v>8955</v>
      </c>
      <c r="D4935" s="127" t="s">
        <v>2847</v>
      </c>
      <c r="F4935" s="57">
        <v>158</v>
      </c>
      <c r="G4935" s="57" t="s">
        <v>9169</v>
      </c>
      <c r="H4935" s="57" t="s">
        <v>343</v>
      </c>
    </row>
    <row r="4936" spans="2:8" ht="13.5" customHeight="1">
      <c r="B4936" s="9" t="s">
        <v>9017</v>
      </c>
      <c r="C4936" s="129" t="s">
        <v>9018</v>
      </c>
      <c r="D4936" s="127" t="s">
        <v>9019</v>
      </c>
      <c r="F4936" s="57">
        <v>1</v>
      </c>
      <c r="G4936" s="57" t="s">
        <v>9169</v>
      </c>
      <c r="H4936" s="57" t="s">
        <v>344</v>
      </c>
    </row>
    <row r="4937" spans="2:8" ht="13.5" customHeight="1">
      <c r="B4937" s="9"/>
      <c r="C4937" s="129"/>
      <c r="D4937" s="127" t="s">
        <v>9172</v>
      </c>
      <c r="F4937" s="57">
        <v>1</v>
      </c>
      <c r="G4937" s="57" t="s">
        <v>9169</v>
      </c>
      <c r="H4937" s="57" t="s">
        <v>344</v>
      </c>
    </row>
    <row r="4938" spans="2:8" ht="13.5" customHeight="1">
      <c r="B4938" s="9" t="s">
        <v>9023</v>
      </c>
      <c r="C4938" s="129" t="s">
        <v>9024</v>
      </c>
      <c r="D4938" s="127" t="s">
        <v>9025</v>
      </c>
      <c r="F4938" s="57">
        <v>1</v>
      </c>
      <c r="G4938" s="57" t="s">
        <v>9169</v>
      </c>
      <c r="H4938" s="57" t="s">
        <v>344</v>
      </c>
    </row>
    <row r="4939" spans="2:8" ht="13.5" customHeight="1">
      <c r="B4939" s="9" t="s">
        <v>9072</v>
      </c>
      <c r="C4939" s="129" t="s">
        <v>9070</v>
      </c>
      <c r="D4939" s="127" t="s">
        <v>9073</v>
      </c>
      <c r="F4939" s="57">
        <v>1</v>
      </c>
      <c r="G4939" s="57" t="s">
        <v>9169</v>
      </c>
      <c r="H4939" s="57" t="s">
        <v>344</v>
      </c>
    </row>
    <row r="4940" spans="2:8" ht="13.5" customHeight="1">
      <c r="B4940" s="9" t="s">
        <v>9075</v>
      </c>
      <c r="C4940" s="129" t="s">
        <v>9070</v>
      </c>
      <c r="D4940" s="9" t="s">
        <v>9076</v>
      </c>
      <c r="F4940" s="57">
        <v>1</v>
      </c>
      <c r="G4940" s="57" t="s">
        <v>9169</v>
      </c>
      <c r="H4940" s="57" t="s">
        <v>344</v>
      </c>
    </row>
    <row r="4941" spans="2:8" ht="13.5" customHeight="1">
      <c r="B4941" s="9" t="s">
        <v>9077</v>
      </c>
      <c r="C4941" s="129" t="s">
        <v>9078</v>
      </c>
      <c r="D4941" s="127" t="s">
        <v>9079</v>
      </c>
      <c r="F4941" s="57">
        <v>1</v>
      </c>
      <c r="G4941" s="57" t="s">
        <v>9169</v>
      </c>
      <c r="H4941" s="57" t="s">
        <v>344</v>
      </c>
    </row>
    <row r="4942" spans="2:8" ht="13.5" customHeight="1">
      <c r="B4942" s="130" t="s">
        <v>9165</v>
      </c>
      <c r="C4942" s="130"/>
      <c r="D4942" s="127" t="s">
        <v>9166</v>
      </c>
      <c r="F4942" s="57">
        <v>1</v>
      </c>
      <c r="G4942" s="57" t="s">
        <v>9169</v>
      </c>
      <c r="H4942" s="57" t="s">
        <v>344</v>
      </c>
    </row>
    <row r="4943" spans="2:8" ht="13.5" customHeight="1">
      <c r="B4943" s="9" t="s">
        <v>8959</v>
      </c>
      <c r="C4943" s="129" t="s">
        <v>8960</v>
      </c>
      <c r="D4943" s="127" t="s">
        <v>8961</v>
      </c>
      <c r="F4943" s="57">
        <v>2</v>
      </c>
      <c r="G4943" s="57" t="s">
        <v>9169</v>
      </c>
      <c r="H4943" s="57" t="s">
        <v>344</v>
      </c>
    </row>
    <row r="4944" spans="2:8" ht="13.5" customHeight="1">
      <c r="B4944" s="9" t="s">
        <v>8982</v>
      </c>
      <c r="C4944" s="129" t="s">
        <v>8983</v>
      </c>
      <c r="D4944" s="127" t="s">
        <v>8984</v>
      </c>
      <c r="F4944" s="57">
        <v>2</v>
      </c>
      <c r="G4944" s="57" t="s">
        <v>9169</v>
      </c>
      <c r="H4944" s="57" t="s">
        <v>344</v>
      </c>
    </row>
    <row r="4945" spans="2:8" ht="13.5" customHeight="1">
      <c r="B4945" s="9" t="s">
        <v>8985</v>
      </c>
      <c r="C4945" s="129" t="s">
        <v>8986</v>
      </c>
      <c r="D4945" s="127" t="s">
        <v>8987</v>
      </c>
      <c r="F4945" s="57">
        <v>2</v>
      </c>
      <c r="G4945" s="57" t="s">
        <v>9169</v>
      </c>
      <c r="H4945" s="57" t="s">
        <v>344</v>
      </c>
    </row>
    <row r="4946" spans="2:8" ht="13.5" customHeight="1">
      <c r="B4946" s="9" t="s">
        <v>8988</v>
      </c>
      <c r="C4946" s="129" t="s">
        <v>8989</v>
      </c>
      <c r="D4946" s="127" t="s">
        <v>8990</v>
      </c>
      <c r="F4946" s="57">
        <v>2</v>
      </c>
      <c r="G4946" s="57" t="s">
        <v>9169</v>
      </c>
      <c r="H4946" s="57" t="s">
        <v>344</v>
      </c>
    </row>
    <row r="4947" spans="2:8" ht="13.5" customHeight="1">
      <c r="B4947" s="9" t="s">
        <v>9014</v>
      </c>
      <c r="C4947" s="129" t="s">
        <v>9015</v>
      </c>
      <c r="D4947" s="127" t="s">
        <v>9016</v>
      </c>
      <c r="F4947" s="57">
        <v>2</v>
      </c>
      <c r="G4947" s="57" t="s">
        <v>9169</v>
      </c>
      <c r="H4947" s="57" t="s">
        <v>344</v>
      </c>
    </row>
    <row r="4948" spans="2:8" ht="13.5" customHeight="1">
      <c r="B4948" s="9" t="s">
        <v>9056</v>
      </c>
      <c r="C4948" s="129" t="s">
        <v>9012</v>
      </c>
      <c r="D4948" s="127" t="s">
        <v>9057</v>
      </c>
      <c r="F4948" s="57">
        <v>2</v>
      </c>
      <c r="G4948" s="57" t="s">
        <v>9169</v>
      </c>
      <c r="H4948" s="57" t="s">
        <v>344</v>
      </c>
    </row>
    <row r="4949" spans="2:8" ht="13.5" customHeight="1">
      <c r="B4949" s="9" t="s">
        <v>9058</v>
      </c>
      <c r="C4949" s="129" t="s">
        <v>8716</v>
      </c>
      <c r="D4949" s="127" t="s">
        <v>9059</v>
      </c>
      <c r="F4949" s="57">
        <v>2</v>
      </c>
      <c r="G4949" s="57" t="s">
        <v>9169</v>
      </c>
      <c r="H4949" s="57" t="s">
        <v>344</v>
      </c>
    </row>
    <row r="4950" spans="2:8" ht="13.5" customHeight="1">
      <c r="B4950" s="9" t="s">
        <v>9098</v>
      </c>
      <c r="C4950" s="129" t="s">
        <v>9099</v>
      </c>
      <c r="D4950" s="127" t="s">
        <v>9100</v>
      </c>
      <c r="F4950" s="57">
        <v>2</v>
      </c>
      <c r="G4950" s="57" t="s">
        <v>9169</v>
      </c>
      <c r="H4950" s="57" t="s">
        <v>344</v>
      </c>
    </row>
    <row r="4951" spans="2:8" ht="13.5" customHeight="1">
      <c r="B4951" s="9" t="s">
        <v>8956</v>
      </c>
      <c r="C4951" s="9" t="s">
        <v>8957</v>
      </c>
      <c r="D4951" s="127" t="s">
        <v>2737</v>
      </c>
      <c r="F4951" s="57">
        <v>3</v>
      </c>
      <c r="G4951" s="57" t="s">
        <v>9169</v>
      </c>
      <c r="H4951" s="57" t="s">
        <v>344</v>
      </c>
    </row>
    <row r="4952" spans="2:8" ht="13.5" customHeight="1">
      <c r="B4952" s="9" t="s">
        <v>8972</v>
      </c>
      <c r="C4952" s="9" t="s">
        <v>8331</v>
      </c>
      <c r="D4952" s="127" t="s">
        <v>2472</v>
      </c>
      <c r="F4952" s="57">
        <v>3</v>
      </c>
      <c r="G4952" s="57" t="s">
        <v>9169</v>
      </c>
      <c r="H4952" s="57" t="s">
        <v>344</v>
      </c>
    </row>
    <row r="4953" spans="2:8" ht="13.5" customHeight="1">
      <c r="B4953" s="133" t="s">
        <v>9020</v>
      </c>
      <c r="C4953" s="9" t="s">
        <v>9021</v>
      </c>
      <c r="D4953" s="134" t="s">
        <v>9022</v>
      </c>
      <c r="F4953" s="57">
        <v>3</v>
      </c>
      <c r="G4953" s="57" t="s">
        <v>9169</v>
      </c>
      <c r="H4953" s="57" t="s">
        <v>344</v>
      </c>
    </row>
    <row r="4954" spans="2:8" ht="13.5" customHeight="1">
      <c r="B4954" t="s">
        <v>3325</v>
      </c>
      <c r="C4954" s="131" t="s">
        <v>9101</v>
      </c>
      <c r="D4954" s="162" t="s">
        <v>9102</v>
      </c>
      <c r="F4954" s="57">
        <v>3</v>
      </c>
      <c r="G4954" s="57" t="s">
        <v>9169</v>
      </c>
      <c r="H4954" s="57" t="s">
        <v>344</v>
      </c>
    </row>
    <row r="4955" spans="2:8" ht="13.5" customHeight="1">
      <c r="B4955" s="137" t="s">
        <v>9093</v>
      </c>
      <c r="C4955" s="9" t="s">
        <v>9094</v>
      </c>
      <c r="D4955" s="138" t="s">
        <v>7120</v>
      </c>
      <c r="F4955" s="57">
        <v>4</v>
      </c>
      <c r="G4955" s="57" t="s">
        <v>9169</v>
      </c>
      <c r="H4955" s="57" t="s">
        <v>344</v>
      </c>
    </row>
    <row r="4956" spans="2:8" ht="13.5" customHeight="1">
      <c r="B4956" s="9" t="s">
        <v>9095</v>
      </c>
      <c r="C4956" s="129" t="s">
        <v>9096</v>
      </c>
      <c r="D4956" s="127" t="s">
        <v>9097</v>
      </c>
      <c r="F4956" s="57">
        <v>4</v>
      </c>
      <c r="G4956" s="57" t="s">
        <v>9169</v>
      </c>
      <c r="H4956" s="57" t="s">
        <v>344</v>
      </c>
    </row>
    <row r="4957" spans="2:8" ht="13.5" customHeight="1">
      <c r="B4957" s="9" t="s">
        <v>9060</v>
      </c>
      <c r="C4957" s="9" t="s">
        <v>8338</v>
      </c>
      <c r="D4957" s="127" t="s">
        <v>9061</v>
      </c>
      <c r="F4957" s="57">
        <v>5</v>
      </c>
      <c r="G4957" s="57" t="s">
        <v>9169</v>
      </c>
      <c r="H4957" s="57" t="s">
        <v>344</v>
      </c>
    </row>
    <row r="4958" spans="2:8" ht="13.5" customHeight="1">
      <c r="B4958" s="9" t="s">
        <v>9067</v>
      </c>
      <c r="C4958" s="129" t="s">
        <v>8969</v>
      </c>
      <c r="D4958" s="9" t="s">
        <v>9068</v>
      </c>
      <c r="F4958" s="57">
        <v>5</v>
      </c>
      <c r="G4958" s="57" t="s">
        <v>9169</v>
      </c>
      <c r="H4958" s="57" t="s">
        <v>344</v>
      </c>
    </row>
    <row r="4959" spans="2:8" ht="13.5" customHeight="1">
      <c r="B4959" s="9" t="s">
        <v>8968</v>
      </c>
      <c r="C4959" s="9" t="s">
        <v>8969</v>
      </c>
      <c r="D4959" s="127" t="s">
        <v>6382</v>
      </c>
      <c r="F4959" s="57">
        <v>6</v>
      </c>
      <c r="G4959" s="57" t="s">
        <v>9169</v>
      </c>
      <c r="H4959" s="57" t="s">
        <v>344</v>
      </c>
    </row>
    <row r="4960" spans="2:8" ht="13.5" customHeight="1">
      <c r="B4960" s="9" t="s">
        <v>9042</v>
      </c>
      <c r="C4960" s="129" t="s">
        <v>8969</v>
      </c>
      <c r="D4960" s="127" t="s">
        <v>1322</v>
      </c>
      <c r="F4960" s="57">
        <v>7</v>
      </c>
      <c r="G4960" s="57" t="s">
        <v>9169</v>
      </c>
      <c r="H4960" s="57" t="s">
        <v>344</v>
      </c>
    </row>
    <row r="4961" spans="2:8" ht="13.5" customHeight="1">
      <c r="B4961" s="9" t="s">
        <v>9051</v>
      </c>
      <c r="C4961" s="129" t="s">
        <v>9052</v>
      </c>
      <c r="D4961" s="127" t="s">
        <v>9053</v>
      </c>
      <c r="F4961" s="57">
        <v>7</v>
      </c>
      <c r="G4961" s="57" t="s">
        <v>9169</v>
      </c>
      <c r="H4961" s="57" t="s">
        <v>344</v>
      </c>
    </row>
    <row r="4962" spans="2:8" ht="13.5" customHeight="1">
      <c r="B4962" s="9" t="s">
        <v>9029</v>
      </c>
      <c r="C4962" s="129" t="s">
        <v>8347</v>
      </c>
      <c r="D4962" s="127" t="s">
        <v>9030</v>
      </c>
      <c r="F4962" s="57">
        <v>10</v>
      </c>
      <c r="G4962" s="57" t="s">
        <v>9169</v>
      </c>
      <c r="H4962" s="57" t="s">
        <v>344</v>
      </c>
    </row>
    <row r="4963" spans="2:8" ht="13.5" customHeight="1">
      <c r="B4963" s="9" t="s">
        <v>9054</v>
      </c>
      <c r="C4963" s="9" t="s">
        <v>9055</v>
      </c>
      <c r="D4963" s="127" t="s">
        <v>8140</v>
      </c>
      <c r="F4963" s="57">
        <v>10</v>
      </c>
      <c r="G4963" s="57" t="s">
        <v>9169</v>
      </c>
      <c r="H4963" s="57" t="s">
        <v>344</v>
      </c>
    </row>
    <row r="4964" spans="2:8" ht="13.5" customHeight="1">
      <c r="B4964" s="9" t="s">
        <v>9080</v>
      </c>
      <c r="C4964" s="129" t="s">
        <v>9070</v>
      </c>
      <c r="D4964" s="127" t="s">
        <v>9081</v>
      </c>
      <c r="F4964" s="57">
        <v>10</v>
      </c>
      <c r="G4964" s="57" t="s">
        <v>9169</v>
      </c>
      <c r="H4964" s="57" t="s">
        <v>344</v>
      </c>
    </row>
    <row r="4965" spans="2:8" ht="13.5" customHeight="1">
      <c r="B4965" s="9" t="s">
        <v>9091</v>
      </c>
      <c r="C4965" s="129" t="s">
        <v>8379</v>
      </c>
      <c r="D4965" s="127" t="s">
        <v>9092</v>
      </c>
      <c r="F4965" s="57">
        <v>10</v>
      </c>
      <c r="G4965" s="57" t="s">
        <v>9169</v>
      </c>
      <c r="H4965" s="57" t="s">
        <v>344</v>
      </c>
    </row>
    <row r="4966" spans="2:8" ht="13.5" customHeight="1">
      <c r="B4966" s="9" t="s">
        <v>9085</v>
      </c>
      <c r="C4966" s="129" t="s">
        <v>9070</v>
      </c>
      <c r="D4966" s="127" t="s">
        <v>9086</v>
      </c>
      <c r="F4966" s="57">
        <v>11</v>
      </c>
      <c r="G4966" s="57" t="s">
        <v>9169</v>
      </c>
      <c r="H4966" s="57" t="s">
        <v>344</v>
      </c>
    </row>
    <row r="4967" spans="2:8" ht="13.5" customHeight="1">
      <c r="B4967" s="9" t="s">
        <v>3798</v>
      </c>
      <c r="C4967" s="129" t="s">
        <v>8339</v>
      </c>
      <c r="D4967" s="127" t="s">
        <v>8965</v>
      </c>
      <c r="F4967" s="57">
        <v>12</v>
      </c>
      <c r="G4967" s="57" t="s">
        <v>9169</v>
      </c>
      <c r="H4967" s="57" t="s">
        <v>344</v>
      </c>
    </row>
    <row r="4968" spans="2:8" ht="13.5" customHeight="1">
      <c r="B4968" s="9" t="s">
        <v>3191</v>
      </c>
      <c r="C4968" s="129" t="s">
        <v>9037</v>
      </c>
      <c r="D4968" s="127" t="s">
        <v>9038</v>
      </c>
      <c r="F4968" s="57">
        <v>14</v>
      </c>
      <c r="G4968" s="57" t="s">
        <v>9169</v>
      </c>
      <c r="H4968" s="57" t="s">
        <v>344</v>
      </c>
    </row>
    <row r="4969" spans="2:8" ht="13.5" customHeight="1">
      <c r="B4969" s="127" t="s">
        <v>3052</v>
      </c>
      <c r="C4969" s="9" t="s">
        <v>8957</v>
      </c>
      <c r="D4969" s="128" t="s">
        <v>8958</v>
      </c>
      <c r="F4969" s="57">
        <v>15</v>
      </c>
      <c r="G4969" s="57" t="s">
        <v>9169</v>
      </c>
      <c r="H4969" s="57" t="s">
        <v>344</v>
      </c>
    </row>
    <row r="4970" spans="2:8" ht="13.5" customHeight="1">
      <c r="B4970" s="9" t="s">
        <v>8993</v>
      </c>
      <c r="C4970" s="129" t="s">
        <v>8992</v>
      </c>
      <c r="D4970" s="127" t="s">
        <v>8994</v>
      </c>
      <c r="F4970" s="57">
        <v>17</v>
      </c>
      <c r="G4970" s="57" t="s">
        <v>9169</v>
      </c>
      <c r="H4970" s="57" t="s">
        <v>344</v>
      </c>
    </row>
    <row r="4971" spans="2:8" ht="13.5" customHeight="1">
      <c r="B4971" s="9" t="s">
        <v>9048</v>
      </c>
      <c r="C4971" s="129" t="s">
        <v>9049</v>
      </c>
      <c r="D4971" s="127" t="s">
        <v>9050</v>
      </c>
      <c r="F4971" s="57">
        <v>17</v>
      </c>
      <c r="G4971" s="57" t="s">
        <v>9169</v>
      </c>
      <c r="H4971" s="57" t="s">
        <v>344</v>
      </c>
    </row>
    <row r="4972" spans="2:8" ht="13.5" customHeight="1">
      <c r="B4972" s="9" t="s">
        <v>9087</v>
      </c>
      <c r="C4972" s="129" t="s">
        <v>9088</v>
      </c>
      <c r="D4972" s="127" t="s">
        <v>9089</v>
      </c>
      <c r="F4972" s="57">
        <v>17</v>
      </c>
      <c r="G4972" s="57" t="s">
        <v>9169</v>
      </c>
      <c r="H4972" s="57" t="s">
        <v>344</v>
      </c>
    </row>
    <row r="4973" spans="2:8" ht="13.5" customHeight="1">
      <c r="B4973" s="9" t="s">
        <v>8991</v>
      </c>
      <c r="C4973" s="9" t="s">
        <v>8992</v>
      </c>
      <c r="D4973" s="127" t="s">
        <v>835</v>
      </c>
      <c r="F4973" s="57">
        <v>20</v>
      </c>
      <c r="G4973" s="57" t="s">
        <v>9169</v>
      </c>
      <c r="H4973" s="57" t="s">
        <v>344</v>
      </c>
    </row>
    <row r="4974" spans="2:8" ht="13.5" customHeight="1">
      <c r="B4974" s="9" t="s">
        <v>9046</v>
      </c>
      <c r="C4974" s="129" t="s">
        <v>9044</v>
      </c>
      <c r="D4974" s="127" t="s">
        <v>9047</v>
      </c>
      <c r="F4974" s="57">
        <v>37</v>
      </c>
      <c r="G4974" s="57" t="s">
        <v>9169</v>
      </c>
      <c r="H4974" s="57" t="s">
        <v>344</v>
      </c>
    </row>
    <row r="4975" spans="2:8" ht="13.5" customHeight="1">
      <c r="B4975" s="9" t="s">
        <v>8996</v>
      </c>
      <c r="C4975" s="129" t="s">
        <v>8331</v>
      </c>
      <c r="D4975" s="127" t="s">
        <v>8997</v>
      </c>
      <c r="F4975" s="57">
        <v>41</v>
      </c>
      <c r="G4975" s="57" t="s">
        <v>9169</v>
      </c>
      <c r="H4975" s="57" t="s">
        <v>344</v>
      </c>
    </row>
    <row r="4976" spans="2:8" ht="13.5" customHeight="1">
      <c r="B4976" s="9" t="s">
        <v>9006</v>
      </c>
      <c r="C4976" s="129" t="s">
        <v>8331</v>
      </c>
      <c r="D4976" s="127" t="s">
        <v>9007</v>
      </c>
      <c r="F4976" s="57">
        <v>48</v>
      </c>
      <c r="G4976" s="57" t="s">
        <v>9169</v>
      </c>
      <c r="H4976" s="57" t="s">
        <v>344</v>
      </c>
    </row>
    <row r="4977" spans="2:8" ht="13.5" customHeight="1">
      <c r="B4977" s="9" t="s">
        <v>9083</v>
      </c>
      <c r="C4977" s="129" t="s">
        <v>9070</v>
      </c>
      <c r="D4977" s="127" t="s">
        <v>9084</v>
      </c>
      <c r="F4977" s="57">
        <v>71</v>
      </c>
      <c r="G4977" s="57" t="s">
        <v>9169</v>
      </c>
      <c r="H4977" s="57" t="s">
        <v>344</v>
      </c>
    </row>
    <row r="4978" spans="2:8" ht="13.5" customHeight="1">
      <c r="B4978" s="9" t="s">
        <v>9069</v>
      </c>
      <c r="C4978" s="129" t="s">
        <v>9070</v>
      </c>
      <c r="D4978" s="127" t="s">
        <v>9071</v>
      </c>
      <c r="F4978" s="57">
        <v>80</v>
      </c>
      <c r="G4978" s="57" t="s">
        <v>9169</v>
      </c>
      <c r="H4978" s="57" t="s">
        <v>344</v>
      </c>
    </row>
    <row r="4979" spans="2:8" ht="13.5" customHeight="1">
      <c r="B4979" s="9" t="s">
        <v>9043</v>
      </c>
      <c r="C4979" s="129" t="s">
        <v>9044</v>
      </c>
      <c r="D4979" s="127" t="s">
        <v>9045</v>
      </c>
      <c r="F4979" s="57">
        <v>82</v>
      </c>
      <c r="G4979" s="57" t="s">
        <v>9169</v>
      </c>
      <c r="H4979" s="57" t="s">
        <v>344</v>
      </c>
    </row>
    <row r="4980" spans="2:8" ht="13.5" customHeight="1">
      <c r="B4980" s="9" t="s">
        <v>8999</v>
      </c>
      <c r="C4980" s="129" t="s">
        <v>8331</v>
      </c>
      <c r="D4980" s="127" t="s">
        <v>9000</v>
      </c>
      <c r="F4980" s="57">
        <v>92</v>
      </c>
      <c r="G4980" s="57" t="s">
        <v>9169</v>
      </c>
      <c r="H4980" s="57" t="s">
        <v>344</v>
      </c>
    </row>
    <row r="4981" spans="2:8" ht="13.5" customHeight="1">
      <c r="B4981" s="9" t="s">
        <v>9039</v>
      </c>
      <c r="C4981" s="9" t="s">
        <v>9040</v>
      </c>
      <c r="D4981" s="127" t="s">
        <v>9041</v>
      </c>
      <c r="F4981" s="57">
        <v>94</v>
      </c>
      <c r="G4981" s="57" t="s">
        <v>9169</v>
      </c>
      <c r="H4981" s="57" t="s">
        <v>344</v>
      </c>
    </row>
    <row r="4982" spans="2:8" ht="13.5" customHeight="1">
      <c r="B4982" s="9" t="s">
        <v>8966</v>
      </c>
      <c r="C4982" s="129" t="s">
        <v>8339</v>
      </c>
      <c r="D4982" s="127" t="s">
        <v>8967</v>
      </c>
      <c r="F4982" s="57">
        <v>97</v>
      </c>
      <c r="G4982" s="57" t="s">
        <v>9169</v>
      </c>
      <c r="H4982" s="57" t="s">
        <v>344</v>
      </c>
    </row>
    <row r="4983" spans="2:8" ht="13.5" customHeight="1">
      <c r="B4983" s="9" t="s">
        <v>9001</v>
      </c>
      <c r="C4983" s="129" t="s">
        <v>8331</v>
      </c>
      <c r="D4983" s="127" t="s">
        <v>9002</v>
      </c>
      <c r="F4983" s="57">
        <v>97</v>
      </c>
      <c r="G4983" s="57" t="s">
        <v>9169</v>
      </c>
      <c r="H4983" s="57" t="s">
        <v>344</v>
      </c>
    </row>
    <row r="4984" spans="2:8" ht="13.5" customHeight="1">
      <c r="B4984" s="9" t="s">
        <v>9009</v>
      </c>
      <c r="C4984" s="129" t="s">
        <v>8331</v>
      </c>
      <c r="D4984" s="127" t="s">
        <v>9010</v>
      </c>
      <c r="F4984" s="57">
        <v>97</v>
      </c>
      <c r="G4984" s="57" t="s">
        <v>9169</v>
      </c>
      <c r="H4984" s="57" t="s">
        <v>344</v>
      </c>
    </row>
    <row r="4985" spans="2:8" ht="13.5" customHeight="1">
      <c r="B4985" s="9" t="s">
        <v>9003</v>
      </c>
      <c r="C4985" s="129" t="s">
        <v>8331</v>
      </c>
      <c r="D4985" s="127" t="s">
        <v>8037</v>
      </c>
      <c r="F4985" s="57">
        <v>98</v>
      </c>
      <c r="G4985" s="57" t="s">
        <v>9169</v>
      </c>
      <c r="H4985" s="57" t="s">
        <v>344</v>
      </c>
    </row>
    <row r="4986" spans="2:8" ht="13.5" customHeight="1">
      <c r="B4986" s="133" t="s">
        <v>3493</v>
      </c>
      <c r="C4986" s="9" t="s">
        <v>9040</v>
      </c>
      <c r="D4986" s="134" t="s">
        <v>5285</v>
      </c>
      <c r="F4986" s="57">
        <v>98</v>
      </c>
      <c r="G4986" s="57" t="s">
        <v>9169</v>
      </c>
      <c r="H4986" s="57" t="s">
        <v>344</v>
      </c>
    </row>
    <row r="4987" spans="2:8" ht="13.5" customHeight="1">
      <c r="B4987" t="s">
        <v>9005</v>
      </c>
      <c r="C4987" s="131" t="s">
        <v>8331</v>
      </c>
      <c r="D4987" s="162" t="s">
        <v>6184</v>
      </c>
      <c r="F4987" s="57">
        <v>100</v>
      </c>
      <c r="G4987" s="57" t="s">
        <v>9169</v>
      </c>
      <c r="H4987" s="57" t="s">
        <v>344</v>
      </c>
    </row>
    <row r="4988" spans="2:8" ht="13.5" customHeight="1">
      <c r="B4988" s="137" t="s">
        <v>9004</v>
      </c>
      <c r="C4988" s="9" t="s">
        <v>8331</v>
      </c>
      <c r="D4988" s="138" t="s">
        <v>4647</v>
      </c>
      <c r="F4988" s="57">
        <v>104</v>
      </c>
      <c r="G4988" s="57" t="s">
        <v>9169</v>
      </c>
      <c r="H4988" s="57" t="s">
        <v>344</v>
      </c>
    </row>
    <row r="4989" spans="2:8" ht="13.5" customHeight="1">
      <c r="B4989" s="9" t="s">
        <v>9082</v>
      </c>
      <c r="C4989" s="9" t="s">
        <v>9070</v>
      </c>
      <c r="D4989" s="127" t="s">
        <v>716</v>
      </c>
      <c r="F4989" s="57">
        <v>104</v>
      </c>
      <c r="G4989" s="57" t="s">
        <v>9169</v>
      </c>
      <c r="H4989" s="57" t="s">
        <v>344</v>
      </c>
    </row>
    <row r="4990" spans="2:8" ht="13.5" customHeight="1">
      <c r="B4990" s="9" t="s">
        <v>8995</v>
      </c>
      <c r="C4990" s="9" t="s">
        <v>8331</v>
      </c>
      <c r="D4990" s="127" t="s">
        <v>2051</v>
      </c>
      <c r="F4990" s="57">
        <v>105</v>
      </c>
      <c r="G4990" s="57" t="s">
        <v>9169</v>
      </c>
      <c r="H4990" s="57" t="s">
        <v>344</v>
      </c>
    </row>
    <row r="4991" spans="2:8" ht="13.5" customHeight="1">
      <c r="B4991" s="9" t="s">
        <v>8998</v>
      </c>
      <c r="C4991" s="9" t="s">
        <v>8331</v>
      </c>
      <c r="D4991" s="127" t="s">
        <v>2059</v>
      </c>
      <c r="F4991" s="57">
        <v>108</v>
      </c>
      <c r="G4991" s="57" t="s">
        <v>9169</v>
      </c>
      <c r="H4991" s="57" t="s">
        <v>344</v>
      </c>
    </row>
    <row r="4992" spans="2:8" ht="13.5" customHeight="1">
      <c r="B4992" s="9" t="s">
        <v>9008</v>
      </c>
      <c r="C4992" s="9" t="s">
        <v>8331</v>
      </c>
      <c r="D4992" s="127" t="s">
        <v>2765</v>
      </c>
      <c r="F4992" s="57">
        <v>108</v>
      </c>
      <c r="G4992" s="57" t="s">
        <v>9169</v>
      </c>
      <c r="H4992" s="57" t="s">
        <v>344</v>
      </c>
    </row>
    <row r="4993" spans="2:8" ht="13.5" customHeight="1">
      <c r="B4993" s="9" t="s">
        <v>9074</v>
      </c>
      <c r="C4993" s="9" t="s">
        <v>9070</v>
      </c>
      <c r="D4993" s="127" t="s">
        <v>2269</v>
      </c>
      <c r="F4993" s="57">
        <v>119</v>
      </c>
      <c r="G4993" s="57" t="s">
        <v>9169</v>
      </c>
      <c r="H4993" s="57" t="s">
        <v>344</v>
      </c>
    </row>
    <row r="4994" spans="2:8" ht="13.5" customHeight="1">
      <c r="B4994" s="9" t="s">
        <v>4842</v>
      </c>
      <c r="C4994" s="9" t="s">
        <v>9040</v>
      </c>
      <c r="D4994" s="127" t="s">
        <v>268</v>
      </c>
      <c r="F4994" s="57">
        <v>150</v>
      </c>
      <c r="G4994" s="57" t="s">
        <v>9169</v>
      </c>
      <c r="H4994" s="57" t="s">
        <v>344</v>
      </c>
    </row>
    <row r="4995" spans="2:8" ht="13.5" customHeight="1">
      <c r="B4995" s="9" t="s">
        <v>9113</v>
      </c>
      <c r="C4995" s="129" t="s">
        <v>8955</v>
      </c>
      <c r="D4995" s="127" t="s">
        <v>9114</v>
      </c>
      <c r="F4995" s="57">
        <v>1</v>
      </c>
      <c r="G4995" s="57" t="s">
        <v>9169</v>
      </c>
      <c r="H4995" s="57" t="s">
        <v>345</v>
      </c>
    </row>
    <row r="4996" spans="2:8" ht="13.5" customHeight="1">
      <c r="B4996" s="9" t="s">
        <v>5646</v>
      </c>
      <c r="C4996" s="129" t="s">
        <v>9147</v>
      </c>
      <c r="D4996" s="127" t="s">
        <v>5647</v>
      </c>
      <c r="F4996" s="57">
        <v>1</v>
      </c>
      <c r="G4996" s="57" t="s">
        <v>9169</v>
      </c>
      <c r="H4996" s="57" t="s">
        <v>345</v>
      </c>
    </row>
    <row r="4997" spans="2:8" ht="13.5" customHeight="1">
      <c r="B4997" s="9" t="s">
        <v>9160</v>
      </c>
      <c r="C4997" s="129" t="s">
        <v>9161</v>
      </c>
      <c r="D4997" s="127" t="s">
        <v>9162</v>
      </c>
      <c r="F4997" s="57">
        <v>1</v>
      </c>
      <c r="G4997" s="57" t="s">
        <v>9169</v>
      </c>
      <c r="H4997" s="57" t="s">
        <v>345</v>
      </c>
    </row>
    <row r="4998" spans="2:8" ht="13.5" customHeight="1">
      <c r="B4998" s="130" t="s">
        <v>9167</v>
      </c>
      <c r="C4998" s="130"/>
      <c r="D4998" s="127" t="s">
        <v>9168</v>
      </c>
      <c r="F4998" s="57">
        <v>1</v>
      </c>
      <c r="G4998" s="57" t="s">
        <v>9169</v>
      </c>
      <c r="H4998" s="57" t="s">
        <v>345</v>
      </c>
    </row>
    <row r="4999" spans="2:8" ht="13.5" customHeight="1">
      <c r="B4999" s="9" t="s">
        <v>7793</v>
      </c>
      <c r="C4999" s="129" t="s">
        <v>9035</v>
      </c>
      <c r="D4999" s="127" t="s">
        <v>9106</v>
      </c>
      <c r="F4999" s="57">
        <v>2</v>
      </c>
      <c r="G4999" s="57" t="s">
        <v>9169</v>
      </c>
      <c r="H4999" s="57" t="s">
        <v>345</v>
      </c>
    </row>
    <row r="5000" spans="2:8" ht="13.5" customHeight="1">
      <c r="B5000" s="9" t="s">
        <v>9119</v>
      </c>
      <c r="C5000" s="129" t="s">
        <v>9096</v>
      </c>
      <c r="D5000" s="127" t="s">
        <v>9120</v>
      </c>
      <c r="F5000" s="57">
        <v>2</v>
      </c>
      <c r="G5000" s="57" t="s">
        <v>9169</v>
      </c>
      <c r="H5000" s="57" t="s">
        <v>345</v>
      </c>
    </row>
    <row r="5001" spans="2:8" ht="13.5" customHeight="1">
      <c r="B5001" s="9" t="s">
        <v>9124</v>
      </c>
      <c r="C5001" s="129" t="s">
        <v>9125</v>
      </c>
      <c r="D5001" s="127" t="s">
        <v>9126</v>
      </c>
      <c r="F5001" s="57">
        <v>2</v>
      </c>
      <c r="G5001" s="57" t="s">
        <v>9169</v>
      </c>
      <c r="H5001" s="57" t="s">
        <v>345</v>
      </c>
    </row>
    <row r="5002" spans="2:8" ht="13.5" customHeight="1">
      <c r="B5002" s="9" t="s">
        <v>9145</v>
      </c>
      <c r="C5002" s="129" t="s">
        <v>9096</v>
      </c>
      <c r="D5002" s="127" t="s">
        <v>9146</v>
      </c>
      <c r="F5002" s="57">
        <v>2</v>
      </c>
      <c r="G5002" s="57" t="s">
        <v>9169</v>
      </c>
      <c r="H5002" s="57" t="s">
        <v>345</v>
      </c>
    </row>
    <row r="5003" spans="2:8" ht="13.5" customHeight="1">
      <c r="B5003" s="9" t="s">
        <v>9109</v>
      </c>
      <c r="C5003" s="129" t="s">
        <v>9035</v>
      </c>
      <c r="D5003" s="127" t="s">
        <v>9110</v>
      </c>
      <c r="F5003" s="57">
        <v>4</v>
      </c>
      <c r="G5003" s="57" t="s">
        <v>9169</v>
      </c>
      <c r="H5003" s="57" t="s">
        <v>345</v>
      </c>
    </row>
    <row r="5004" spans="2:8" ht="13.5" customHeight="1">
      <c r="B5004" s="9" t="s">
        <v>9144</v>
      </c>
      <c r="C5004" s="129" t="s">
        <v>8379</v>
      </c>
      <c r="D5004" s="127" t="s">
        <v>2146</v>
      </c>
      <c r="F5004" s="57">
        <v>4</v>
      </c>
      <c r="G5004" s="57" t="s">
        <v>9169</v>
      </c>
      <c r="H5004" s="57" t="s">
        <v>345</v>
      </c>
    </row>
    <row r="5005" spans="2:8" ht="13.5" customHeight="1">
      <c r="B5005" s="9" t="s">
        <v>9134</v>
      </c>
      <c r="C5005" s="129" t="s">
        <v>9135</v>
      </c>
      <c r="D5005" s="127" t="s">
        <v>9136</v>
      </c>
      <c r="F5005" s="57">
        <v>6</v>
      </c>
      <c r="G5005" s="57" t="s">
        <v>9169</v>
      </c>
      <c r="H5005" s="57" t="s">
        <v>345</v>
      </c>
    </row>
    <row r="5006" spans="2:8" ht="13.5" customHeight="1">
      <c r="B5006" s="9" t="s">
        <v>6101</v>
      </c>
      <c r="C5006" s="9" t="s">
        <v>8339</v>
      </c>
      <c r="D5006" s="127" t="s">
        <v>9104</v>
      </c>
      <c r="F5006" s="57">
        <v>10</v>
      </c>
      <c r="G5006" s="57" t="s">
        <v>9169</v>
      </c>
      <c r="H5006" s="57" t="s">
        <v>345</v>
      </c>
    </row>
    <row r="5007" spans="2:8" ht="13.5" customHeight="1">
      <c r="B5007" s="9" t="s">
        <v>9107</v>
      </c>
      <c r="C5007" s="9" t="s">
        <v>8339</v>
      </c>
      <c r="D5007" s="127" t="s">
        <v>9108</v>
      </c>
      <c r="F5007" s="57">
        <v>10</v>
      </c>
      <c r="G5007" s="57" t="s">
        <v>9169</v>
      </c>
      <c r="H5007" s="57" t="s">
        <v>345</v>
      </c>
    </row>
    <row r="5008" spans="2:8" ht="13.5" customHeight="1">
      <c r="B5008" s="9" t="s">
        <v>9132</v>
      </c>
      <c r="C5008" s="9" t="s">
        <v>9133</v>
      </c>
      <c r="D5008" s="127" t="s">
        <v>5120</v>
      </c>
      <c r="F5008" s="57">
        <v>10</v>
      </c>
      <c r="G5008" s="57" t="s">
        <v>9169</v>
      </c>
      <c r="H5008" s="57" t="s">
        <v>345</v>
      </c>
    </row>
    <row r="5009" spans="2:8" ht="13.5" customHeight="1">
      <c r="B5009" t="s">
        <v>9127</v>
      </c>
      <c r="C5009" s="173" t="s">
        <v>9128</v>
      </c>
      <c r="D5009" s="162" t="s">
        <v>9129</v>
      </c>
      <c r="F5009" s="57">
        <v>12</v>
      </c>
      <c r="G5009" s="57" t="s">
        <v>9169</v>
      </c>
      <c r="H5009" s="57" t="s">
        <v>345</v>
      </c>
    </row>
    <row r="5010" spans="2:8" ht="13.5" customHeight="1">
      <c r="B5010" t="s">
        <v>9130</v>
      </c>
      <c r="C5010" s="173" t="s">
        <v>9128</v>
      </c>
      <c r="D5010" s="162" t="s">
        <v>9131</v>
      </c>
      <c r="F5010" s="57">
        <v>18</v>
      </c>
      <c r="G5010" s="57" t="s">
        <v>9169</v>
      </c>
      <c r="H5010" s="57" t="s">
        <v>345</v>
      </c>
    </row>
    <row r="5011" spans="2:8" ht="13.5" customHeight="1">
      <c r="B5011" t="s">
        <v>9141</v>
      </c>
      <c r="C5011" s="173" t="s">
        <v>9142</v>
      </c>
      <c r="D5011" s="162" t="s">
        <v>9143</v>
      </c>
      <c r="F5011" s="57">
        <v>18</v>
      </c>
      <c r="G5011" s="57" t="s">
        <v>9169</v>
      </c>
      <c r="H5011" s="57" t="s">
        <v>345</v>
      </c>
    </row>
    <row r="5012" spans="2:8" ht="13.5" customHeight="1">
      <c r="B5012" t="s">
        <v>9115</v>
      </c>
      <c r="C5012" s="173" t="s">
        <v>9040</v>
      </c>
      <c r="D5012" s="162" t="s">
        <v>9116</v>
      </c>
      <c r="F5012" s="57">
        <v>19</v>
      </c>
      <c r="G5012" s="57" t="s">
        <v>9169</v>
      </c>
      <c r="H5012" s="57" t="s">
        <v>345</v>
      </c>
    </row>
    <row r="5013" spans="2:8" ht="13.5" customHeight="1">
      <c r="B5013" t="s">
        <v>9111</v>
      </c>
      <c r="C5013" s="173" t="s">
        <v>9040</v>
      </c>
      <c r="D5013" s="162" t="s">
        <v>9112</v>
      </c>
      <c r="F5013" s="57">
        <v>47</v>
      </c>
      <c r="G5013" s="57" t="s">
        <v>9169</v>
      </c>
      <c r="H5013" s="57" t="s">
        <v>345</v>
      </c>
    </row>
    <row r="5014" spans="2:8" ht="13.5" customHeight="1">
      <c r="B5014" t="s">
        <v>376</v>
      </c>
      <c r="C5014" t="s">
        <v>9040</v>
      </c>
      <c r="D5014" s="162" t="s">
        <v>8059</v>
      </c>
      <c r="F5014" s="57">
        <v>87</v>
      </c>
      <c r="G5014" s="57" t="s">
        <v>9169</v>
      </c>
      <c r="H5014" s="57" t="s">
        <v>345</v>
      </c>
    </row>
    <row r="5015" spans="2:8" ht="13.5" customHeight="1">
      <c r="B5015" t="s">
        <v>9137</v>
      </c>
      <c r="C5015" s="173" t="s">
        <v>9040</v>
      </c>
      <c r="D5015" s="162" t="s">
        <v>9138</v>
      </c>
      <c r="F5015" s="57">
        <v>93</v>
      </c>
      <c r="G5015" s="57" t="s">
        <v>9169</v>
      </c>
      <c r="H5015" s="57" t="s">
        <v>345</v>
      </c>
    </row>
    <row r="5016" spans="2:8" ht="13.5" customHeight="1">
      <c r="B5016" s="9" t="s">
        <v>304</v>
      </c>
      <c r="C5016" s="173" t="s">
        <v>9040</v>
      </c>
      <c r="D5016" s="162" t="s">
        <v>9105</v>
      </c>
      <c r="F5016" s="57">
        <v>97</v>
      </c>
      <c r="G5016" s="57" t="s">
        <v>9169</v>
      </c>
      <c r="H5016" s="57" t="s">
        <v>345</v>
      </c>
    </row>
    <row r="5017" spans="2:8" ht="13.5" customHeight="1">
      <c r="B5017" s="9" t="s">
        <v>2855</v>
      </c>
      <c r="C5017" t="s">
        <v>9040</v>
      </c>
      <c r="D5017" s="162" t="s">
        <v>1387</v>
      </c>
      <c r="F5017" s="57">
        <v>97</v>
      </c>
      <c r="G5017" s="57" t="s">
        <v>9169</v>
      </c>
      <c r="H5017" s="57" t="s">
        <v>345</v>
      </c>
    </row>
    <row r="5018" spans="2:8" ht="13.5" customHeight="1">
      <c r="B5018" t="s">
        <v>7484</v>
      </c>
      <c r="C5018" t="s">
        <v>9040</v>
      </c>
      <c r="D5018" s="162" t="s">
        <v>749</v>
      </c>
      <c r="F5018" s="57">
        <v>104</v>
      </c>
      <c r="G5018" s="57" t="s">
        <v>9169</v>
      </c>
      <c r="H5018" s="57" t="s">
        <v>345</v>
      </c>
    </row>
    <row r="5019" spans="2:8" ht="13.5" customHeight="1">
      <c r="B5019" t="s">
        <v>9103</v>
      </c>
      <c r="C5019" t="s">
        <v>9040</v>
      </c>
      <c r="D5019" s="162" t="s">
        <v>727</v>
      </c>
      <c r="F5019" s="57">
        <v>109</v>
      </c>
      <c r="G5019" s="57" t="s">
        <v>9169</v>
      </c>
      <c r="H5019" s="57" t="s">
        <v>345</v>
      </c>
    </row>
    <row r="5020" spans="2:8" ht="13.5" customHeight="1">
      <c r="B5020" t="s">
        <v>5221</v>
      </c>
      <c r="C5020" t="s">
        <v>9040</v>
      </c>
      <c r="D5020" s="162" t="s">
        <v>5222</v>
      </c>
      <c r="F5020" s="57">
        <v>125</v>
      </c>
      <c r="G5020" s="57" t="s">
        <v>9169</v>
      </c>
      <c r="H5020" s="57" t="s">
        <v>345</v>
      </c>
    </row>
    <row r="5021" spans="2:8" ht="13.5" customHeight="1">
      <c r="B5021" s="9" t="s">
        <v>7487</v>
      </c>
      <c r="C5021" t="s">
        <v>9040</v>
      </c>
      <c r="D5021" s="127" t="s">
        <v>7488</v>
      </c>
      <c r="F5021" s="57">
        <v>129</v>
      </c>
      <c r="G5021" s="57" t="s">
        <v>9169</v>
      </c>
      <c r="H5021" s="57" t="s">
        <v>345</v>
      </c>
    </row>
    <row r="5022" spans="2:8" ht="13.5" customHeight="1">
      <c r="B5022" t="s">
        <v>269</v>
      </c>
      <c r="C5022" t="s">
        <v>9040</v>
      </c>
      <c r="D5022" s="162" t="s">
        <v>4429</v>
      </c>
      <c r="F5022" s="57">
        <v>131</v>
      </c>
      <c r="G5022" s="57" t="s">
        <v>9169</v>
      </c>
      <c r="H5022" s="57" t="s">
        <v>345</v>
      </c>
    </row>
    <row r="5023" spans="2:8" ht="13.5" customHeight="1">
      <c r="B5023" t="s">
        <v>9201</v>
      </c>
      <c r="D5023" t="s">
        <v>9201</v>
      </c>
      <c r="F5023" s="76">
        <v>6</v>
      </c>
      <c r="G5023" s="57" t="s">
        <v>13819</v>
      </c>
      <c r="H5023" s="57" t="s">
        <v>13752</v>
      </c>
    </row>
    <row r="5024" spans="2:8" ht="13.5" customHeight="1">
      <c r="B5024" t="s">
        <v>9202</v>
      </c>
      <c r="D5024" t="s">
        <v>9202</v>
      </c>
      <c r="F5024" s="76">
        <v>8</v>
      </c>
      <c r="G5024" s="57" t="s">
        <v>13819</v>
      </c>
      <c r="H5024" s="57" t="s">
        <v>13752</v>
      </c>
    </row>
    <row r="5025" spans="2:8" ht="13.5" customHeight="1">
      <c r="B5025" t="s">
        <v>9203</v>
      </c>
      <c r="D5025" t="s">
        <v>9203</v>
      </c>
      <c r="F5025" s="76">
        <v>8</v>
      </c>
      <c r="G5025" s="57" t="s">
        <v>13819</v>
      </c>
      <c r="H5025" s="57" t="s">
        <v>13752</v>
      </c>
    </row>
    <row r="5026" spans="2:8" ht="13.5" customHeight="1">
      <c r="B5026" t="s">
        <v>9204</v>
      </c>
      <c r="D5026" t="s">
        <v>9204</v>
      </c>
      <c r="F5026" s="76">
        <v>8</v>
      </c>
      <c r="G5026" s="57" t="s">
        <v>13819</v>
      </c>
      <c r="H5026" s="57" t="s">
        <v>13752</v>
      </c>
    </row>
    <row r="5027" spans="2:8" ht="13.5" customHeight="1">
      <c r="B5027" t="s">
        <v>9205</v>
      </c>
      <c r="D5027" t="s">
        <v>9205</v>
      </c>
      <c r="F5027" s="76">
        <v>8</v>
      </c>
      <c r="G5027" s="57" t="s">
        <v>13819</v>
      </c>
      <c r="H5027" s="57" t="s">
        <v>13752</v>
      </c>
    </row>
    <row r="5028" spans="2:8" ht="13.5" customHeight="1">
      <c r="B5028" t="s">
        <v>9206</v>
      </c>
      <c r="D5028" t="s">
        <v>9206</v>
      </c>
      <c r="F5028" s="76">
        <v>8</v>
      </c>
      <c r="G5028" s="57" t="s">
        <v>13819</v>
      </c>
      <c r="H5028" s="57" t="s">
        <v>13752</v>
      </c>
    </row>
    <row r="5029" spans="2:8" ht="13.5" customHeight="1">
      <c r="B5029" t="s">
        <v>9207</v>
      </c>
      <c r="D5029" t="s">
        <v>9207</v>
      </c>
      <c r="F5029" s="76">
        <v>8</v>
      </c>
      <c r="G5029" s="57" t="s">
        <v>13819</v>
      </c>
      <c r="H5029" s="57" t="s">
        <v>13752</v>
      </c>
    </row>
    <row r="5030" spans="2:8" ht="13.5" customHeight="1">
      <c r="B5030" t="s">
        <v>9208</v>
      </c>
      <c r="D5030" t="s">
        <v>9208</v>
      </c>
      <c r="F5030" s="76">
        <v>11</v>
      </c>
      <c r="G5030" s="57" t="s">
        <v>13819</v>
      </c>
      <c r="H5030" s="57" t="s">
        <v>13752</v>
      </c>
    </row>
    <row r="5031" spans="2:8" ht="13.5" customHeight="1">
      <c r="B5031" t="s">
        <v>9209</v>
      </c>
      <c r="D5031" t="s">
        <v>9209</v>
      </c>
      <c r="F5031" s="76">
        <v>16</v>
      </c>
      <c r="G5031" s="57" t="s">
        <v>13819</v>
      </c>
      <c r="H5031" s="57" t="s">
        <v>13752</v>
      </c>
    </row>
    <row r="5032" spans="2:8" ht="13.5" customHeight="1">
      <c r="B5032" t="s">
        <v>9210</v>
      </c>
      <c r="D5032" t="s">
        <v>9210</v>
      </c>
      <c r="F5032" s="76">
        <v>25</v>
      </c>
      <c r="G5032" s="57" t="s">
        <v>13819</v>
      </c>
      <c r="H5032" s="57" t="s">
        <v>13752</v>
      </c>
    </row>
    <row r="5033" spans="2:8" ht="13.5" customHeight="1">
      <c r="B5033" t="s">
        <v>9211</v>
      </c>
      <c r="D5033" t="s">
        <v>9211</v>
      </c>
      <c r="F5033" s="76">
        <v>44</v>
      </c>
      <c r="G5033" s="57" t="s">
        <v>13819</v>
      </c>
      <c r="H5033" s="57" t="s">
        <v>13752</v>
      </c>
    </row>
    <row r="5034" spans="2:8" ht="13.5" customHeight="1">
      <c r="B5034" t="s">
        <v>9212</v>
      </c>
      <c r="D5034" t="s">
        <v>9212</v>
      </c>
      <c r="F5034" s="76">
        <v>2</v>
      </c>
      <c r="G5034" s="57" t="s">
        <v>13819</v>
      </c>
      <c r="H5034" s="57" t="s">
        <v>13753</v>
      </c>
    </row>
    <row r="5035" spans="2:8" ht="13.5" customHeight="1">
      <c r="B5035" t="s">
        <v>9213</v>
      </c>
      <c r="D5035" t="s">
        <v>9213</v>
      </c>
      <c r="F5035" s="76">
        <v>10</v>
      </c>
      <c r="G5035" s="57" t="s">
        <v>13819</v>
      </c>
      <c r="H5035" s="57" t="s">
        <v>13753</v>
      </c>
    </row>
    <row r="5036" spans="2:8" ht="13.5" customHeight="1">
      <c r="B5036" t="s">
        <v>9214</v>
      </c>
      <c r="D5036" t="s">
        <v>9214</v>
      </c>
      <c r="F5036" s="76">
        <v>11</v>
      </c>
      <c r="G5036" s="57" t="s">
        <v>13819</v>
      </c>
      <c r="H5036" s="57" t="s">
        <v>13753</v>
      </c>
    </row>
    <row r="5037" spans="2:8" ht="13.5" customHeight="1">
      <c r="B5037" t="s">
        <v>9215</v>
      </c>
      <c r="D5037" t="s">
        <v>9215</v>
      </c>
      <c r="F5037" s="76">
        <v>12</v>
      </c>
      <c r="G5037" s="57" t="s">
        <v>13819</v>
      </c>
      <c r="H5037" s="57" t="s">
        <v>13753</v>
      </c>
    </row>
    <row r="5038" spans="2:8" ht="13.5" customHeight="1">
      <c r="B5038" t="s">
        <v>9216</v>
      </c>
      <c r="D5038" t="s">
        <v>9442</v>
      </c>
      <c r="F5038" s="76">
        <v>14</v>
      </c>
      <c r="G5038" s="57" t="s">
        <v>13819</v>
      </c>
      <c r="H5038" s="57" t="s">
        <v>13753</v>
      </c>
    </row>
    <row r="5039" spans="2:8" ht="13.5" customHeight="1">
      <c r="B5039" t="s">
        <v>9217</v>
      </c>
      <c r="D5039" t="s">
        <v>9217</v>
      </c>
      <c r="F5039" s="76">
        <v>18</v>
      </c>
      <c r="G5039" s="57" t="s">
        <v>13819</v>
      </c>
      <c r="H5039" s="57" t="s">
        <v>13753</v>
      </c>
    </row>
    <row r="5040" spans="2:8" ht="13.5" customHeight="1">
      <c r="B5040" t="s">
        <v>9218</v>
      </c>
      <c r="D5040" t="s">
        <v>9218</v>
      </c>
      <c r="F5040" s="76">
        <v>24</v>
      </c>
      <c r="G5040" s="57" t="s">
        <v>13819</v>
      </c>
      <c r="H5040" s="57" t="s">
        <v>13753</v>
      </c>
    </row>
    <row r="5041" spans="2:8" ht="13.5" customHeight="1">
      <c r="B5041" t="s">
        <v>9219</v>
      </c>
      <c r="D5041" t="s">
        <v>9219</v>
      </c>
      <c r="F5041" s="76">
        <v>25</v>
      </c>
      <c r="G5041" s="57" t="s">
        <v>13819</v>
      </c>
      <c r="H5041" s="57" t="s">
        <v>13753</v>
      </c>
    </row>
    <row r="5042" spans="2:8" ht="13.5" customHeight="1">
      <c r="B5042" t="s">
        <v>9220</v>
      </c>
      <c r="D5042" t="s">
        <v>9220</v>
      </c>
      <c r="F5042" s="76">
        <v>25</v>
      </c>
      <c r="G5042" s="57" t="s">
        <v>13819</v>
      </c>
      <c r="H5042" s="57" t="s">
        <v>13753</v>
      </c>
    </row>
    <row r="5043" spans="2:8" ht="13.5" customHeight="1">
      <c r="B5043" t="s">
        <v>9221</v>
      </c>
      <c r="D5043" t="s">
        <v>9443</v>
      </c>
      <c r="F5043" s="76">
        <v>29</v>
      </c>
      <c r="G5043" s="57" t="s">
        <v>13819</v>
      </c>
      <c r="H5043" s="57" t="s">
        <v>13753</v>
      </c>
    </row>
    <row r="5044" spans="2:8" ht="13.5" customHeight="1">
      <c r="B5044" t="s">
        <v>9222</v>
      </c>
      <c r="D5044" t="s">
        <v>9222</v>
      </c>
      <c r="F5044" s="76">
        <v>30</v>
      </c>
      <c r="G5044" s="57" t="s">
        <v>13819</v>
      </c>
      <c r="H5044" s="57" t="s">
        <v>13753</v>
      </c>
    </row>
    <row r="5045" spans="2:8" ht="13.5" customHeight="1">
      <c r="B5045" t="s">
        <v>9223</v>
      </c>
      <c r="D5045" t="s">
        <v>9223</v>
      </c>
      <c r="F5045" s="76">
        <v>50</v>
      </c>
      <c r="G5045" s="57" t="s">
        <v>13819</v>
      </c>
      <c r="H5045" s="57" t="s">
        <v>13753</v>
      </c>
    </row>
    <row r="5046" spans="2:8" ht="13.5" customHeight="1">
      <c r="B5046" t="s">
        <v>9224</v>
      </c>
      <c r="D5046" t="s">
        <v>9444</v>
      </c>
      <c r="F5046" s="76">
        <v>2</v>
      </c>
      <c r="G5046" s="57" t="s">
        <v>13819</v>
      </c>
      <c r="H5046" s="57" t="s">
        <v>13754</v>
      </c>
    </row>
    <row r="5047" spans="2:8" ht="13.5" customHeight="1">
      <c r="B5047" t="s">
        <v>9225</v>
      </c>
      <c r="D5047" t="s">
        <v>9225</v>
      </c>
      <c r="F5047" s="76">
        <v>2</v>
      </c>
      <c r="G5047" s="57" t="s">
        <v>13819</v>
      </c>
      <c r="H5047" s="57" t="s">
        <v>13754</v>
      </c>
    </row>
    <row r="5048" spans="2:8" ht="13.5" customHeight="1">
      <c r="B5048" t="s">
        <v>9226</v>
      </c>
      <c r="D5048" t="s">
        <v>9226</v>
      </c>
      <c r="F5048" s="76">
        <v>4</v>
      </c>
      <c r="G5048" s="57" t="s">
        <v>13819</v>
      </c>
      <c r="H5048" s="57" t="s">
        <v>13754</v>
      </c>
    </row>
    <row r="5049" spans="2:8" ht="13.5" customHeight="1">
      <c r="B5049" t="s">
        <v>9227</v>
      </c>
      <c r="D5049" t="s">
        <v>9227</v>
      </c>
      <c r="F5049" s="76">
        <v>4</v>
      </c>
      <c r="G5049" s="57" t="s">
        <v>13819</v>
      </c>
      <c r="H5049" s="57" t="s">
        <v>13754</v>
      </c>
    </row>
    <row r="5050" spans="2:8" ht="13.5" customHeight="1">
      <c r="B5050" t="s">
        <v>9228</v>
      </c>
      <c r="D5050" t="s">
        <v>9228</v>
      </c>
      <c r="F5050" s="76">
        <v>10</v>
      </c>
      <c r="G5050" s="57" t="s">
        <v>13819</v>
      </c>
      <c r="H5050" s="57" t="s">
        <v>13754</v>
      </c>
    </row>
    <row r="5051" spans="2:8" ht="13.5" customHeight="1">
      <c r="B5051" t="s">
        <v>9229</v>
      </c>
      <c r="D5051" t="s">
        <v>9445</v>
      </c>
      <c r="F5051" s="76">
        <v>3</v>
      </c>
      <c r="G5051" s="57" t="s">
        <v>13819</v>
      </c>
      <c r="H5051" s="57" t="s">
        <v>13755</v>
      </c>
    </row>
    <row r="5052" spans="2:8" ht="13.5" customHeight="1">
      <c r="B5052" t="s">
        <v>9230</v>
      </c>
      <c r="D5052" t="s">
        <v>9446</v>
      </c>
      <c r="F5052" s="76">
        <v>3</v>
      </c>
      <c r="G5052" s="57" t="s">
        <v>13819</v>
      </c>
      <c r="H5052" s="57" t="s">
        <v>13755</v>
      </c>
    </row>
    <row r="5053" spans="2:8" ht="13.5" customHeight="1">
      <c r="B5053" t="s">
        <v>9231</v>
      </c>
      <c r="D5053" t="s">
        <v>9447</v>
      </c>
      <c r="F5053" s="76">
        <v>3</v>
      </c>
      <c r="G5053" s="57" t="s">
        <v>13819</v>
      </c>
      <c r="H5053" s="57" t="s">
        <v>13755</v>
      </c>
    </row>
    <row r="5054" spans="2:8" ht="13.5" customHeight="1">
      <c r="B5054" t="s">
        <v>9232</v>
      </c>
      <c r="D5054" t="s">
        <v>9448</v>
      </c>
      <c r="F5054" s="76">
        <v>4</v>
      </c>
      <c r="G5054" s="57" t="s">
        <v>13819</v>
      </c>
      <c r="H5054" s="57" t="s">
        <v>13755</v>
      </c>
    </row>
    <row r="5055" spans="2:8" ht="13.5" customHeight="1">
      <c r="B5055" t="s">
        <v>9233</v>
      </c>
      <c r="D5055" t="s">
        <v>9449</v>
      </c>
      <c r="F5055" s="76">
        <v>4</v>
      </c>
      <c r="G5055" s="57" t="s">
        <v>13819</v>
      </c>
      <c r="H5055" s="57" t="s">
        <v>13755</v>
      </c>
    </row>
    <row r="5056" spans="2:8" ht="13.5" customHeight="1">
      <c r="B5056" t="s">
        <v>9234</v>
      </c>
      <c r="D5056" t="s">
        <v>9450</v>
      </c>
      <c r="F5056" s="76">
        <v>4</v>
      </c>
      <c r="G5056" s="57" t="s">
        <v>13819</v>
      </c>
      <c r="H5056" s="57" t="s">
        <v>13755</v>
      </c>
    </row>
    <row r="5057" spans="2:8" ht="13.5" customHeight="1">
      <c r="B5057" t="s">
        <v>9235</v>
      </c>
      <c r="D5057" t="s">
        <v>9451</v>
      </c>
      <c r="F5057" s="76">
        <v>4</v>
      </c>
      <c r="G5057" s="57" t="s">
        <v>13819</v>
      </c>
      <c r="H5057" s="57" t="s">
        <v>13755</v>
      </c>
    </row>
    <row r="5058" spans="2:8" ht="13.5" customHeight="1">
      <c r="B5058" t="s">
        <v>9236</v>
      </c>
      <c r="D5058" t="s">
        <v>9452</v>
      </c>
      <c r="F5058" s="76">
        <v>5</v>
      </c>
      <c r="G5058" s="57" t="s">
        <v>13819</v>
      </c>
      <c r="H5058" s="57" t="s">
        <v>13755</v>
      </c>
    </row>
    <row r="5059" spans="2:8" ht="13.5" customHeight="1">
      <c r="B5059" t="s">
        <v>9237</v>
      </c>
      <c r="D5059" t="s">
        <v>9453</v>
      </c>
      <c r="F5059" s="76">
        <v>5</v>
      </c>
      <c r="G5059" s="57" t="s">
        <v>13819</v>
      </c>
      <c r="H5059" s="57" t="s">
        <v>13755</v>
      </c>
    </row>
    <row r="5060" spans="2:8" ht="13.5" customHeight="1">
      <c r="B5060" t="s">
        <v>9238</v>
      </c>
      <c r="D5060" t="s">
        <v>9454</v>
      </c>
      <c r="F5060" s="76">
        <v>5</v>
      </c>
      <c r="G5060" s="57" t="s">
        <v>13819</v>
      </c>
      <c r="H5060" s="57" t="s">
        <v>13755</v>
      </c>
    </row>
    <row r="5061" spans="2:8" ht="13.5" customHeight="1">
      <c r="B5061" t="s">
        <v>9239</v>
      </c>
      <c r="D5061" t="s">
        <v>9455</v>
      </c>
      <c r="F5061" s="76">
        <v>5</v>
      </c>
      <c r="G5061" s="57" t="s">
        <v>13819</v>
      </c>
      <c r="H5061" s="57" t="s">
        <v>13755</v>
      </c>
    </row>
    <row r="5062" spans="2:8" ht="13.5" customHeight="1">
      <c r="B5062" t="s">
        <v>9240</v>
      </c>
      <c r="D5062" t="s">
        <v>9456</v>
      </c>
      <c r="F5062" s="76">
        <v>5</v>
      </c>
      <c r="G5062" s="57" t="s">
        <v>13819</v>
      </c>
      <c r="H5062" s="57" t="s">
        <v>13755</v>
      </c>
    </row>
    <row r="5063" spans="2:8" ht="13.5" customHeight="1">
      <c r="B5063" t="s">
        <v>9241</v>
      </c>
      <c r="D5063" t="s">
        <v>9457</v>
      </c>
      <c r="F5063" s="76">
        <v>7</v>
      </c>
      <c r="G5063" s="57" t="s">
        <v>13819</v>
      </c>
      <c r="H5063" s="57" t="s">
        <v>13755</v>
      </c>
    </row>
    <row r="5064" spans="2:8" ht="13.5" customHeight="1">
      <c r="B5064" t="s">
        <v>9242</v>
      </c>
      <c r="D5064" t="s">
        <v>9242</v>
      </c>
      <c r="F5064" s="76">
        <v>1</v>
      </c>
      <c r="G5064" s="57" t="s">
        <v>13819</v>
      </c>
      <c r="H5064" s="57" t="s">
        <v>13756</v>
      </c>
    </row>
    <row r="5065" spans="2:8" ht="13.5" customHeight="1">
      <c r="B5065" t="s">
        <v>9243</v>
      </c>
      <c r="D5065" t="s">
        <v>9458</v>
      </c>
      <c r="F5065" s="76">
        <v>1</v>
      </c>
      <c r="G5065" s="57" t="s">
        <v>13819</v>
      </c>
      <c r="H5065" s="57" t="s">
        <v>13756</v>
      </c>
    </row>
    <row r="5066" spans="2:8" ht="13.5" customHeight="1">
      <c r="B5066" t="s">
        <v>9244</v>
      </c>
      <c r="D5066" t="s">
        <v>9459</v>
      </c>
      <c r="F5066" s="76">
        <v>3</v>
      </c>
      <c r="G5066" s="57" t="s">
        <v>13819</v>
      </c>
      <c r="H5066" s="57" t="s">
        <v>13756</v>
      </c>
    </row>
    <row r="5067" spans="2:8" ht="13.5" customHeight="1">
      <c r="B5067" t="s">
        <v>9245</v>
      </c>
      <c r="D5067" t="s">
        <v>9460</v>
      </c>
      <c r="F5067" s="76">
        <v>3</v>
      </c>
      <c r="G5067" s="57" t="s">
        <v>13819</v>
      </c>
      <c r="H5067" s="57" t="s">
        <v>13756</v>
      </c>
    </row>
    <row r="5068" spans="2:8" ht="13.5" customHeight="1">
      <c r="B5068" t="s">
        <v>9246</v>
      </c>
      <c r="D5068" t="s">
        <v>9461</v>
      </c>
      <c r="F5068" s="76">
        <v>4</v>
      </c>
      <c r="G5068" s="57" t="s">
        <v>13819</v>
      </c>
      <c r="H5068" s="57" t="s">
        <v>13756</v>
      </c>
    </row>
    <row r="5069" spans="2:8" ht="13.5" customHeight="1">
      <c r="B5069" t="s">
        <v>9247</v>
      </c>
      <c r="D5069" t="s">
        <v>9462</v>
      </c>
      <c r="F5069" s="76">
        <v>5</v>
      </c>
      <c r="G5069" s="57" t="s">
        <v>13819</v>
      </c>
      <c r="H5069" s="57" t="s">
        <v>13756</v>
      </c>
    </row>
    <row r="5070" spans="2:8" ht="13.5" customHeight="1">
      <c r="B5070" t="s">
        <v>9248</v>
      </c>
      <c r="D5070" t="s">
        <v>9463</v>
      </c>
      <c r="F5070" s="76">
        <v>26</v>
      </c>
      <c r="G5070" s="57" t="s">
        <v>13819</v>
      </c>
      <c r="H5070" s="57" t="s">
        <v>13756</v>
      </c>
    </row>
    <row r="5071" spans="2:8" ht="13.5" customHeight="1">
      <c r="B5071" t="s">
        <v>9249</v>
      </c>
      <c r="D5071" t="s">
        <v>9249</v>
      </c>
      <c r="F5071" s="76">
        <v>1</v>
      </c>
      <c r="G5071" s="57" t="s">
        <v>13819</v>
      </c>
      <c r="H5071" s="57" t="s">
        <v>13757</v>
      </c>
    </row>
    <row r="5072" spans="2:8" ht="13.5" customHeight="1">
      <c r="B5072" t="s">
        <v>9250</v>
      </c>
      <c r="D5072" t="s">
        <v>9250</v>
      </c>
      <c r="F5072" s="76">
        <v>2</v>
      </c>
      <c r="G5072" s="57" t="s">
        <v>13819</v>
      </c>
      <c r="H5072" s="57" t="s">
        <v>13757</v>
      </c>
    </row>
    <row r="5073" spans="2:8" ht="13.5" customHeight="1">
      <c r="B5073" t="s">
        <v>9251</v>
      </c>
      <c r="D5073" t="s">
        <v>9251</v>
      </c>
      <c r="F5073" s="76">
        <v>2</v>
      </c>
      <c r="G5073" s="57" t="s">
        <v>13819</v>
      </c>
      <c r="H5073" s="57" t="s">
        <v>13757</v>
      </c>
    </row>
    <row r="5074" spans="2:8" ht="13.5" customHeight="1">
      <c r="B5074" t="s">
        <v>9252</v>
      </c>
      <c r="D5074" t="s">
        <v>9252</v>
      </c>
      <c r="F5074" s="76">
        <v>3</v>
      </c>
      <c r="G5074" s="57" t="s">
        <v>13819</v>
      </c>
      <c r="H5074" s="57" t="s">
        <v>13757</v>
      </c>
    </row>
    <row r="5075" spans="2:8" ht="13.5" customHeight="1">
      <c r="B5075" t="s">
        <v>9253</v>
      </c>
      <c r="D5075" t="s">
        <v>9253</v>
      </c>
      <c r="F5075" s="76">
        <v>3</v>
      </c>
      <c r="G5075" s="57" t="s">
        <v>13819</v>
      </c>
      <c r="H5075" s="57" t="s">
        <v>13757</v>
      </c>
    </row>
    <row r="5076" spans="2:8" ht="13.5" customHeight="1">
      <c r="B5076" t="s">
        <v>9254</v>
      </c>
      <c r="D5076" t="s">
        <v>9254</v>
      </c>
      <c r="F5076" s="76">
        <v>3</v>
      </c>
      <c r="G5076" s="57" t="s">
        <v>13819</v>
      </c>
      <c r="H5076" s="57" t="s">
        <v>13757</v>
      </c>
    </row>
    <row r="5077" spans="2:8" ht="13.5" customHeight="1">
      <c r="B5077" t="s">
        <v>9255</v>
      </c>
      <c r="D5077" t="s">
        <v>9255</v>
      </c>
      <c r="F5077" s="76">
        <v>3</v>
      </c>
      <c r="G5077" s="57" t="s">
        <v>13819</v>
      </c>
      <c r="H5077" s="57" t="s">
        <v>13757</v>
      </c>
    </row>
    <row r="5078" spans="2:8" ht="13.5" customHeight="1">
      <c r="B5078" t="s">
        <v>9256</v>
      </c>
      <c r="D5078" t="s">
        <v>9256</v>
      </c>
      <c r="F5078" s="76">
        <v>3</v>
      </c>
      <c r="G5078" s="57" t="s">
        <v>13819</v>
      </c>
      <c r="H5078" s="57" t="s">
        <v>13757</v>
      </c>
    </row>
    <row r="5079" spans="2:8" ht="13.5" customHeight="1">
      <c r="B5079" t="s">
        <v>9257</v>
      </c>
      <c r="D5079" t="s">
        <v>9257</v>
      </c>
      <c r="F5079" s="76">
        <v>3</v>
      </c>
      <c r="G5079" s="57" t="s">
        <v>13819</v>
      </c>
      <c r="H5079" s="57" t="s">
        <v>13757</v>
      </c>
    </row>
    <row r="5080" spans="2:8" ht="13.5" customHeight="1">
      <c r="B5080" t="s">
        <v>9258</v>
      </c>
      <c r="D5080" t="s">
        <v>9258</v>
      </c>
      <c r="F5080" s="76">
        <v>3</v>
      </c>
      <c r="G5080" s="57" t="s">
        <v>13819</v>
      </c>
      <c r="H5080" s="57" t="s">
        <v>13757</v>
      </c>
    </row>
    <row r="5081" spans="2:8" ht="13.5" customHeight="1">
      <c r="B5081" t="s">
        <v>9259</v>
      </c>
      <c r="D5081" t="s">
        <v>9259</v>
      </c>
      <c r="F5081" s="76">
        <v>3</v>
      </c>
      <c r="G5081" s="57" t="s">
        <v>13819</v>
      </c>
      <c r="H5081" s="57" t="s">
        <v>13757</v>
      </c>
    </row>
    <row r="5082" spans="2:8" ht="13.5" customHeight="1">
      <c r="B5082" t="s">
        <v>9260</v>
      </c>
      <c r="D5082" t="s">
        <v>9260</v>
      </c>
      <c r="F5082" s="76">
        <v>3</v>
      </c>
      <c r="G5082" s="57" t="s">
        <v>13819</v>
      </c>
      <c r="H5082" s="57" t="s">
        <v>13757</v>
      </c>
    </row>
    <row r="5083" spans="2:8" ht="13.5" customHeight="1">
      <c r="B5083" t="s">
        <v>9261</v>
      </c>
      <c r="D5083" t="s">
        <v>9261</v>
      </c>
      <c r="F5083" s="76">
        <v>3</v>
      </c>
      <c r="G5083" s="57" t="s">
        <v>13819</v>
      </c>
      <c r="H5083" s="57" t="s">
        <v>13757</v>
      </c>
    </row>
    <row r="5084" spans="2:8" ht="13.5" customHeight="1">
      <c r="B5084" t="s">
        <v>9262</v>
      </c>
      <c r="D5084" t="s">
        <v>9262</v>
      </c>
      <c r="F5084" s="76">
        <v>3</v>
      </c>
      <c r="G5084" s="57" t="s">
        <v>13819</v>
      </c>
      <c r="H5084" s="57" t="s">
        <v>13757</v>
      </c>
    </row>
    <row r="5085" spans="2:8" ht="13.5" customHeight="1">
      <c r="B5085" t="s">
        <v>9263</v>
      </c>
      <c r="D5085" t="s">
        <v>9263</v>
      </c>
      <c r="F5085" s="76">
        <v>3</v>
      </c>
      <c r="G5085" s="57" t="s">
        <v>13819</v>
      </c>
      <c r="H5085" s="57" t="s">
        <v>13757</v>
      </c>
    </row>
    <row r="5086" spans="2:8" ht="13.5" customHeight="1">
      <c r="B5086" t="s">
        <v>9264</v>
      </c>
      <c r="D5086" t="s">
        <v>9264</v>
      </c>
      <c r="F5086" s="76">
        <v>4</v>
      </c>
      <c r="G5086" s="57" t="s">
        <v>13819</v>
      </c>
      <c r="H5086" s="57" t="s">
        <v>13757</v>
      </c>
    </row>
    <row r="5087" spans="2:8" ht="13.5" customHeight="1">
      <c r="B5087" t="s">
        <v>9265</v>
      </c>
      <c r="D5087" t="s">
        <v>9265</v>
      </c>
      <c r="F5087" s="76">
        <v>4</v>
      </c>
      <c r="G5087" s="57" t="s">
        <v>13819</v>
      </c>
      <c r="H5087" s="57" t="s">
        <v>13757</v>
      </c>
    </row>
    <row r="5088" spans="2:8" ht="13.5" customHeight="1">
      <c r="B5088" t="s">
        <v>9266</v>
      </c>
      <c r="D5088" t="s">
        <v>9266</v>
      </c>
      <c r="F5088" s="76">
        <v>4</v>
      </c>
      <c r="G5088" s="57" t="s">
        <v>13819</v>
      </c>
      <c r="H5088" s="57" t="s">
        <v>13757</v>
      </c>
    </row>
    <row r="5089" spans="2:8" ht="13.5" customHeight="1">
      <c r="B5089" t="s">
        <v>9267</v>
      </c>
      <c r="D5089" t="s">
        <v>9267</v>
      </c>
      <c r="F5089" s="76">
        <v>4</v>
      </c>
      <c r="G5089" s="57" t="s">
        <v>13819</v>
      </c>
      <c r="H5089" s="57" t="s">
        <v>13757</v>
      </c>
    </row>
    <row r="5090" spans="2:8" ht="13.5" customHeight="1">
      <c r="B5090" t="s">
        <v>9268</v>
      </c>
      <c r="D5090" t="s">
        <v>9268</v>
      </c>
      <c r="F5090" s="76">
        <v>4</v>
      </c>
      <c r="G5090" s="57" t="s">
        <v>13819</v>
      </c>
      <c r="H5090" s="57" t="s">
        <v>13757</v>
      </c>
    </row>
    <row r="5091" spans="2:8" ht="13.5" customHeight="1">
      <c r="B5091" t="s">
        <v>9269</v>
      </c>
      <c r="D5091" t="s">
        <v>9269</v>
      </c>
      <c r="F5091" s="76">
        <v>4</v>
      </c>
      <c r="G5091" s="57" t="s">
        <v>13819</v>
      </c>
      <c r="H5091" s="57" t="s">
        <v>13757</v>
      </c>
    </row>
    <row r="5092" spans="2:8" ht="13.5" customHeight="1">
      <c r="B5092" t="s">
        <v>9270</v>
      </c>
      <c r="D5092" t="s">
        <v>9270</v>
      </c>
      <c r="F5092" s="76">
        <v>4</v>
      </c>
      <c r="G5092" s="57" t="s">
        <v>13819</v>
      </c>
      <c r="H5092" s="57" t="s">
        <v>13757</v>
      </c>
    </row>
    <row r="5093" spans="2:8" ht="13.5" customHeight="1">
      <c r="B5093" t="s">
        <v>9271</v>
      </c>
      <c r="D5093" t="s">
        <v>9271</v>
      </c>
      <c r="F5093" s="76">
        <v>4</v>
      </c>
      <c r="G5093" s="57" t="s">
        <v>13819</v>
      </c>
      <c r="H5093" s="57" t="s">
        <v>13757</v>
      </c>
    </row>
    <row r="5094" spans="2:8" ht="13.5" customHeight="1">
      <c r="B5094" t="s">
        <v>9272</v>
      </c>
      <c r="D5094" t="s">
        <v>9272</v>
      </c>
      <c r="F5094" s="76">
        <v>4</v>
      </c>
      <c r="G5094" s="57" t="s">
        <v>13819</v>
      </c>
      <c r="H5094" s="57" t="s">
        <v>13757</v>
      </c>
    </row>
    <row r="5095" spans="2:8" ht="13.5" customHeight="1">
      <c r="B5095" t="s">
        <v>9273</v>
      </c>
      <c r="D5095" t="s">
        <v>9273</v>
      </c>
      <c r="F5095" s="76">
        <v>4</v>
      </c>
      <c r="G5095" s="57" t="s">
        <v>13819</v>
      </c>
      <c r="H5095" s="57" t="s">
        <v>13757</v>
      </c>
    </row>
    <row r="5096" spans="2:8" ht="13.5" customHeight="1">
      <c r="B5096" t="s">
        <v>9274</v>
      </c>
      <c r="D5096" t="s">
        <v>9274</v>
      </c>
      <c r="F5096" s="76">
        <v>4</v>
      </c>
      <c r="G5096" s="57" t="s">
        <v>13819</v>
      </c>
      <c r="H5096" s="57" t="s">
        <v>13757</v>
      </c>
    </row>
    <row r="5097" spans="2:8" ht="13.5" customHeight="1">
      <c r="B5097" t="s">
        <v>9275</v>
      </c>
      <c r="D5097" t="s">
        <v>9275</v>
      </c>
      <c r="F5097" s="76">
        <v>4</v>
      </c>
      <c r="G5097" s="57" t="s">
        <v>13819</v>
      </c>
      <c r="H5097" s="57" t="s">
        <v>13757</v>
      </c>
    </row>
    <row r="5098" spans="2:8" ht="13.5" customHeight="1">
      <c r="B5098" t="s">
        <v>9276</v>
      </c>
      <c r="D5098" t="s">
        <v>9276</v>
      </c>
      <c r="F5098" s="76">
        <v>4</v>
      </c>
      <c r="G5098" s="57" t="s">
        <v>13819</v>
      </c>
      <c r="H5098" s="57" t="s">
        <v>13757</v>
      </c>
    </row>
    <row r="5099" spans="2:8" ht="13.5" customHeight="1">
      <c r="B5099" t="s">
        <v>9277</v>
      </c>
      <c r="D5099" t="s">
        <v>9277</v>
      </c>
      <c r="F5099" s="76">
        <v>4</v>
      </c>
      <c r="G5099" s="57" t="s">
        <v>13819</v>
      </c>
      <c r="H5099" s="57" t="s">
        <v>13757</v>
      </c>
    </row>
    <row r="5100" spans="2:8" ht="13.5" customHeight="1">
      <c r="B5100" t="s">
        <v>9278</v>
      </c>
      <c r="D5100" t="s">
        <v>9278</v>
      </c>
      <c r="F5100" s="76">
        <v>4</v>
      </c>
      <c r="G5100" s="57" t="s">
        <v>13819</v>
      </c>
      <c r="H5100" s="57" t="s">
        <v>13757</v>
      </c>
    </row>
    <row r="5101" spans="2:8" ht="13.5" customHeight="1">
      <c r="B5101" t="s">
        <v>9279</v>
      </c>
      <c r="D5101" t="s">
        <v>9279</v>
      </c>
      <c r="F5101" s="76">
        <v>4</v>
      </c>
      <c r="G5101" s="57" t="s">
        <v>13819</v>
      </c>
      <c r="H5101" s="57" t="s">
        <v>13757</v>
      </c>
    </row>
    <row r="5102" spans="2:8" ht="13.5" customHeight="1">
      <c r="B5102" t="s">
        <v>9280</v>
      </c>
      <c r="D5102" t="s">
        <v>9280</v>
      </c>
      <c r="F5102" s="76">
        <v>4</v>
      </c>
      <c r="G5102" s="57" t="s">
        <v>13819</v>
      </c>
      <c r="H5102" s="57" t="s">
        <v>13757</v>
      </c>
    </row>
    <row r="5103" spans="2:8" ht="13.5" customHeight="1">
      <c r="B5103" t="s">
        <v>9281</v>
      </c>
      <c r="D5103" t="s">
        <v>9281</v>
      </c>
      <c r="F5103" s="76">
        <v>4</v>
      </c>
      <c r="G5103" s="57" t="s">
        <v>13819</v>
      </c>
      <c r="H5103" s="57" t="s">
        <v>13757</v>
      </c>
    </row>
    <row r="5104" spans="2:8" ht="13.5" customHeight="1">
      <c r="B5104" t="s">
        <v>9282</v>
      </c>
      <c r="D5104" t="s">
        <v>9282</v>
      </c>
      <c r="F5104" s="76">
        <v>4</v>
      </c>
      <c r="G5104" s="57" t="s">
        <v>13819</v>
      </c>
      <c r="H5104" s="57" t="s">
        <v>13757</v>
      </c>
    </row>
    <row r="5105" spans="2:8" ht="13.5" customHeight="1">
      <c r="B5105" t="s">
        <v>9283</v>
      </c>
      <c r="D5105" t="s">
        <v>9283</v>
      </c>
      <c r="F5105" s="76">
        <v>5</v>
      </c>
      <c r="G5105" s="57" t="s">
        <v>13819</v>
      </c>
      <c r="H5105" s="57" t="s">
        <v>13757</v>
      </c>
    </row>
    <row r="5106" spans="2:8" ht="13.5" customHeight="1">
      <c r="B5106" t="s">
        <v>9284</v>
      </c>
      <c r="D5106" t="s">
        <v>9284</v>
      </c>
      <c r="F5106" s="76">
        <v>5</v>
      </c>
      <c r="G5106" s="57" t="s">
        <v>13819</v>
      </c>
      <c r="H5106" s="57" t="s">
        <v>13757</v>
      </c>
    </row>
    <row r="5107" spans="2:8" ht="13.5" customHeight="1">
      <c r="B5107" t="s">
        <v>9285</v>
      </c>
      <c r="D5107" t="s">
        <v>9285</v>
      </c>
      <c r="F5107" s="76">
        <v>6</v>
      </c>
      <c r="G5107" s="57" t="s">
        <v>13819</v>
      </c>
      <c r="H5107" s="57" t="s">
        <v>13757</v>
      </c>
    </row>
    <row r="5108" spans="2:8" ht="13.5" customHeight="1">
      <c r="B5108" t="s">
        <v>9286</v>
      </c>
      <c r="D5108" t="s">
        <v>9286</v>
      </c>
      <c r="F5108" s="76">
        <v>6</v>
      </c>
      <c r="G5108" s="57" t="s">
        <v>13819</v>
      </c>
      <c r="H5108" s="57" t="s">
        <v>13757</v>
      </c>
    </row>
    <row r="5109" spans="2:8" ht="13.5" customHeight="1">
      <c r="B5109" t="s">
        <v>9287</v>
      </c>
      <c r="D5109" t="s">
        <v>9287</v>
      </c>
      <c r="F5109" s="76">
        <v>7</v>
      </c>
      <c r="G5109" s="57" t="s">
        <v>13819</v>
      </c>
      <c r="H5109" s="57" t="s">
        <v>13757</v>
      </c>
    </row>
    <row r="5110" spans="2:8" ht="13.5" customHeight="1">
      <c r="B5110" t="s">
        <v>9288</v>
      </c>
      <c r="D5110" t="s">
        <v>9288</v>
      </c>
      <c r="F5110" s="76">
        <v>8</v>
      </c>
      <c r="G5110" s="57" t="s">
        <v>13819</v>
      </c>
      <c r="H5110" s="57" t="s">
        <v>13757</v>
      </c>
    </row>
    <row r="5111" spans="2:8" ht="13.5" customHeight="1">
      <c r="B5111" t="s">
        <v>9289</v>
      </c>
      <c r="D5111" t="s">
        <v>9289</v>
      </c>
      <c r="F5111" s="76">
        <v>11</v>
      </c>
      <c r="G5111" s="57" t="s">
        <v>13819</v>
      </c>
      <c r="H5111" s="57" t="s">
        <v>13757</v>
      </c>
    </row>
    <row r="5112" spans="2:8" ht="13.5" customHeight="1">
      <c r="B5112" t="s">
        <v>9290</v>
      </c>
      <c r="D5112" t="s">
        <v>9290</v>
      </c>
      <c r="F5112" s="76">
        <v>11</v>
      </c>
      <c r="G5112" s="57" t="s">
        <v>13819</v>
      </c>
      <c r="H5112" s="57" t="s">
        <v>13757</v>
      </c>
    </row>
    <row r="5113" spans="2:8" ht="13.5" customHeight="1">
      <c r="B5113" t="s">
        <v>9291</v>
      </c>
      <c r="D5113" t="s">
        <v>9291</v>
      </c>
      <c r="F5113" s="76">
        <v>14</v>
      </c>
      <c r="G5113" s="57" t="s">
        <v>13819</v>
      </c>
      <c r="H5113" s="57" t="s">
        <v>13757</v>
      </c>
    </row>
    <row r="5114" spans="2:8" ht="13.5" customHeight="1">
      <c r="B5114" t="s">
        <v>9292</v>
      </c>
      <c r="D5114" t="s">
        <v>9292</v>
      </c>
      <c r="F5114" s="76">
        <v>14</v>
      </c>
      <c r="G5114" s="57" t="s">
        <v>13819</v>
      </c>
      <c r="H5114" s="57" t="s">
        <v>13757</v>
      </c>
    </row>
    <row r="5115" spans="2:8" ht="13.5" customHeight="1">
      <c r="B5115" t="s">
        <v>9293</v>
      </c>
      <c r="D5115" t="s">
        <v>9293</v>
      </c>
      <c r="F5115" s="76">
        <v>14</v>
      </c>
      <c r="G5115" s="57" t="s">
        <v>13819</v>
      </c>
      <c r="H5115" s="57" t="s">
        <v>13757</v>
      </c>
    </row>
    <row r="5116" spans="2:8" ht="13.5" customHeight="1">
      <c r="B5116" t="s">
        <v>9294</v>
      </c>
      <c r="D5116" t="s">
        <v>9294</v>
      </c>
      <c r="F5116" s="76">
        <v>18</v>
      </c>
      <c r="G5116" s="57" t="s">
        <v>13819</v>
      </c>
      <c r="H5116" s="57" t="s">
        <v>13757</v>
      </c>
    </row>
    <row r="5117" spans="2:8" ht="13.5" customHeight="1">
      <c r="B5117" t="s">
        <v>9295</v>
      </c>
      <c r="D5117" t="s">
        <v>9295</v>
      </c>
      <c r="F5117" s="76">
        <v>19</v>
      </c>
      <c r="G5117" s="57" t="s">
        <v>13819</v>
      </c>
      <c r="H5117" s="57" t="s">
        <v>13757</v>
      </c>
    </row>
    <row r="5118" spans="2:8" ht="13.5" customHeight="1">
      <c r="B5118" t="s">
        <v>9296</v>
      </c>
      <c r="D5118" t="s">
        <v>9296</v>
      </c>
      <c r="F5118" s="76">
        <v>23</v>
      </c>
      <c r="G5118" s="57" t="s">
        <v>13819</v>
      </c>
      <c r="H5118" s="57" t="s">
        <v>13757</v>
      </c>
    </row>
    <row r="5119" spans="2:8" ht="13.5" customHeight="1">
      <c r="B5119" t="s">
        <v>9297</v>
      </c>
      <c r="D5119" t="s">
        <v>9297</v>
      </c>
      <c r="F5119" s="76">
        <v>29</v>
      </c>
      <c r="G5119" s="57" t="s">
        <v>13819</v>
      </c>
      <c r="H5119" s="57" t="s">
        <v>13757</v>
      </c>
    </row>
    <row r="5120" spans="2:8" ht="13.5" customHeight="1">
      <c r="B5120" t="s">
        <v>9298</v>
      </c>
      <c r="D5120" t="s">
        <v>9298</v>
      </c>
      <c r="F5120" s="76">
        <v>30</v>
      </c>
      <c r="G5120" s="57" t="s">
        <v>13819</v>
      </c>
      <c r="H5120" s="57" t="s">
        <v>13757</v>
      </c>
    </row>
    <row r="5121" spans="2:8" ht="13.5" customHeight="1">
      <c r="B5121" t="s">
        <v>9299</v>
      </c>
      <c r="D5121" t="s">
        <v>9299</v>
      </c>
      <c r="F5121" s="76">
        <v>34</v>
      </c>
      <c r="G5121" s="57" t="s">
        <v>13819</v>
      </c>
      <c r="H5121" s="57" t="s">
        <v>13757</v>
      </c>
    </row>
    <row r="5122" spans="2:8" ht="13.5" customHeight="1">
      <c r="B5122" t="s">
        <v>9300</v>
      </c>
      <c r="D5122" t="s">
        <v>9300</v>
      </c>
      <c r="F5122" s="76">
        <v>58</v>
      </c>
      <c r="G5122" s="57" t="s">
        <v>13819</v>
      </c>
      <c r="H5122" s="57" t="s">
        <v>13757</v>
      </c>
    </row>
    <row r="5123" spans="2:8" ht="13.5" customHeight="1">
      <c r="B5123" t="s">
        <v>9301</v>
      </c>
      <c r="D5123" t="s">
        <v>9301</v>
      </c>
      <c r="F5123" s="76">
        <v>1</v>
      </c>
      <c r="G5123" s="57" t="s">
        <v>13819</v>
      </c>
      <c r="H5123" s="57" t="s">
        <v>13758</v>
      </c>
    </row>
    <row r="5124" spans="2:8" ht="13.5" customHeight="1">
      <c r="B5124" t="s">
        <v>9302</v>
      </c>
      <c r="D5124" t="s">
        <v>9302</v>
      </c>
      <c r="F5124" s="76">
        <v>1</v>
      </c>
      <c r="G5124" s="57" t="s">
        <v>13819</v>
      </c>
      <c r="H5124" s="57" t="s">
        <v>13758</v>
      </c>
    </row>
    <row r="5125" spans="2:8" ht="13.5" customHeight="1">
      <c r="B5125" t="s">
        <v>9303</v>
      </c>
      <c r="D5125" t="s">
        <v>9303</v>
      </c>
      <c r="F5125" s="76">
        <v>1</v>
      </c>
      <c r="G5125" s="57" t="s">
        <v>13819</v>
      </c>
      <c r="H5125" s="57" t="s">
        <v>13758</v>
      </c>
    </row>
    <row r="5126" spans="2:8" ht="13.5" customHeight="1">
      <c r="B5126" t="s">
        <v>9304</v>
      </c>
      <c r="D5126" t="s">
        <v>9304</v>
      </c>
      <c r="F5126" s="76">
        <v>1</v>
      </c>
      <c r="G5126" s="57" t="s">
        <v>13819</v>
      </c>
      <c r="H5126" s="57" t="s">
        <v>13758</v>
      </c>
    </row>
    <row r="5127" spans="2:8" ht="13.5" customHeight="1">
      <c r="B5127" t="s">
        <v>9305</v>
      </c>
      <c r="D5127" t="s">
        <v>9305</v>
      </c>
      <c r="F5127" s="76">
        <v>1</v>
      </c>
      <c r="G5127" s="57" t="s">
        <v>13819</v>
      </c>
      <c r="H5127" s="57" t="s">
        <v>13758</v>
      </c>
    </row>
    <row r="5128" spans="2:8" ht="13.5" customHeight="1">
      <c r="B5128" t="s">
        <v>9306</v>
      </c>
      <c r="D5128" t="s">
        <v>9306</v>
      </c>
      <c r="F5128" s="76">
        <v>1</v>
      </c>
      <c r="G5128" s="57" t="s">
        <v>13819</v>
      </c>
      <c r="H5128" s="57" t="s">
        <v>13758</v>
      </c>
    </row>
    <row r="5129" spans="2:8" ht="13.5" customHeight="1">
      <c r="B5129" t="s">
        <v>9307</v>
      </c>
      <c r="D5129" t="s">
        <v>9307</v>
      </c>
      <c r="F5129" s="76">
        <v>1</v>
      </c>
      <c r="G5129" s="57" t="s">
        <v>13819</v>
      </c>
      <c r="H5129" s="57" t="s">
        <v>13758</v>
      </c>
    </row>
    <row r="5130" spans="2:8" ht="13.5" customHeight="1">
      <c r="B5130" t="s">
        <v>9308</v>
      </c>
      <c r="D5130" t="s">
        <v>9308</v>
      </c>
      <c r="F5130" s="76">
        <v>1</v>
      </c>
      <c r="G5130" s="57" t="s">
        <v>13819</v>
      </c>
      <c r="H5130" s="57" t="s">
        <v>13758</v>
      </c>
    </row>
    <row r="5131" spans="2:8" ht="13.5" customHeight="1">
      <c r="B5131" t="s">
        <v>9309</v>
      </c>
      <c r="D5131" t="s">
        <v>9309</v>
      </c>
      <c r="F5131" s="76">
        <v>1</v>
      </c>
      <c r="G5131" s="57" t="s">
        <v>13819</v>
      </c>
      <c r="H5131" s="57" t="s">
        <v>13758</v>
      </c>
    </row>
    <row r="5132" spans="2:8" ht="13.5" customHeight="1">
      <c r="B5132" t="s">
        <v>9310</v>
      </c>
      <c r="D5132" t="s">
        <v>9310</v>
      </c>
      <c r="F5132" s="76">
        <v>1</v>
      </c>
      <c r="G5132" s="57" t="s">
        <v>13819</v>
      </c>
      <c r="H5132" s="57" t="s">
        <v>13758</v>
      </c>
    </row>
    <row r="5133" spans="2:8" ht="13.5" customHeight="1">
      <c r="B5133" t="s">
        <v>9311</v>
      </c>
      <c r="D5133" t="s">
        <v>9311</v>
      </c>
      <c r="F5133" s="76">
        <v>1</v>
      </c>
      <c r="G5133" s="57" t="s">
        <v>13819</v>
      </c>
      <c r="H5133" s="57" t="s">
        <v>13758</v>
      </c>
    </row>
    <row r="5134" spans="2:8" ht="13.5" customHeight="1">
      <c r="B5134" t="s">
        <v>9312</v>
      </c>
      <c r="D5134" t="s">
        <v>9312</v>
      </c>
      <c r="F5134" s="76">
        <v>1</v>
      </c>
      <c r="G5134" s="57" t="s">
        <v>13819</v>
      </c>
      <c r="H5134" s="57" t="s">
        <v>13758</v>
      </c>
    </row>
    <row r="5135" spans="2:8" ht="13.5" customHeight="1">
      <c r="B5135" t="s">
        <v>9313</v>
      </c>
      <c r="D5135" t="s">
        <v>9313</v>
      </c>
      <c r="F5135" s="76">
        <v>1</v>
      </c>
      <c r="G5135" s="57" t="s">
        <v>13819</v>
      </c>
      <c r="H5135" s="57" t="s">
        <v>13758</v>
      </c>
    </row>
    <row r="5136" spans="2:8" ht="13.5" customHeight="1">
      <c r="B5136" t="s">
        <v>9314</v>
      </c>
      <c r="D5136" t="s">
        <v>9314</v>
      </c>
      <c r="F5136" s="76">
        <v>1</v>
      </c>
      <c r="G5136" s="57" t="s">
        <v>13819</v>
      </c>
      <c r="H5136" s="57" t="s">
        <v>13758</v>
      </c>
    </row>
    <row r="5137" spans="2:8" ht="13.5" customHeight="1">
      <c r="B5137" t="s">
        <v>9315</v>
      </c>
      <c r="D5137" t="s">
        <v>9315</v>
      </c>
      <c r="F5137" s="76">
        <v>1</v>
      </c>
      <c r="G5137" s="57" t="s">
        <v>13819</v>
      </c>
      <c r="H5137" s="57" t="s">
        <v>13758</v>
      </c>
    </row>
    <row r="5138" spans="2:8" ht="13.5" customHeight="1">
      <c r="B5138" t="s">
        <v>9316</v>
      </c>
      <c r="D5138" t="s">
        <v>9316</v>
      </c>
      <c r="F5138" s="76">
        <v>1</v>
      </c>
      <c r="G5138" s="57" t="s">
        <v>13819</v>
      </c>
      <c r="H5138" s="57" t="s">
        <v>13758</v>
      </c>
    </row>
    <row r="5139" spans="2:8" ht="13.5" customHeight="1">
      <c r="B5139" t="s">
        <v>9317</v>
      </c>
      <c r="D5139" t="s">
        <v>9317</v>
      </c>
      <c r="F5139" s="76">
        <v>1</v>
      </c>
      <c r="G5139" s="57" t="s">
        <v>13819</v>
      </c>
      <c r="H5139" s="57" t="s">
        <v>13758</v>
      </c>
    </row>
    <row r="5140" spans="2:8" ht="13.5" customHeight="1">
      <c r="B5140" t="s">
        <v>9318</v>
      </c>
      <c r="D5140" t="s">
        <v>9318</v>
      </c>
      <c r="F5140" s="76">
        <v>1</v>
      </c>
      <c r="G5140" s="57" t="s">
        <v>13819</v>
      </c>
      <c r="H5140" s="57" t="s">
        <v>13758</v>
      </c>
    </row>
    <row r="5141" spans="2:8" ht="13.5" customHeight="1">
      <c r="B5141" t="s">
        <v>9319</v>
      </c>
      <c r="D5141" t="s">
        <v>9319</v>
      </c>
      <c r="F5141" s="76">
        <v>1</v>
      </c>
      <c r="G5141" s="57" t="s">
        <v>13819</v>
      </c>
      <c r="H5141" s="57" t="s">
        <v>13758</v>
      </c>
    </row>
    <row r="5142" spans="2:8" ht="13.5" customHeight="1">
      <c r="B5142" t="s">
        <v>9320</v>
      </c>
      <c r="D5142" t="s">
        <v>9320</v>
      </c>
      <c r="F5142" s="76">
        <v>2</v>
      </c>
      <c r="G5142" s="57" t="s">
        <v>13819</v>
      </c>
      <c r="H5142" s="57" t="s">
        <v>13758</v>
      </c>
    </row>
    <row r="5143" spans="2:8" ht="13.5" customHeight="1">
      <c r="B5143" t="s">
        <v>9321</v>
      </c>
      <c r="D5143" t="s">
        <v>9321</v>
      </c>
      <c r="F5143" s="76">
        <v>2</v>
      </c>
      <c r="G5143" s="57" t="s">
        <v>13819</v>
      </c>
      <c r="H5143" s="57" t="s">
        <v>13758</v>
      </c>
    </row>
    <row r="5144" spans="2:8" ht="13.5" customHeight="1">
      <c r="B5144" t="s">
        <v>9322</v>
      </c>
      <c r="D5144" t="s">
        <v>9322</v>
      </c>
      <c r="F5144" s="76">
        <v>2</v>
      </c>
      <c r="G5144" s="57" t="s">
        <v>13819</v>
      </c>
      <c r="H5144" s="57" t="s">
        <v>13758</v>
      </c>
    </row>
    <row r="5145" spans="2:8" ht="13.5" customHeight="1">
      <c r="B5145" t="s">
        <v>9323</v>
      </c>
      <c r="D5145" t="s">
        <v>9323</v>
      </c>
      <c r="F5145" s="76">
        <v>2</v>
      </c>
      <c r="G5145" s="57" t="s">
        <v>13819</v>
      </c>
      <c r="H5145" s="57" t="s">
        <v>13758</v>
      </c>
    </row>
    <row r="5146" spans="2:8" ht="13.5" customHeight="1">
      <c r="B5146" t="s">
        <v>9324</v>
      </c>
      <c r="D5146" t="s">
        <v>9324</v>
      </c>
      <c r="F5146" s="76">
        <v>2</v>
      </c>
      <c r="G5146" s="57" t="s">
        <v>13819</v>
      </c>
      <c r="H5146" s="57" t="s">
        <v>13758</v>
      </c>
    </row>
    <row r="5147" spans="2:8" ht="13.5" customHeight="1">
      <c r="B5147" t="s">
        <v>9325</v>
      </c>
      <c r="D5147" t="s">
        <v>9325</v>
      </c>
      <c r="F5147" s="76">
        <v>2</v>
      </c>
      <c r="G5147" s="57" t="s">
        <v>13819</v>
      </c>
      <c r="H5147" s="57" t="s">
        <v>13758</v>
      </c>
    </row>
    <row r="5148" spans="2:8" ht="13.5" customHeight="1">
      <c r="B5148" t="s">
        <v>9326</v>
      </c>
      <c r="D5148" t="s">
        <v>9326</v>
      </c>
      <c r="F5148" s="76">
        <v>2</v>
      </c>
      <c r="G5148" s="57" t="s">
        <v>13819</v>
      </c>
      <c r="H5148" s="57" t="s">
        <v>13758</v>
      </c>
    </row>
    <row r="5149" spans="2:8" ht="13.5" customHeight="1">
      <c r="B5149" t="s">
        <v>9327</v>
      </c>
      <c r="D5149" t="s">
        <v>9327</v>
      </c>
      <c r="F5149" s="76">
        <v>2</v>
      </c>
      <c r="G5149" s="57" t="s">
        <v>13819</v>
      </c>
      <c r="H5149" s="57" t="s">
        <v>13758</v>
      </c>
    </row>
    <row r="5150" spans="2:8" ht="13.5" customHeight="1">
      <c r="B5150" t="s">
        <v>9288</v>
      </c>
      <c r="D5150" t="s">
        <v>9288</v>
      </c>
      <c r="F5150" s="76">
        <v>3</v>
      </c>
      <c r="G5150" s="57" t="s">
        <v>13819</v>
      </c>
      <c r="H5150" s="57" t="s">
        <v>13758</v>
      </c>
    </row>
    <row r="5151" spans="2:8" ht="13.5" customHeight="1">
      <c r="B5151" t="s">
        <v>9328</v>
      </c>
      <c r="D5151" t="s">
        <v>9328</v>
      </c>
      <c r="F5151" s="76">
        <v>3</v>
      </c>
      <c r="G5151" s="57" t="s">
        <v>13819</v>
      </c>
      <c r="H5151" s="57" t="s">
        <v>13758</v>
      </c>
    </row>
    <row r="5152" spans="2:8" ht="13.5" customHeight="1">
      <c r="B5152" t="s">
        <v>9329</v>
      </c>
      <c r="D5152" t="s">
        <v>9329</v>
      </c>
      <c r="F5152" s="76">
        <v>3</v>
      </c>
      <c r="G5152" s="57" t="s">
        <v>13819</v>
      </c>
      <c r="H5152" s="57" t="s">
        <v>13758</v>
      </c>
    </row>
    <row r="5153" spans="2:8" ht="13.5" customHeight="1">
      <c r="B5153" t="s">
        <v>9330</v>
      </c>
      <c r="D5153" t="s">
        <v>9330</v>
      </c>
      <c r="F5153" s="76">
        <v>3</v>
      </c>
      <c r="G5153" s="57" t="s">
        <v>13819</v>
      </c>
      <c r="H5153" s="57" t="s">
        <v>13758</v>
      </c>
    </row>
    <row r="5154" spans="2:8" ht="13.5" customHeight="1">
      <c r="B5154" t="s">
        <v>9331</v>
      </c>
      <c r="D5154" t="s">
        <v>9331</v>
      </c>
      <c r="F5154" s="76">
        <v>3</v>
      </c>
      <c r="G5154" s="57" t="s">
        <v>13819</v>
      </c>
      <c r="H5154" s="57" t="s">
        <v>13758</v>
      </c>
    </row>
    <row r="5155" spans="2:8" ht="13.5" customHeight="1">
      <c r="B5155" t="s">
        <v>9332</v>
      </c>
      <c r="D5155" t="s">
        <v>9332</v>
      </c>
      <c r="F5155" s="76">
        <v>3</v>
      </c>
      <c r="G5155" s="57" t="s">
        <v>13819</v>
      </c>
      <c r="H5155" s="57" t="s">
        <v>13758</v>
      </c>
    </row>
    <row r="5156" spans="2:8" ht="13.5" customHeight="1">
      <c r="B5156" t="s">
        <v>9333</v>
      </c>
      <c r="D5156" t="s">
        <v>9333</v>
      </c>
      <c r="F5156" s="76">
        <v>3</v>
      </c>
      <c r="G5156" s="57" t="s">
        <v>13819</v>
      </c>
      <c r="H5156" s="57" t="s">
        <v>13758</v>
      </c>
    </row>
    <row r="5157" spans="2:8" ht="13.5" customHeight="1">
      <c r="B5157" t="s">
        <v>9334</v>
      </c>
      <c r="D5157" t="s">
        <v>9334</v>
      </c>
      <c r="F5157" s="76">
        <v>3</v>
      </c>
      <c r="G5157" s="57" t="s">
        <v>13819</v>
      </c>
      <c r="H5157" s="57" t="s">
        <v>13758</v>
      </c>
    </row>
    <row r="5158" spans="2:8" ht="13.5" customHeight="1">
      <c r="B5158" t="s">
        <v>9335</v>
      </c>
      <c r="D5158" t="s">
        <v>9335</v>
      </c>
      <c r="F5158" s="76">
        <v>4</v>
      </c>
      <c r="G5158" s="57" t="s">
        <v>13819</v>
      </c>
      <c r="H5158" s="57" t="s">
        <v>13758</v>
      </c>
    </row>
    <row r="5159" spans="2:8" ht="13.5" customHeight="1">
      <c r="B5159" t="s">
        <v>9336</v>
      </c>
      <c r="D5159" t="s">
        <v>9336</v>
      </c>
      <c r="F5159" s="76">
        <v>4</v>
      </c>
      <c r="G5159" s="57" t="s">
        <v>13819</v>
      </c>
      <c r="H5159" s="57" t="s">
        <v>13758</v>
      </c>
    </row>
    <row r="5160" spans="2:8" ht="13.5" customHeight="1">
      <c r="B5160" s="200"/>
      <c r="D5160" s="64" t="s">
        <v>9464</v>
      </c>
      <c r="F5160" s="76">
        <v>4</v>
      </c>
      <c r="G5160" s="57" t="s">
        <v>13819</v>
      </c>
      <c r="H5160" s="57" t="s">
        <v>13758</v>
      </c>
    </row>
    <row r="5161" spans="2:8" ht="13.5" customHeight="1">
      <c r="B5161" t="s">
        <v>9291</v>
      </c>
      <c r="D5161" t="s">
        <v>9291</v>
      </c>
      <c r="F5161" s="76">
        <v>5</v>
      </c>
      <c r="G5161" s="57" t="s">
        <v>13819</v>
      </c>
      <c r="H5161" s="57" t="s">
        <v>13758</v>
      </c>
    </row>
    <row r="5162" spans="2:8" ht="13.5" customHeight="1">
      <c r="B5162" t="s">
        <v>9337</v>
      </c>
      <c r="D5162" t="s">
        <v>9337</v>
      </c>
      <c r="F5162" s="76">
        <v>5</v>
      </c>
      <c r="G5162" s="57" t="s">
        <v>13819</v>
      </c>
      <c r="H5162" s="57" t="s">
        <v>13758</v>
      </c>
    </row>
    <row r="5163" spans="2:8" ht="13.5" customHeight="1">
      <c r="B5163" t="s">
        <v>9338</v>
      </c>
      <c r="D5163" t="s">
        <v>9338</v>
      </c>
      <c r="F5163" s="76">
        <v>5</v>
      </c>
      <c r="G5163" s="57" t="s">
        <v>13819</v>
      </c>
      <c r="H5163" s="57" t="s">
        <v>13758</v>
      </c>
    </row>
    <row r="5164" spans="2:8" ht="13.5" customHeight="1">
      <c r="B5164" t="s">
        <v>9339</v>
      </c>
      <c r="D5164" t="s">
        <v>9339</v>
      </c>
      <c r="F5164" s="76">
        <v>6</v>
      </c>
      <c r="G5164" s="57" t="s">
        <v>13819</v>
      </c>
      <c r="H5164" s="57" t="s">
        <v>13758</v>
      </c>
    </row>
    <row r="5165" spans="2:8" ht="13.5" customHeight="1">
      <c r="B5165" t="s">
        <v>9340</v>
      </c>
      <c r="D5165" t="s">
        <v>9340</v>
      </c>
      <c r="F5165" s="76">
        <v>8</v>
      </c>
      <c r="G5165" s="57" t="s">
        <v>13819</v>
      </c>
      <c r="H5165" s="57" t="s">
        <v>13758</v>
      </c>
    </row>
    <row r="5166" spans="2:8" ht="13.5" customHeight="1">
      <c r="B5166" t="s">
        <v>9341</v>
      </c>
      <c r="D5166" t="s">
        <v>9341</v>
      </c>
      <c r="F5166" s="76">
        <v>8</v>
      </c>
      <c r="G5166" s="57" t="s">
        <v>13819</v>
      </c>
      <c r="H5166" s="57" t="s">
        <v>13758</v>
      </c>
    </row>
    <row r="5167" spans="2:8" ht="13.5" customHeight="1">
      <c r="B5167" t="s">
        <v>9342</v>
      </c>
      <c r="D5167" t="s">
        <v>9342</v>
      </c>
      <c r="F5167" s="76">
        <v>9</v>
      </c>
      <c r="G5167" s="57" t="s">
        <v>13819</v>
      </c>
      <c r="H5167" s="57" t="s">
        <v>13758</v>
      </c>
    </row>
    <row r="5168" spans="2:8" ht="13.5" customHeight="1">
      <c r="B5168" t="s">
        <v>9289</v>
      </c>
      <c r="D5168" t="s">
        <v>9289</v>
      </c>
      <c r="F5168" s="76">
        <v>10</v>
      </c>
      <c r="G5168" s="57" t="s">
        <v>13819</v>
      </c>
      <c r="H5168" s="57" t="s">
        <v>13758</v>
      </c>
    </row>
    <row r="5169" spans="2:8" ht="13.5" customHeight="1">
      <c r="B5169" t="s">
        <v>9343</v>
      </c>
      <c r="D5169" t="s">
        <v>9343</v>
      </c>
      <c r="F5169" s="76">
        <v>11</v>
      </c>
      <c r="G5169" s="57" t="s">
        <v>13819</v>
      </c>
      <c r="H5169" s="57" t="s">
        <v>13758</v>
      </c>
    </row>
    <row r="5170" spans="2:8" ht="13.5" customHeight="1">
      <c r="B5170" t="s">
        <v>9298</v>
      </c>
      <c r="D5170" t="s">
        <v>9298</v>
      </c>
      <c r="F5170" s="76">
        <v>19</v>
      </c>
      <c r="G5170" s="57" t="s">
        <v>13819</v>
      </c>
      <c r="H5170" s="57" t="s">
        <v>13758</v>
      </c>
    </row>
    <row r="5171" spans="2:8" ht="13.5" customHeight="1">
      <c r="B5171" t="s">
        <v>9344</v>
      </c>
      <c r="D5171" t="s">
        <v>9344</v>
      </c>
      <c r="F5171" s="76">
        <v>24</v>
      </c>
      <c r="G5171" s="57" t="s">
        <v>13819</v>
      </c>
      <c r="H5171" s="57" t="s">
        <v>13758</v>
      </c>
    </row>
    <row r="5172" spans="2:8" ht="13.5" customHeight="1">
      <c r="B5172" t="s">
        <v>9345</v>
      </c>
      <c r="D5172" t="s">
        <v>9465</v>
      </c>
      <c r="F5172" s="76">
        <v>2</v>
      </c>
      <c r="G5172" s="57" t="s">
        <v>13819</v>
      </c>
      <c r="H5172" s="57" t="s">
        <v>1420</v>
      </c>
    </row>
    <row r="5173" spans="2:8" ht="13.5" customHeight="1">
      <c r="B5173" t="s">
        <v>9346</v>
      </c>
      <c r="D5173" t="s">
        <v>9466</v>
      </c>
      <c r="F5173" s="76">
        <v>4</v>
      </c>
      <c r="G5173" s="57" t="s">
        <v>13819</v>
      </c>
      <c r="H5173" s="57" t="s">
        <v>1420</v>
      </c>
    </row>
    <row r="5174" spans="2:8" ht="13.5" customHeight="1">
      <c r="B5174" t="s">
        <v>9347</v>
      </c>
      <c r="D5174" t="s">
        <v>9467</v>
      </c>
      <c r="F5174" s="76">
        <v>6</v>
      </c>
      <c r="G5174" s="57" t="s">
        <v>13819</v>
      </c>
      <c r="H5174" s="57" t="s">
        <v>1420</v>
      </c>
    </row>
    <row r="5175" spans="2:8" ht="13.5" customHeight="1">
      <c r="B5175" t="s">
        <v>9348</v>
      </c>
      <c r="D5175" t="s">
        <v>9468</v>
      </c>
      <c r="F5175" s="76">
        <v>6</v>
      </c>
      <c r="G5175" s="57" t="s">
        <v>13819</v>
      </c>
      <c r="H5175" s="57" t="s">
        <v>1420</v>
      </c>
    </row>
    <row r="5176" spans="2:8" ht="13.5" customHeight="1">
      <c r="B5176" t="s">
        <v>9349</v>
      </c>
      <c r="D5176" t="s">
        <v>9469</v>
      </c>
      <c r="F5176" s="76">
        <v>19</v>
      </c>
      <c r="G5176" s="57" t="s">
        <v>13819</v>
      </c>
      <c r="H5176" s="57" t="s">
        <v>1420</v>
      </c>
    </row>
    <row r="5177" spans="2:8" ht="13.5" customHeight="1">
      <c r="B5177" t="s">
        <v>9350</v>
      </c>
      <c r="D5177" t="s">
        <v>9470</v>
      </c>
      <c r="F5177" s="76">
        <v>25</v>
      </c>
      <c r="G5177" s="57" t="s">
        <v>13819</v>
      </c>
      <c r="H5177" s="57" t="s">
        <v>1420</v>
      </c>
    </row>
    <row r="5178" spans="2:8" ht="13.5" customHeight="1">
      <c r="B5178" t="s">
        <v>9351</v>
      </c>
      <c r="D5178" t="s">
        <v>9471</v>
      </c>
      <c r="F5178" s="76">
        <v>25</v>
      </c>
      <c r="G5178" s="57" t="s">
        <v>13819</v>
      </c>
      <c r="H5178" s="57" t="s">
        <v>1420</v>
      </c>
    </row>
    <row r="5179" spans="2:8" ht="13.5" customHeight="1">
      <c r="B5179" t="s">
        <v>9352</v>
      </c>
      <c r="D5179" t="s">
        <v>9472</v>
      </c>
      <c r="F5179" s="76">
        <v>28</v>
      </c>
      <c r="G5179" s="57" t="s">
        <v>13819</v>
      </c>
      <c r="H5179" s="57" t="s">
        <v>1420</v>
      </c>
    </row>
    <row r="5180" spans="2:8" ht="13.5" customHeight="1">
      <c r="B5180" t="s">
        <v>9353</v>
      </c>
      <c r="D5180" t="s">
        <v>9473</v>
      </c>
      <c r="F5180" s="76">
        <v>29</v>
      </c>
      <c r="G5180" s="57" t="s">
        <v>13819</v>
      </c>
      <c r="H5180" s="57" t="s">
        <v>1420</v>
      </c>
    </row>
    <row r="5181" spans="2:8" ht="13.5" customHeight="1">
      <c r="B5181" t="s">
        <v>9354</v>
      </c>
      <c r="D5181" t="s">
        <v>9474</v>
      </c>
      <c r="F5181" s="76">
        <v>29</v>
      </c>
      <c r="G5181" s="57" t="s">
        <v>13819</v>
      </c>
      <c r="H5181" s="57" t="s">
        <v>1420</v>
      </c>
    </row>
    <row r="5182" spans="2:8" ht="13.5" customHeight="1">
      <c r="B5182" t="s">
        <v>9355</v>
      </c>
      <c r="D5182" t="s">
        <v>9475</v>
      </c>
      <c r="F5182" s="76">
        <v>29</v>
      </c>
      <c r="G5182" s="57" t="s">
        <v>13819</v>
      </c>
      <c r="H5182" s="57" t="s">
        <v>1420</v>
      </c>
    </row>
    <row r="5183" spans="2:8" ht="13.5" customHeight="1">
      <c r="B5183" t="s">
        <v>9356</v>
      </c>
      <c r="D5183" t="s">
        <v>9476</v>
      </c>
      <c r="F5183" s="76">
        <v>59</v>
      </c>
      <c r="G5183" s="57" t="s">
        <v>13819</v>
      </c>
      <c r="H5183" s="57" t="s">
        <v>1420</v>
      </c>
    </row>
    <row r="5184" spans="2:8" ht="13.5" customHeight="1">
      <c r="B5184" t="s">
        <v>9357</v>
      </c>
      <c r="D5184" t="s">
        <v>9477</v>
      </c>
      <c r="F5184" s="76">
        <v>60</v>
      </c>
      <c r="G5184" s="57" t="s">
        <v>13819</v>
      </c>
      <c r="H5184" s="57" t="s">
        <v>1420</v>
      </c>
    </row>
    <row r="5185" spans="2:8" ht="13.5" customHeight="1">
      <c r="B5185" t="s">
        <v>9358</v>
      </c>
      <c r="D5185" t="s">
        <v>9478</v>
      </c>
      <c r="F5185" s="76">
        <v>60</v>
      </c>
      <c r="G5185" s="57" t="s">
        <v>13819</v>
      </c>
      <c r="H5185" s="57" t="s">
        <v>1420</v>
      </c>
    </row>
    <row r="5186" spans="2:8" ht="13.5" customHeight="1">
      <c r="B5186" t="s">
        <v>9359</v>
      </c>
      <c r="D5186" t="s">
        <v>9479</v>
      </c>
      <c r="F5186" s="76">
        <v>60</v>
      </c>
      <c r="G5186" s="57" t="s">
        <v>13819</v>
      </c>
      <c r="H5186" s="57" t="s">
        <v>1420</v>
      </c>
    </row>
    <row r="5187" spans="2:8" ht="13.5" customHeight="1">
      <c r="B5187" t="s">
        <v>9360</v>
      </c>
      <c r="D5187" t="s">
        <v>9480</v>
      </c>
      <c r="F5187" s="76">
        <v>80</v>
      </c>
      <c r="G5187" s="57" t="s">
        <v>13819</v>
      </c>
      <c r="H5187" s="57" t="s">
        <v>1420</v>
      </c>
    </row>
    <row r="5188" spans="2:8" ht="13.5" customHeight="1">
      <c r="B5188" t="s">
        <v>9361</v>
      </c>
      <c r="D5188" t="s">
        <v>9481</v>
      </c>
      <c r="F5188" s="76">
        <v>80</v>
      </c>
      <c r="G5188" s="57" t="s">
        <v>13819</v>
      </c>
      <c r="H5188" s="57" t="s">
        <v>1420</v>
      </c>
    </row>
    <row r="5189" spans="2:8" ht="13.5" customHeight="1">
      <c r="B5189" t="s">
        <v>9362</v>
      </c>
      <c r="D5189" t="s">
        <v>9482</v>
      </c>
      <c r="F5189" s="76">
        <v>80</v>
      </c>
      <c r="G5189" s="57" t="s">
        <v>13819</v>
      </c>
      <c r="H5189" s="57" t="s">
        <v>1420</v>
      </c>
    </row>
    <row r="5190" spans="2:8" ht="13.5" customHeight="1">
      <c r="B5190" t="s">
        <v>9363</v>
      </c>
      <c r="D5190" t="s">
        <v>9483</v>
      </c>
      <c r="F5190" s="76">
        <v>80</v>
      </c>
      <c r="G5190" s="57" t="s">
        <v>13819</v>
      </c>
      <c r="H5190" s="57" t="s">
        <v>1420</v>
      </c>
    </row>
    <row r="5191" spans="2:8" ht="13.5" customHeight="1">
      <c r="B5191" t="s">
        <v>9364</v>
      </c>
      <c r="D5191" t="s">
        <v>9484</v>
      </c>
      <c r="F5191" s="76">
        <v>80</v>
      </c>
      <c r="G5191" s="57" t="s">
        <v>13819</v>
      </c>
      <c r="H5191" s="57" t="s">
        <v>1420</v>
      </c>
    </row>
    <row r="5192" spans="2:8" ht="13.5" customHeight="1">
      <c r="B5192" t="s">
        <v>9365</v>
      </c>
      <c r="D5192" t="s">
        <v>9485</v>
      </c>
      <c r="F5192" s="76">
        <v>85</v>
      </c>
      <c r="G5192" s="57" t="s">
        <v>13819</v>
      </c>
      <c r="H5192" s="57" t="s">
        <v>1420</v>
      </c>
    </row>
    <row r="5193" spans="2:8" ht="13.5" customHeight="1">
      <c r="B5193" t="s">
        <v>9366</v>
      </c>
      <c r="D5193" t="s">
        <v>9486</v>
      </c>
      <c r="F5193" s="76">
        <v>160</v>
      </c>
      <c r="G5193" s="57" t="s">
        <v>13819</v>
      </c>
      <c r="H5193" s="57" t="s">
        <v>1420</v>
      </c>
    </row>
    <row r="5194" spans="2:8" ht="13.5" customHeight="1">
      <c r="B5194" t="s">
        <v>9367</v>
      </c>
      <c r="D5194" t="s">
        <v>9487</v>
      </c>
      <c r="F5194" s="76">
        <v>160</v>
      </c>
      <c r="G5194" s="57" t="s">
        <v>13819</v>
      </c>
      <c r="H5194" s="57" t="s">
        <v>1420</v>
      </c>
    </row>
    <row r="5195" spans="2:8" ht="13.5" customHeight="1">
      <c r="B5195" t="s">
        <v>9368</v>
      </c>
      <c r="D5195" t="s">
        <v>9488</v>
      </c>
      <c r="F5195" s="76">
        <v>160</v>
      </c>
      <c r="G5195" s="57" t="s">
        <v>13819</v>
      </c>
      <c r="H5195" s="57" t="s">
        <v>1420</v>
      </c>
    </row>
    <row r="5196" spans="2:8" ht="13.5" customHeight="1">
      <c r="B5196" t="s">
        <v>9369</v>
      </c>
      <c r="D5196" t="s">
        <v>9489</v>
      </c>
      <c r="F5196" s="76">
        <v>180</v>
      </c>
      <c r="G5196" s="57" t="s">
        <v>13819</v>
      </c>
      <c r="H5196" s="57" t="s">
        <v>1420</v>
      </c>
    </row>
    <row r="5197" spans="2:8" ht="13.5" customHeight="1">
      <c r="B5197" t="s">
        <v>9370</v>
      </c>
      <c r="D5197" t="s">
        <v>9490</v>
      </c>
      <c r="F5197" s="76">
        <v>360</v>
      </c>
      <c r="G5197" s="57" t="s">
        <v>13819</v>
      </c>
      <c r="H5197" s="57" t="s">
        <v>1420</v>
      </c>
    </row>
    <row r="5198" spans="2:8" ht="13.5" customHeight="1">
      <c r="B5198" t="s">
        <v>9371</v>
      </c>
      <c r="D5198" t="s">
        <v>9491</v>
      </c>
      <c r="F5198" s="76">
        <v>380</v>
      </c>
      <c r="G5198" s="57" t="s">
        <v>13819</v>
      </c>
      <c r="H5198" s="57" t="s">
        <v>1420</v>
      </c>
    </row>
    <row r="5199" spans="2:8" ht="13.5" customHeight="1">
      <c r="B5199" t="s">
        <v>9372</v>
      </c>
      <c r="D5199" t="s">
        <v>9492</v>
      </c>
      <c r="F5199" s="76">
        <v>380</v>
      </c>
      <c r="G5199" s="57" t="s">
        <v>13819</v>
      </c>
      <c r="H5199" s="57" t="s">
        <v>1420</v>
      </c>
    </row>
    <row r="5200" spans="2:8" ht="13.5" customHeight="1">
      <c r="B5200" t="s">
        <v>9373</v>
      </c>
      <c r="D5200" t="s">
        <v>9493</v>
      </c>
      <c r="F5200" s="76">
        <v>380</v>
      </c>
      <c r="G5200" s="57" t="s">
        <v>13819</v>
      </c>
      <c r="H5200" s="57" t="s">
        <v>1420</v>
      </c>
    </row>
    <row r="5201" spans="2:8" ht="13.5" customHeight="1">
      <c r="B5201" t="s">
        <v>9374</v>
      </c>
      <c r="D5201" t="s">
        <v>9494</v>
      </c>
      <c r="F5201" s="76">
        <v>3400</v>
      </c>
      <c r="G5201" s="57" t="s">
        <v>13819</v>
      </c>
      <c r="H5201" s="57" t="s">
        <v>1420</v>
      </c>
    </row>
    <row r="5202" spans="2:8" ht="13.5" customHeight="1">
      <c r="B5202" t="s">
        <v>9375</v>
      </c>
      <c r="D5202" t="s">
        <v>9495</v>
      </c>
      <c r="F5202" s="76">
        <v>4000</v>
      </c>
      <c r="G5202" s="57" t="s">
        <v>13819</v>
      </c>
      <c r="H5202" s="57" t="s">
        <v>1420</v>
      </c>
    </row>
    <row r="5203" spans="2:8" ht="13.5" customHeight="1">
      <c r="B5203" t="s">
        <v>9376</v>
      </c>
      <c r="D5203" t="s">
        <v>9496</v>
      </c>
      <c r="F5203" s="76">
        <v>1</v>
      </c>
      <c r="G5203" s="57" t="s">
        <v>13819</v>
      </c>
      <c r="H5203" s="57" t="s">
        <v>13759</v>
      </c>
    </row>
    <row r="5204" spans="2:8" ht="13.5" customHeight="1">
      <c r="B5204" t="s">
        <v>9377</v>
      </c>
      <c r="D5204" t="s">
        <v>9469</v>
      </c>
      <c r="F5204" s="76">
        <v>40</v>
      </c>
      <c r="G5204" s="57" t="s">
        <v>13819</v>
      </c>
      <c r="H5204" s="57" t="s">
        <v>13759</v>
      </c>
    </row>
    <row r="5205" spans="2:8" ht="13.5" customHeight="1">
      <c r="B5205" t="s">
        <v>9378</v>
      </c>
      <c r="D5205" t="s">
        <v>9497</v>
      </c>
      <c r="F5205" s="76">
        <v>160</v>
      </c>
      <c r="G5205" s="57" t="s">
        <v>13819</v>
      </c>
      <c r="H5205" s="57" t="s">
        <v>13760</v>
      </c>
    </row>
    <row r="5206" spans="2:8" ht="13.5" customHeight="1">
      <c r="B5206" t="s">
        <v>9356</v>
      </c>
      <c r="D5206" t="s">
        <v>9476</v>
      </c>
      <c r="F5206" s="76">
        <v>40</v>
      </c>
      <c r="G5206" s="57" t="s">
        <v>13819</v>
      </c>
      <c r="H5206" s="57" t="s">
        <v>13761</v>
      </c>
    </row>
    <row r="5207" spans="2:8" ht="13.5" customHeight="1">
      <c r="B5207" t="s">
        <v>9357</v>
      </c>
      <c r="D5207" t="s">
        <v>9477</v>
      </c>
      <c r="F5207" s="76">
        <v>40</v>
      </c>
      <c r="G5207" s="57" t="s">
        <v>13819</v>
      </c>
      <c r="H5207" s="57" t="s">
        <v>13761</v>
      </c>
    </row>
    <row r="5208" spans="2:8" ht="13.5" customHeight="1">
      <c r="B5208" t="s">
        <v>9366</v>
      </c>
      <c r="D5208" t="s">
        <v>9498</v>
      </c>
      <c r="F5208" s="76">
        <v>40</v>
      </c>
      <c r="G5208" s="57" t="s">
        <v>13819</v>
      </c>
      <c r="H5208" s="57" t="s">
        <v>13761</v>
      </c>
    </row>
    <row r="5209" spans="2:8" ht="13.5" customHeight="1">
      <c r="B5209" t="s">
        <v>9367</v>
      </c>
      <c r="D5209" t="s">
        <v>9499</v>
      </c>
      <c r="F5209" s="76">
        <v>40</v>
      </c>
      <c r="G5209" s="57" t="s">
        <v>13819</v>
      </c>
      <c r="H5209" s="57" t="s">
        <v>13761</v>
      </c>
    </row>
    <row r="5210" spans="2:8" ht="13.5" customHeight="1">
      <c r="B5210" t="s">
        <v>9368</v>
      </c>
      <c r="D5210" t="s">
        <v>9500</v>
      </c>
      <c r="F5210" s="76">
        <v>40</v>
      </c>
      <c r="G5210" s="57" t="s">
        <v>13819</v>
      </c>
      <c r="H5210" s="57" t="s">
        <v>13761</v>
      </c>
    </row>
    <row r="5211" spans="2:8" ht="13.5" customHeight="1">
      <c r="B5211" t="s">
        <v>9358</v>
      </c>
      <c r="D5211" t="s">
        <v>9478</v>
      </c>
      <c r="F5211" s="76">
        <v>40</v>
      </c>
      <c r="G5211" s="57" t="s">
        <v>13819</v>
      </c>
      <c r="H5211" s="57" t="s">
        <v>13761</v>
      </c>
    </row>
    <row r="5212" spans="2:8" ht="13.5" customHeight="1">
      <c r="B5212" t="s">
        <v>9359</v>
      </c>
      <c r="D5212" t="s">
        <v>9479</v>
      </c>
      <c r="F5212" s="76">
        <v>40</v>
      </c>
      <c r="G5212" s="57" t="s">
        <v>13819</v>
      </c>
      <c r="H5212" s="57" t="s">
        <v>13761</v>
      </c>
    </row>
    <row r="5213" spans="2:8" ht="13.5" customHeight="1">
      <c r="B5213" t="s">
        <v>9379</v>
      </c>
      <c r="D5213" t="s">
        <v>9501</v>
      </c>
      <c r="F5213" s="76">
        <v>40</v>
      </c>
      <c r="G5213" s="57" t="s">
        <v>13819</v>
      </c>
      <c r="H5213" s="57" t="s">
        <v>13761</v>
      </c>
    </row>
    <row r="5214" spans="2:8" ht="13.5" customHeight="1">
      <c r="B5214" t="s">
        <v>9380</v>
      </c>
      <c r="D5214" t="s">
        <v>9502</v>
      </c>
      <c r="F5214" s="76">
        <v>62</v>
      </c>
      <c r="G5214" s="57" t="s">
        <v>13819</v>
      </c>
      <c r="H5214" s="57" t="s">
        <v>13761</v>
      </c>
    </row>
    <row r="5215" spans="2:8" ht="13.5" customHeight="1">
      <c r="B5215"/>
      <c r="D5215" t="s">
        <v>9503</v>
      </c>
      <c r="F5215" s="76">
        <v>70</v>
      </c>
      <c r="G5215" s="57" t="s">
        <v>13819</v>
      </c>
      <c r="H5215" s="57" t="s">
        <v>13761</v>
      </c>
    </row>
    <row r="5216" spans="2:8" ht="13.5" customHeight="1">
      <c r="B5216" t="s">
        <v>9381</v>
      </c>
      <c r="D5216" t="s">
        <v>9504</v>
      </c>
      <c r="F5216" s="76">
        <v>80</v>
      </c>
      <c r="G5216" s="57" t="s">
        <v>13819</v>
      </c>
      <c r="H5216" s="57" t="s">
        <v>13761</v>
      </c>
    </row>
    <row r="5217" spans="2:8" ht="13.5" customHeight="1">
      <c r="B5217" t="s">
        <v>9360</v>
      </c>
      <c r="D5217" t="s">
        <v>9480</v>
      </c>
      <c r="F5217" s="76">
        <v>120</v>
      </c>
      <c r="G5217" s="57" t="s">
        <v>13819</v>
      </c>
      <c r="H5217" s="57" t="s">
        <v>13761</v>
      </c>
    </row>
    <row r="5218" spans="2:8" ht="13.5" customHeight="1">
      <c r="B5218" t="s">
        <v>9361</v>
      </c>
      <c r="D5218" t="s">
        <v>9481</v>
      </c>
      <c r="F5218" s="76">
        <v>120</v>
      </c>
      <c r="G5218" s="57" t="s">
        <v>13819</v>
      </c>
      <c r="H5218" s="57" t="s">
        <v>13761</v>
      </c>
    </row>
    <row r="5219" spans="2:8" ht="13.5" customHeight="1">
      <c r="B5219" t="s">
        <v>9382</v>
      </c>
      <c r="D5219" t="s">
        <v>9505</v>
      </c>
      <c r="F5219" s="76">
        <v>160</v>
      </c>
      <c r="G5219" s="57" t="s">
        <v>13819</v>
      </c>
      <c r="H5219" s="57" t="s">
        <v>13761</v>
      </c>
    </row>
    <row r="5220" spans="2:8" ht="13.5" customHeight="1">
      <c r="B5220" t="s">
        <v>9383</v>
      </c>
      <c r="D5220" t="s">
        <v>9506</v>
      </c>
      <c r="F5220" s="76">
        <v>200</v>
      </c>
      <c r="G5220" s="57" t="s">
        <v>13819</v>
      </c>
      <c r="H5220" s="57" t="s">
        <v>13761</v>
      </c>
    </row>
    <row r="5221" spans="2:8" ht="13.5" customHeight="1">
      <c r="B5221" t="s">
        <v>9384</v>
      </c>
      <c r="D5221" t="s">
        <v>9507</v>
      </c>
      <c r="F5221" s="76">
        <v>280</v>
      </c>
      <c r="G5221" s="57" t="s">
        <v>13819</v>
      </c>
      <c r="H5221" s="57" t="s">
        <v>13761</v>
      </c>
    </row>
    <row r="5222" spans="2:8" ht="13.5" customHeight="1">
      <c r="B5222" t="s">
        <v>9385</v>
      </c>
      <c r="D5222" t="s">
        <v>9508</v>
      </c>
      <c r="F5222" s="76">
        <v>280</v>
      </c>
      <c r="G5222" s="57" t="s">
        <v>13819</v>
      </c>
      <c r="H5222" s="57" t="s">
        <v>13761</v>
      </c>
    </row>
    <row r="5223" spans="2:8" ht="13.5" customHeight="1">
      <c r="B5223" t="s">
        <v>9386</v>
      </c>
      <c r="D5223">
        <v>74270117</v>
      </c>
      <c r="F5223" s="76">
        <v>520</v>
      </c>
      <c r="G5223" s="57" t="s">
        <v>13819</v>
      </c>
      <c r="H5223" s="57" t="s">
        <v>13761</v>
      </c>
    </row>
    <row r="5224" spans="2:8" ht="13.5" customHeight="1">
      <c r="B5224" t="s">
        <v>9387</v>
      </c>
      <c r="D5224" t="s">
        <v>9509</v>
      </c>
      <c r="F5224" s="76">
        <v>600</v>
      </c>
      <c r="G5224" s="57" t="s">
        <v>13819</v>
      </c>
      <c r="H5224" s="57" t="s">
        <v>13761</v>
      </c>
    </row>
    <row r="5225" spans="2:8" ht="13.5" customHeight="1">
      <c r="B5225" t="s">
        <v>9375</v>
      </c>
      <c r="D5225" t="s">
        <v>9495</v>
      </c>
      <c r="F5225" s="76">
        <v>1000</v>
      </c>
      <c r="G5225" s="57" t="s">
        <v>13819</v>
      </c>
      <c r="H5225" s="57" t="s">
        <v>13761</v>
      </c>
    </row>
    <row r="5226" spans="2:8" ht="13.5" customHeight="1">
      <c r="B5226" t="s">
        <v>9374</v>
      </c>
      <c r="D5226" t="s">
        <v>9494</v>
      </c>
      <c r="F5226" s="76">
        <v>1600</v>
      </c>
      <c r="G5226" s="57" t="s">
        <v>13819</v>
      </c>
      <c r="H5226" s="57" t="s">
        <v>13761</v>
      </c>
    </row>
    <row r="5227" spans="2:8" ht="13.5" customHeight="1">
      <c r="B5227"/>
      <c r="D5227" t="s">
        <v>9510</v>
      </c>
      <c r="F5227" s="76">
        <v>1</v>
      </c>
      <c r="G5227" s="57" t="s">
        <v>13819</v>
      </c>
      <c r="H5227" s="57" t="s">
        <v>13762</v>
      </c>
    </row>
    <row r="5228" spans="2:8" ht="13.5" customHeight="1">
      <c r="B5228" t="s">
        <v>9388</v>
      </c>
      <c r="D5228">
        <v>1301260231</v>
      </c>
      <c r="F5228" s="76">
        <v>1</v>
      </c>
      <c r="G5228" s="57" t="s">
        <v>13819</v>
      </c>
      <c r="H5228" s="57" t="s">
        <v>6613</v>
      </c>
    </row>
    <row r="5229" spans="2:8" ht="13.5" customHeight="1">
      <c r="B5229" t="s">
        <v>9389</v>
      </c>
      <c r="D5229" t="s">
        <v>9511</v>
      </c>
      <c r="F5229" s="76">
        <v>1</v>
      </c>
      <c r="G5229" s="57" t="s">
        <v>13819</v>
      </c>
      <c r="H5229" s="57" t="s">
        <v>6613</v>
      </c>
    </row>
    <row r="5230" spans="2:8" ht="13.5" customHeight="1">
      <c r="B5230"/>
      <c r="D5230" t="s">
        <v>9512</v>
      </c>
      <c r="F5230" s="76">
        <v>3</v>
      </c>
      <c r="G5230" s="57" t="s">
        <v>13819</v>
      </c>
      <c r="H5230" s="57" t="s">
        <v>6613</v>
      </c>
    </row>
    <row r="5231" spans="2:8" ht="13.5" customHeight="1">
      <c r="B5231" t="s">
        <v>9390</v>
      </c>
      <c r="D5231" t="s">
        <v>9513</v>
      </c>
      <c r="F5231" s="76">
        <v>3</v>
      </c>
      <c r="G5231" s="57" t="s">
        <v>13819</v>
      </c>
      <c r="H5231" s="57" t="s">
        <v>6613</v>
      </c>
    </row>
    <row r="5232" spans="2:8" ht="13.5" customHeight="1">
      <c r="B5232" t="s">
        <v>9391</v>
      </c>
      <c r="D5232" t="s">
        <v>9514</v>
      </c>
      <c r="F5232" s="76">
        <v>6</v>
      </c>
      <c r="G5232" s="57" t="s">
        <v>13819</v>
      </c>
      <c r="H5232" s="57" t="s">
        <v>6613</v>
      </c>
    </row>
    <row r="5233" spans="2:8" ht="13.5" customHeight="1">
      <c r="B5233" t="s">
        <v>9392</v>
      </c>
      <c r="D5233" t="s">
        <v>9515</v>
      </c>
      <c r="F5233" s="76">
        <v>10</v>
      </c>
      <c r="G5233" s="57" t="s">
        <v>13819</v>
      </c>
      <c r="H5233" s="57" t="s">
        <v>6613</v>
      </c>
    </row>
    <row r="5234" spans="2:8" ht="13.5" customHeight="1">
      <c r="B5234" t="s">
        <v>9393</v>
      </c>
      <c r="D5234" t="s">
        <v>9516</v>
      </c>
      <c r="F5234" s="76">
        <v>15</v>
      </c>
      <c r="G5234" s="57" t="s">
        <v>13819</v>
      </c>
      <c r="H5234" s="57" t="s">
        <v>6613</v>
      </c>
    </row>
    <row r="5235" spans="2:8" ht="13.5" customHeight="1">
      <c r="B5235" t="s">
        <v>9394</v>
      </c>
      <c r="D5235" t="s">
        <v>9517</v>
      </c>
      <c r="F5235" s="76">
        <v>15</v>
      </c>
      <c r="G5235" s="57" t="s">
        <v>13819</v>
      </c>
      <c r="H5235" s="57" t="s">
        <v>6613</v>
      </c>
    </row>
    <row r="5236" spans="2:8" ht="13.5" customHeight="1">
      <c r="B5236" t="s">
        <v>9395</v>
      </c>
      <c r="D5236" t="s">
        <v>9395</v>
      </c>
      <c r="F5236" s="76">
        <v>17</v>
      </c>
      <c r="G5236" s="57" t="s">
        <v>13819</v>
      </c>
      <c r="H5236" s="57" t="s">
        <v>6613</v>
      </c>
    </row>
    <row r="5237" spans="2:8" ht="13.5" customHeight="1">
      <c r="B5237" t="s">
        <v>9396</v>
      </c>
      <c r="D5237" t="s">
        <v>9396</v>
      </c>
      <c r="F5237" s="76">
        <v>17</v>
      </c>
      <c r="G5237" s="57" t="s">
        <v>13819</v>
      </c>
      <c r="H5237" s="57" t="s">
        <v>6613</v>
      </c>
    </row>
    <row r="5238" spans="2:8" ht="13.5" customHeight="1">
      <c r="B5238" t="s">
        <v>9397</v>
      </c>
      <c r="D5238">
        <v>7841202</v>
      </c>
      <c r="F5238" s="76">
        <v>26</v>
      </c>
      <c r="G5238" s="57" t="s">
        <v>13819</v>
      </c>
      <c r="H5238" s="57" t="s">
        <v>6613</v>
      </c>
    </row>
    <row r="5239" spans="2:8" ht="13.5" customHeight="1">
      <c r="B5239" t="s">
        <v>9398</v>
      </c>
      <c r="D5239" t="s">
        <v>9398</v>
      </c>
      <c r="F5239" s="76">
        <v>34</v>
      </c>
      <c r="G5239" s="57" t="s">
        <v>13819</v>
      </c>
      <c r="H5239" s="57" t="s">
        <v>6613</v>
      </c>
    </row>
    <row r="5240" spans="2:8" ht="13.5" customHeight="1">
      <c r="B5240" t="s">
        <v>9399</v>
      </c>
      <c r="D5240" t="s">
        <v>9399</v>
      </c>
      <c r="F5240" s="76">
        <v>36</v>
      </c>
      <c r="G5240" s="57" t="s">
        <v>13819</v>
      </c>
      <c r="H5240" s="57" t="s">
        <v>6613</v>
      </c>
    </row>
    <row r="5241" spans="2:8" ht="13.5" customHeight="1">
      <c r="B5241" t="s">
        <v>9400</v>
      </c>
      <c r="D5241" t="s">
        <v>9400</v>
      </c>
      <c r="F5241" s="76">
        <v>37</v>
      </c>
      <c r="G5241" s="57" t="s">
        <v>13819</v>
      </c>
      <c r="H5241" s="57" t="s">
        <v>6613</v>
      </c>
    </row>
    <row r="5242" spans="2:8" ht="13.5" customHeight="1">
      <c r="B5242" t="s">
        <v>9401</v>
      </c>
      <c r="D5242" t="s">
        <v>9401</v>
      </c>
      <c r="F5242" s="76">
        <v>53</v>
      </c>
      <c r="G5242" s="57" t="s">
        <v>13819</v>
      </c>
      <c r="H5242" s="57" t="s">
        <v>6613</v>
      </c>
    </row>
    <row r="5243" spans="2:8" ht="13.5" customHeight="1">
      <c r="B5243"/>
      <c r="D5243" t="s">
        <v>9518</v>
      </c>
      <c r="F5243" s="76">
        <v>75</v>
      </c>
      <c r="G5243" s="57" t="s">
        <v>13819</v>
      </c>
      <c r="H5243" s="57" t="s">
        <v>6613</v>
      </c>
    </row>
    <row r="5244" spans="2:8" ht="13.5" customHeight="1">
      <c r="B5244" t="s">
        <v>9402</v>
      </c>
      <c r="D5244" t="s">
        <v>9402</v>
      </c>
      <c r="F5244" s="76">
        <v>205</v>
      </c>
      <c r="G5244" s="57" t="s">
        <v>13819</v>
      </c>
      <c r="H5244" s="57" t="s">
        <v>6613</v>
      </c>
    </row>
    <row r="5245" spans="2:8" ht="13.5" customHeight="1">
      <c r="B5245" t="s">
        <v>9403</v>
      </c>
      <c r="D5245" t="s">
        <v>9519</v>
      </c>
      <c r="F5245" s="76">
        <v>3</v>
      </c>
      <c r="G5245" s="57" t="s">
        <v>13819</v>
      </c>
      <c r="H5245" s="57" t="s">
        <v>13763</v>
      </c>
    </row>
    <row r="5246" spans="2:8" ht="13.5" customHeight="1">
      <c r="B5246" t="s">
        <v>9404</v>
      </c>
      <c r="D5246" t="s">
        <v>9520</v>
      </c>
      <c r="F5246" s="76">
        <v>3</v>
      </c>
      <c r="G5246" s="57" t="s">
        <v>13819</v>
      </c>
      <c r="H5246" s="57" t="s">
        <v>13763</v>
      </c>
    </row>
    <row r="5247" spans="2:8" ht="13.5" customHeight="1">
      <c r="B5247" t="s">
        <v>9405</v>
      </c>
      <c r="D5247" t="s">
        <v>9521</v>
      </c>
      <c r="F5247" s="76">
        <v>4</v>
      </c>
      <c r="G5247" s="57" t="s">
        <v>13819</v>
      </c>
      <c r="H5247" s="57" t="s">
        <v>13763</v>
      </c>
    </row>
    <row r="5248" spans="2:8" ht="13.5" customHeight="1">
      <c r="B5248" t="s">
        <v>9406</v>
      </c>
      <c r="D5248" t="s">
        <v>9522</v>
      </c>
      <c r="F5248" s="76">
        <v>4</v>
      </c>
      <c r="G5248" s="57" t="s">
        <v>13819</v>
      </c>
      <c r="H5248" s="57" t="s">
        <v>13763</v>
      </c>
    </row>
    <row r="5249" spans="2:8" ht="13.5" customHeight="1">
      <c r="B5249" t="s">
        <v>466</v>
      </c>
      <c r="D5249" t="s">
        <v>9523</v>
      </c>
      <c r="F5249" s="76">
        <v>1</v>
      </c>
      <c r="G5249" s="57" t="s">
        <v>13819</v>
      </c>
      <c r="H5249" s="57" t="s">
        <v>13764</v>
      </c>
    </row>
    <row r="5250" spans="2:8" ht="13.5" customHeight="1">
      <c r="B5250" t="s">
        <v>466</v>
      </c>
      <c r="D5250" t="s">
        <v>9524</v>
      </c>
      <c r="F5250" s="76">
        <v>1</v>
      </c>
      <c r="G5250" s="57" t="s">
        <v>13819</v>
      </c>
      <c r="H5250" s="57" t="s">
        <v>13764</v>
      </c>
    </row>
    <row r="5251" spans="2:8" ht="13.5" customHeight="1">
      <c r="B5251" t="s">
        <v>466</v>
      </c>
      <c r="D5251" t="s">
        <v>9525</v>
      </c>
      <c r="F5251" s="76">
        <v>1</v>
      </c>
      <c r="G5251" s="57" t="s">
        <v>13819</v>
      </c>
      <c r="H5251" s="57" t="s">
        <v>13764</v>
      </c>
    </row>
    <row r="5252" spans="2:8" ht="13.5" customHeight="1">
      <c r="B5252" t="s">
        <v>466</v>
      </c>
      <c r="D5252" t="s">
        <v>9526</v>
      </c>
      <c r="F5252" s="76">
        <v>1</v>
      </c>
      <c r="G5252" s="57" t="s">
        <v>13819</v>
      </c>
      <c r="H5252" s="57" t="s">
        <v>13764</v>
      </c>
    </row>
    <row r="5253" spans="2:8" ht="13.5" customHeight="1">
      <c r="B5253" t="s">
        <v>466</v>
      </c>
      <c r="D5253" t="s">
        <v>9527</v>
      </c>
      <c r="F5253" s="76">
        <v>1</v>
      </c>
      <c r="G5253" s="57" t="s">
        <v>13819</v>
      </c>
      <c r="H5253" s="57" t="s">
        <v>13764</v>
      </c>
    </row>
    <row r="5254" spans="2:8" ht="13.5" customHeight="1">
      <c r="B5254" t="s">
        <v>466</v>
      </c>
      <c r="D5254" t="s">
        <v>9528</v>
      </c>
      <c r="F5254" s="76">
        <v>1</v>
      </c>
      <c r="G5254" s="57" t="s">
        <v>13819</v>
      </c>
      <c r="H5254" s="57" t="s">
        <v>13764</v>
      </c>
    </row>
    <row r="5255" spans="2:8" ht="13.5" customHeight="1">
      <c r="B5255" t="s">
        <v>466</v>
      </c>
      <c r="D5255" t="s">
        <v>9529</v>
      </c>
      <c r="F5255" s="76">
        <v>1</v>
      </c>
      <c r="G5255" s="57" t="s">
        <v>13819</v>
      </c>
      <c r="H5255" s="57" t="s">
        <v>13764</v>
      </c>
    </row>
    <row r="5256" spans="2:8" ht="13.5" customHeight="1">
      <c r="B5256" t="s">
        <v>466</v>
      </c>
      <c r="D5256" t="s">
        <v>9530</v>
      </c>
      <c r="F5256" s="76">
        <v>1</v>
      </c>
      <c r="G5256" s="57" t="s">
        <v>13819</v>
      </c>
      <c r="H5256" s="57" t="s">
        <v>13764</v>
      </c>
    </row>
    <row r="5257" spans="2:8" ht="13.5" customHeight="1">
      <c r="B5257" t="s">
        <v>466</v>
      </c>
      <c r="D5257" t="s">
        <v>9531</v>
      </c>
      <c r="F5257" s="76">
        <v>2</v>
      </c>
      <c r="G5257" s="57" t="s">
        <v>13819</v>
      </c>
      <c r="H5257" s="57" t="s">
        <v>13764</v>
      </c>
    </row>
    <row r="5258" spans="2:8" ht="13.5" customHeight="1">
      <c r="B5258" t="s">
        <v>466</v>
      </c>
      <c r="D5258" t="s">
        <v>9532</v>
      </c>
      <c r="F5258" s="76">
        <v>2</v>
      </c>
      <c r="G5258" s="57" t="s">
        <v>13819</v>
      </c>
      <c r="H5258" s="57" t="s">
        <v>13764</v>
      </c>
    </row>
    <row r="5259" spans="2:8" ht="13.5" customHeight="1">
      <c r="B5259" t="s">
        <v>466</v>
      </c>
      <c r="D5259" t="s">
        <v>9533</v>
      </c>
      <c r="F5259" s="76">
        <v>2</v>
      </c>
      <c r="G5259" s="57" t="s">
        <v>13819</v>
      </c>
      <c r="H5259" s="57" t="s">
        <v>13764</v>
      </c>
    </row>
    <row r="5260" spans="2:8" ht="13.5" customHeight="1">
      <c r="B5260" t="s">
        <v>466</v>
      </c>
      <c r="D5260" t="s">
        <v>9534</v>
      </c>
      <c r="F5260" s="76">
        <v>2</v>
      </c>
      <c r="G5260" s="57" t="s">
        <v>13819</v>
      </c>
      <c r="H5260" s="57" t="s">
        <v>13764</v>
      </c>
    </row>
    <row r="5261" spans="2:8" ht="13.5" customHeight="1">
      <c r="B5261" t="s">
        <v>466</v>
      </c>
      <c r="D5261" t="s">
        <v>9535</v>
      </c>
      <c r="F5261" s="76">
        <v>2</v>
      </c>
      <c r="G5261" s="57" t="s">
        <v>13819</v>
      </c>
      <c r="H5261" s="57" t="s">
        <v>13764</v>
      </c>
    </row>
    <row r="5262" spans="2:8" ht="13.5" customHeight="1">
      <c r="B5262" t="s">
        <v>466</v>
      </c>
      <c r="D5262" t="s">
        <v>9536</v>
      </c>
      <c r="F5262" s="76">
        <v>2</v>
      </c>
      <c r="G5262" s="57" t="s">
        <v>13819</v>
      </c>
      <c r="H5262" s="57" t="s">
        <v>13764</v>
      </c>
    </row>
    <row r="5263" spans="2:8" ht="13.5" customHeight="1">
      <c r="B5263" t="s">
        <v>466</v>
      </c>
      <c r="D5263" t="s">
        <v>9537</v>
      </c>
      <c r="F5263" s="76">
        <v>2</v>
      </c>
      <c r="G5263" s="57" t="s">
        <v>13819</v>
      </c>
      <c r="H5263" s="57" t="s">
        <v>13764</v>
      </c>
    </row>
    <row r="5264" spans="2:8" ht="13.5" customHeight="1">
      <c r="B5264" t="s">
        <v>466</v>
      </c>
      <c r="D5264" t="s">
        <v>9538</v>
      </c>
      <c r="F5264" s="76">
        <v>2</v>
      </c>
      <c r="G5264" s="57" t="s">
        <v>13819</v>
      </c>
      <c r="H5264" s="57" t="s">
        <v>13764</v>
      </c>
    </row>
    <row r="5265" spans="2:8" ht="13.5" customHeight="1">
      <c r="B5265" t="s">
        <v>466</v>
      </c>
      <c r="D5265" t="s">
        <v>9539</v>
      </c>
      <c r="F5265" s="76">
        <v>2</v>
      </c>
      <c r="G5265" s="57" t="s">
        <v>13819</v>
      </c>
      <c r="H5265" s="57" t="s">
        <v>13764</v>
      </c>
    </row>
    <row r="5266" spans="2:8" ht="13.5" customHeight="1">
      <c r="B5266" t="s">
        <v>466</v>
      </c>
      <c r="D5266" t="s">
        <v>9540</v>
      </c>
      <c r="F5266" s="76">
        <v>2</v>
      </c>
      <c r="G5266" s="57" t="s">
        <v>13819</v>
      </c>
      <c r="H5266" s="57" t="s">
        <v>13764</v>
      </c>
    </row>
    <row r="5267" spans="2:8" ht="13.5" customHeight="1">
      <c r="B5267" t="s">
        <v>466</v>
      </c>
      <c r="D5267" t="s">
        <v>9541</v>
      </c>
      <c r="F5267" s="76">
        <v>2</v>
      </c>
      <c r="G5267" s="57" t="s">
        <v>13819</v>
      </c>
      <c r="H5267" s="57" t="s">
        <v>13764</v>
      </c>
    </row>
    <row r="5268" spans="2:8" ht="13.5" customHeight="1">
      <c r="B5268" t="s">
        <v>466</v>
      </c>
      <c r="D5268" t="s">
        <v>9542</v>
      </c>
      <c r="F5268" s="76">
        <v>2</v>
      </c>
      <c r="G5268" s="57" t="s">
        <v>13819</v>
      </c>
      <c r="H5268" s="57" t="s">
        <v>13764</v>
      </c>
    </row>
    <row r="5269" spans="2:8" ht="13.5" customHeight="1">
      <c r="B5269" t="s">
        <v>466</v>
      </c>
      <c r="D5269" t="s">
        <v>9543</v>
      </c>
      <c r="F5269" s="76">
        <v>2</v>
      </c>
      <c r="G5269" s="57" t="s">
        <v>13819</v>
      </c>
      <c r="H5269" s="57" t="s">
        <v>13764</v>
      </c>
    </row>
    <row r="5270" spans="2:8" ht="13.5" customHeight="1">
      <c r="B5270" t="s">
        <v>466</v>
      </c>
      <c r="D5270" t="s">
        <v>9544</v>
      </c>
      <c r="F5270" s="76">
        <v>3</v>
      </c>
      <c r="G5270" s="57" t="s">
        <v>13819</v>
      </c>
      <c r="H5270" s="57" t="s">
        <v>13764</v>
      </c>
    </row>
    <row r="5271" spans="2:8" ht="13.5" customHeight="1">
      <c r="B5271" t="s">
        <v>466</v>
      </c>
      <c r="D5271" t="s">
        <v>9545</v>
      </c>
      <c r="F5271" s="76">
        <v>3</v>
      </c>
      <c r="G5271" s="57" t="s">
        <v>13819</v>
      </c>
      <c r="H5271" s="57" t="s">
        <v>13764</v>
      </c>
    </row>
    <row r="5272" spans="2:8" ht="13.5" customHeight="1">
      <c r="B5272" t="s">
        <v>466</v>
      </c>
      <c r="D5272" t="s">
        <v>9546</v>
      </c>
      <c r="F5272" s="76">
        <v>3</v>
      </c>
      <c r="G5272" s="57" t="s">
        <v>13819</v>
      </c>
      <c r="H5272" s="57" t="s">
        <v>13764</v>
      </c>
    </row>
    <row r="5273" spans="2:8" ht="13.5" customHeight="1">
      <c r="B5273" t="s">
        <v>466</v>
      </c>
      <c r="D5273" t="s">
        <v>9547</v>
      </c>
      <c r="F5273" s="76">
        <v>3</v>
      </c>
      <c r="G5273" s="57" t="s">
        <v>13819</v>
      </c>
      <c r="H5273" s="57" t="s">
        <v>13764</v>
      </c>
    </row>
    <row r="5274" spans="2:8" ht="13.5" customHeight="1">
      <c r="B5274" t="s">
        <v>466</v>
      </c>
      <c r="D5274" t="s">
        <v>9548</v>
      </c>
      <c r="F5274" s="76">
        <v>3</v>
      </c>
      <c r="G5274" s="57" t="s">
        <v>13819</v>
      </c>
      <c r="H5274" s="57" t="s">
        <v>13764</v>
      </c>
    </row>
    <row r="5275" spans="2:8" ht="13.5" customHeight="1">
      <c r="B5275" t="s">
        <v>466</v>
      </c>
      <c r="D5275" t="s">
        <v>9549</v>
      </c>
      <c r="F5275" s="76">
        <v>3</v>
      </c>
      <c r="G5275" s="57" t="s">
        <v>13819</v>
      </c>
      <c r="H5275" s="57" t="s">
        <v>13764</v>
      </c>
    </row>
    <row r="5276" spans="2:8" ht="13.5" customHeight="1">
      <c r="B5276" t="s">
        <v>466</v>
      </c>
      <c r="D5276" t="s">
        <v>9550</v>
      </c>
      <c r="F5276" s="76">
        <v>3</v>
      </c>
      <c r="G5276" s="57" t="s">
        <v>13819</v>
      </c>
      <c r="H5276" s="57" t="s">
        <v>13764</v>
      </c>
    </row>
    <row r="5277" spans="2:8" ht="13.5" customHeight="1">
      <c r="B5277" t="s">
        <v>466</v>
      </c>
      <c r="D5277" t="s">
        <v>9551</v>
      </c>
      <c r="F5277" s="76">
        <v>3</v>
      </c>
      <c r="G5277" s="57" t="s">
        <v>13819</v>
      </c>
      <c r="H5277" s="57" t="s">
        <v>13764</v>
      </c>
    </row>
    <row r="5278" spans="2:8" ht="13.5" customHeight="1">
      <c r="B5278" t="s">
        <v>466</v>
      </c>
      <c r="D5278" t="s">
        <v>9552</v>
      </c>
      <c r="F5278" s="76">
        <v>3</v>
      </c>
      <c r="G5278" s="57" t="s">
        <v>13819</v>
      </c>
      <c r="H5278" s="57" t="s">
        <v>13764</v>
      </c>
    </row>
    <row r="5279" spans="2:8" ht="13.5" customHeight="1">
      <c r="B5279" t="s">
        <v>9407</v>
      </c>
      <c r="D5279" t="s">
        <v>9553</v>
      </c>
      <c r="F5279" s="76">
        <v>3</v>
      </c>
      <c r="G5279" s="57" t="s">
        <v>13819</v>
      </c>
      <c r="H5279" s="57" t="s">
        <v>13764</v>
      </c>
    </row>
    <row r="5280" spans="2:8" ht="13.5" customHeight="1">
      <c r="B5280" t="s">
        <v>466</v>
      </c>
      <c r="D5280" t="s">
        <v>9554</v>
      </c>
      <c r="F5280" s="76">
        <v>4</v>
      </c>
      <c r="G5280" s="57" t="s">
        <v>13819</v>
      </c>
      <c r="H5280" s="57" t="s">
        <v>13764</v>
      </c>
    </row>
    <row r="5281" spans="2:8" ht="13.5" customHeight="1">
      <c r="B5281" t="s">
        <v>466</v>
      </c>
      <c r="D5281" t="s">
        <v>9555</v>
      </c>
      <c r="F5281" s="76">
        <v>4</v>
      </c>
      <c r="G5281" s="57" t="s">
        <v>13819</v>
      </c>
      <c r="H5281" s="57" t="s">
        <v>13764</v>
      </c>
    </row>
    <row r="5282" spans="2:8" ht="13.5" customHeight="1">
      <c r="B5282" t="s">
        <v>9408</v>
      </c>
      <c r="D5282" t="s">
        <v>9556</v>
      </c>
      <c r="F5282" s="76">
        <v>4</v>
      </c>
      <c r="G5282" s="57" t="s">
        <v>13819</v>
      </c>
      <c r="H5282" s="57" t="s">
        <v>13764</v>
      </c>
    </row>
    <row r="5283" spans="2:8" ht="13.5" customHeight="1">
      <c r="B5283" t="s">
        <v>9409</v>
      </c>
      <c r="D5283" t="s">
        <v>9557</v>
      </c>
      <c r="F5283" s="76">
        <v>5</v>
      </c>
      <c r="G5283" s="57" t="s">
        <v>13819</v>
      </c>
      <c r="H5283" s="57" t="s">
        <v>13764</v>
      </c>
    </row>
    <row r="5284" spans="2:8" ht="13.5" customHeight="1">
      <c r="B5284" t="s">
        <v>9410</v>
      </c>
      <c r="D5284" t="s">
        <v>9558</v>
      </c>
      <c r="F5284" s="76">
        <v>5</v>
      </c>
      <c r="G5284" s="57" t="s">
        <v>13819</v>
      </c>
      <c r="H5284" s="57" t="s">
        <v>13764</v>
      </c>
    </row>
    <row r="5285" spans="2:8" ht="13.5" customHeight="1">
      <c r="B5285" t="s">
        <v>466</v>
      </c>
      <c r="D5285" t="s">
        <v>9559</v>
      </c>
      <c r="F5285" s="76">
        <v>6</v>
      </c>
      <c r="G5285" s="57" t="s">
        <v>13819</v>
      </c>
      <c r="H5285" s="57" t="s">
        <v>13764</v>
      </c>
    </row>
    <row r="5286" spans="2:8" ht="13.5" customHeight="1">
      <c r="B5286" t="s">
        <v>466</v>
      </c>
      <c r="D5286" t="s">
        <v>9560</v>
      </c>
      <c r="F5286" s="76">
        <v>8</v>
      </c>
      <c r="G5286" s="57" t="s">
        <v>13819</v>
      </c>
      <c r="H5286" s="57" t="s">
        <v>13764</v>
      </c>
    </row>
    <row r="5287" spans="2:8" ht="13.5" customHeight="1">
      <c r="B5287" t="s">
        <v>466</v>
      </c>
      <c r="D5287" t="s">
        <v>9561</v>
      </c>
      <c r="F5287" s="76">
        <v>9</v>
      </c>
      <c r="G5287" s="57" t="s">
        <v>13819</v>
      </c>
      <c r="H5287" s="57" t="s">
        <v>13764</v>
      </c>
    </row>
    <row r="5288" spans="2:8" ht="13.5" customHeight="1">
      <c r="B5288" t="s">
        <v>466</v>
      </c>
      <c r="D5288" t="s">
        <v>9562</v>
      </c>
      <c r="F5288" s="76">
        <v>9</v>
      </c>
      <c r="G5288" s="57" t="s">
        <v>13819</v>
      </c>
      <c r="H5288" s="57" t="s">
        <v>13764</v>
      </c>
    </row>
    <row r="5289" spans="2:8" ht="13.5" customHeight="1">
      <c r="B5289" t="s">
        <v>466</v>
      </c>
      <c r="D5289" t="s">
        <v>9563</v>
      </c>
      <c r="F5289" s="76">
        <v>9</v>
      </c>
      <c r="G5289" s="57" t="s">
        <v>13819</v>
      </c>
      <c r="H5289" s="57" t="s">
        <v>13764</v>
      </c>
    </row>
    <row r="5290" spans="2:8" ht="13.5" customHeight="1">
      <c r="B5290" t="s">
        <v>466</v>
      </c>
      <c r="D5290" t="s">
        <v>9564</v>
      </c>
      <c r="F5290" s="76">
        <v>10</v>
      </c>
      <c r="G5290" s="57" t="s">
        <v>13819</v>
      </c>
      <c r="H5290" s="57" t="s">
        <v>13764</v>
      </c>
    </row>
    <row r="5291" spans="2:8" ht="13.5" customHeight="1">
      <c r="B5291" t="s">
        <v>9411</v>
      </c>
      <c r="D5291" t="s">
        <v>9565</v>
      </c>
      <c r="F5291" s="76">
        <v>10</v>
      </c>
      <c r="G5291" s="57" t="s">
        <v>13819</v>
      </c>
      <c r="H5291" s="57" t="s">
        <v>13764</v>
      </c>
    </row>
    <row r="5292" spans="2:8" ht="13.5" customHeight="1">
      <c r="B5292" t="s">
        <v>466</v>
      </c>
      <c r="D5292" t="s">
        <v>9566</v>
      </c>
      <c r="F5292" s="76">
        <v>19</v>
      </c>
      <c r="G5292" s="57" t="s">
        <v>13819</v>
      </c>
      <c r="H5292" s="57" t="s">
        <v>13764</v>
      </c>
    </row>
    <row r="5293" spans="2:8" ht="13.5" customHeight="1">
      <c r="B5293" t="s">
        <v>466</v>
      </c>
      <c r="D5293" t="s">
        <v>9567</v>
      </c>
      <c r="F5293" s="76">
        <v>32</v>
      </c>
      <c r="G5293" s="57" t="s">
        <v>13819</v>
      </c>
      <c r="H5293" s="57" t="s">
        <v>13764</v>
      </c>
    </row>
    <row r="5294" spans="2:8" ht="13.5" customHeight="1">
      <c r="B5294" t="s">
        <v>9412</v>
      </c>
      <c r="D5294" t="s">
        <v>9568</v>
      </c>
      <c r="F5294" s="76">
        <v>4</v>
      </c>
      <c r="G5294" s="57" t="s">
        <v>13819</v>
      </c>
      <c r="H5294" s="57" t="s">
        <v>13765</v>
      </c>
    </row>
    <row r="5295" spans="2:8" ht="13.5" customHeight="1">
      <c r="B5295" t="s">
        <v>9413</v>
      </c>
      <c r="D5295"/>
      <c r="F5295" s="76">
        <v>57</v>
      </c>
      <c r="G5295" s="57" t="s">
        <v>13819</v>
      </c>
      <c r="H5295" s="57" t="s">
        <v>13765</v>
      </c>
    </row>
    <row r="5296" spans="2:8" ht="13.5" customHeight="1">
      <c r="B5296" t="s">
        <v>9414</v>
      </c>
      <c r="D5296"/>
      <c r="F5296" s="76">
        <v>66</v>
      </c>
      <c r="G5296" s="57" t="s">
        <v>13819</v>
      </c>
      <c r="H5296" s="57" t="s">
        <v>13765</v>
      </c>
    </row>
    <row r="5297" spans="2:8" ht="13.5" customHeight="1">
      <c r="B5297" t="s">
        <v>9415</v>
      </c>
      <c r="D5297"/>
      <c r="F5297" s="76">
        <v>102</v>
      </c>
      <c r="G5297" s="57" t="s">
        <v>13819</v>
      </c>
      <c r="H5297" s="57" t="s">
        <v>13765</v>
      </c>
    </row>
    <row r="5298" spans="2:8" ht="13.5" customHeight="1">
      <c r="B5298" t="s">
        <v>9416</v>
      </c>
      <c r="D5298"/>
      <c r="F5298" s="76">
        <v>150</v>
      </c>
      <c r="G5298" s="57" t="s">
        <v>13819</v>
      </c>
      <c r="H5298" s="57" t="s">
        <v>13765</v>
      </c>
    </row>
    <row r="5299" spans="2:8" ht="13.5" customHeight="1">
      <c r="B5299" t="s">
        <v>9417</v>
      </c>
      <c r="D5299" t="s">
        <v>9569</v>
      </c>
      <c r="F5299" s="76">
        <v>2</v>
      </c>
      <c r="G5299" s="57" t="s">
        <v>13819</v>
      </c>
      <c r="H5299" s="57" t="s">
        <v>13766</v>
      </c>
    </row>
    <row r="5300" spans="2:8" ht="13.5" customHeight="1">
      <c r="B5300" t="s">
        <v>9418</v>
      </c>
      <c r="D5300" t="s">
        <v>9570</v>
      </c>
      <c r="F5300" s="76">
        <v>3</v>
      </c>
      <c r="G5300" s="57" t="s">
        <v>13819</v>
      </c>
      <c r="H5300" s="57" t="s">
        <v>13766</v>
      </c>
    </row>
    <row r="5301" spans="2:8" ht="13.5" customHeight="1">
      <c r="B5301" t="s">
        <v>9419</v>
      </c>
      <c r="D5301" t="s">
        <v>9571</v>
      </c>
      <c r="F5301" s="76">
        <v>3</v>
      </c>
      <c r="G5301" s="57" t="s">
        <v>13819</v>
      </c>
      <c r="H5301" s="57" t="s">
        <v>13766</v>
      </c>
    </row>
    <row r="5302" spans="2:8" ht="13.5" customHeight="1">
      <c r="B5302" t="s">
        <v>9420</v>
      </c>
      <c r="D5302" t="s">
        <v>9572</v>
      </c>
      <c r="F5302" s="76">
        <v>4</v>
      </c>
      <c r="G5302" s="57" t="s">
        <v>13819</v>
      </c>
      <c r="H5302" s="57" t="s">
        <v>13766</v>
      </c>
    </row>
    <row r="5303" spans="2:8" ht="13.5" customHeight="1">
      <c r="B5303" t="s">
        <v>9421</v>
      </c>
      <c r="D5303" t="s">
        <v>9573</v>
      </c>
      <c r="F5303" s="76">
        <v>4</v>
      </c>
      <c r="G5303" s="57" t="s">
        <v>13819</v>
      </c>
      <c r="H5303" s="57" t="s">
        <v>13766</v>
      </c>
    </row>
    <row r="5304" spans="2:8" ht="13.5" customHeight="1">
      <c r="B5304" t="s">
        <v>9422</v>
      </c>
      <c r="D5304" t="s">
        <v>9574</v>
      </c>
      <c r="F5304" s="76">
        <v>4</v>
      </c>
      <c r="G5304" s="57" t="s">
        <v>13819</v>
      </c>
      <c r="H5304" s="57" t="s">
        <v>13766</v>
      </c>
    </row>
    <row r="5305" spans="2:8" ht="13.5" customHeight="1">
      <c r="B5305" t="s">
        <v>9423</v>
      </c>
      <c r="D5305" t="s">
        <v>9575</v>
      </c>
      <c r="F5305" s="76">
        <v>4</v>
      </c>
      <c r="G5305" s="57" t="s">
        <v>13819</v>
      </c>
      <c r="H5305" s="57" t="s">
        <v>13766</v>
      </c>
    </row>
    <row r="5306" spans="2:8" ht="13.5" customHeight="1">
      <c r="B5306" t="s">
        <v>9424</v>
      </c>
      <c r="D5306" t="s">
        <v>9576</v>
      </c>
      <c r="F5306" s="76">
        <v>4</v>
      </c>
      <c r="G5306" s="57" t="s">
        <v>13819</v>
      </c>
      <c r="H5306" s="57" t="s">
        <v>13766</v>
      </c>
    </row>
    <row r="5307" spans="2:8" ht="13.5" customHeight="1">
      <c r="B5307" t="s">
        <v>9425</v>
      </c>
      <c r="D5307" t="s">
        <v>9577</v>
      </c>
      <c r="F5307" s="76">
        <v>4</v>
      </c>
      <c r="G5307" s="57" t="s">
        <v>13819</v>
      </c>
      <c r="H5307" s="57" t="s">
        <v>13766</v>
      </c>
    </row>
    <row r="5308" spans="2:8" ht="13.5" customHeight="1">
      <c r="B5308" t="s">
        <v>9426</v>
      </c>
      <c r="D5308" t="s">
        <v>9578</v>
      </c>
      <c r="F5308" s="76">
        <v>4</v>
      </c>
      <c r="G5308" s="57" t="s">
        <v>13819</v>
      </c>
      <c r="H5308" s="57" t="s">
        <v>13766</v>
      </c>
    </row>
    <row r="5309" spans="2:8" ht="13.5" customHeight="1">
      <c r="B5309" t="s">
        <v>9427</v>
      </c>
      <c r="D5309" t="s">
        <v>9444</v>
      </c>
      <c r="F5309" s="76">
        <v>6</v>
      </c>
      <c r="G5309" s="57" t="s">
        <v>13819</v>
      </c>
      <c r="H5309" s="57" t="s">
        <v>13766</v>
      </c>
    </row>
    <row r="5310" spans="2:8" ht="13.5" customHeight="1">
      <c r="B5310" t="s">
        <v>9428</v>
      </c>
      <c r="D5310" t="s">
        <v>9579</v>
      </c>
      <c r="F5310" s="76">
        <v>30</v>
      </c>
      <c r="G5310" s="57" t="s">
        <v>13819</v>
      </c>
      <c r="H5310" s="57" t="s">
        <v>13766</v>
      </c>
    </row>
    <row r="5311" spans="2:8" ht="13.5" customHeight="1">
      <c r="B5311" t="s">
        <v>9429</v>
      </c>
      <c r="D5311" t="s">
        <v>9580</v>
      </c>
      <c r="F5311" s="76">
        <v>1</v>
      </c>
      <c r="G5311" s="57" t="s">
        <v>13819</v>
      </c>
      <c r="H5311" s="57" t="s">
        <v>13767</v>
      </c>
    </row>
    <row r="5312" spans="2:8" ht="13.5" customHeight="1">
      <c r="B5312" t="s">
        <v>9430</v>
      </c>
      <c r="D5312" t="s">
        <v>9581</v>
      </c>
      <c r="F5312" s="76">
        <v>1</v>
      </c>
      <c r="G5312" s="57" t="s">
        <v>13819</v>
      </c>
      <c r="H5312" s="57" t="s">
        <v>13767</v>
      </c>
    </row>
    <row r="5313" spans="2:8" ht="13.5" customHeight="1">
      <c r="B5313"/>
      <c r="D5313" t="s">
        <v>9582</v>
      </c>
      <c r="F5313" s="76">
        <v>1</v>
      </c>
      <c r="G5313" s="57" t="s">
        <v>13819</v>
      </c>
      <c r="H5313" s="57" t="s">
        <v>13767</v>
      </c>
    </row>
    <row r="5314" spans="2:8" ht="13.5" customHeight="1">
      <c r="B5314"/>
      <c r="D5314" t="s">
        <v>9583</v>
      </c>
      <c r="F5314" s="76">
        <v>1</v>
      </c>
      <c r="G5314" s="57" t="s">
        <v>13819</v>
      </c>
      <c r="H5314" s="57" t="s">
        <v>13767</v>
      </c>
    </row>
    <row r="5315" spans="2:8" ht="13.5" customHeight="1">
      <c r="B5315"/>
      <c r="D5315" t="s">
        <v>9584</v>
      </c>
      <c r="F5315" s="76">
        <v>2</v>
      </c>
      <c r="G5315" s="57" t="s">
        <v>13819</v>
      </c>
      <c r="H5315" s="57" t="s">
        <v>13767</v>
      </c>
    </row>
    <row r="5316" spans="2:8" ht="13.5" customHeight="1">
      <c r="B5316"/>
      <c r="D5316" t="s">
        <v>9585</v>
      </c>
      <c r="F5316" s="76">
        <v>2</v>
      </c>
      <c r="G5316" s="57" t="s">
        <v>13819</v>
      </c>
      <c r="H5316" s="57" t="s">
        <v>13767</v>
      </c>
    </row>
    <row r="5317" spans="2:8" ht="13.5" customHeight="1">
      <c r="B5317"/>
      <c r="D5317" t="s">
        <v>9586</v>
      </c>
      <c r="F5317" s="76">
        <v>2</v>
      </c>
      <c r="G5317" s="57" t="s">
        <v>13819</v>
      </c>
      <c r="H5317" s="57" t="s">
        <v>13767</v>
      </c>
    </row>
    <row r="5318" spans="2:8" ht="13.5" customHeight="1">
      <c r="B5318" t="s">
        <v>9431</v>
      </c>
      <c r="D5318" t="s">
        <v>9431</v>
      </c>
      <c r="F5318" s="76">
        <v>3</v>
      </c>
      <c r="G5318" s="57" t="s">
        <v>13819</v>
      </c>
      <c r="H5318" s="57" t="s">
        <v>13767</v>
      </c>
    </row>
    <row r="5319" spans="2:8" ht="13.5" customHeight="1">
      <c r="B5319" t="s">
        <v>9432</v>
      </c>
      <c r="D5319" t="s">
        <v>9432</v>
      </c>
      <c r="F5319" s="76">
        <v>3</v>
      </c>
      <c r="G5319" s="57" t="s">
        <v>13819</v>
      </c>
      <c r="H5319" s="57" t="s">
        <v>13767</v>
      </c>
    </row>
    <row r="5320" spans="2:8" ht="13.5" customHeight="1">
      <c r="B5320" t="s">
        <v>9433</v>
      </c>
      <c r="D5320" t="s">
        <v>9433</v>
      </c>
      <c r="F5320" s="76">
        <v>4</v>
      </c>
      <c r="G5320" s="57" t="s">
        <v>13819</v>
      </c>
      <c r="H5320" s="57" t="s">
        <v>13767</v>
      </c>
    </row>
    <row r="5321" spans="2:8" ht="13.5" customHeight="1">
      <c r="B5321" t="s">
        <v>9434</v>
      </c>
      <c r="D5321" t="s">
        <v>9434</v>
      </c>
      <c r="F5321" s="76">
        <v>4</v>
      </c>
      <c r="G5321" s="57" t="s">
        <v>13819</v>
      </c>
      <c r="H5321" s="57" t="s">
        <v>13767</v>
      </c>
    </row>
    <row r="5322" spans="2:8" ht="13.5" customHeight="1">
      <c r="B5322" t="s">
        <v>9435</v>
      </c>
      <c r="D5322" t="s">
        <v>9435</v>
      </c>
      <c r="F5322" s="76">
        <v>4</v>
      </c>
      <c r="G5322" s="57" t="s">
        <v>13819</v>
      </c>
      <c r="H5322" s="57" t="s">
        <v>13767</v>
      </c>
    </row>
    <row r="5323" spans="2:8" ht="13.5" customHeight="1">
      <c r="B5323" t="s">
        <v>9436</v>
      </c>
      <c r="D5323" t="s">
        <v>9587</v>
      </c>
      <c r="F5323" s="76">
        <v>4</v>
      </c>
      <c r="G5323" s="57" t="s">
        <v>13819</v>
      </c>
      <c r="H5323" s="57" t="s">
        <v>13767</v>
      </c>
    </row>
    <row r="5324" spans="2:8" ht="13.5" customHeight="1">
      <c r="B5324" t="s">
        <v>9437</v>
      </c>
      <c r="D5324" t="s">
        <v>9588</v>
      </c>
      <c r="F5324" s="76">
        <v>4</v>
      </c>
      <c r="G5324" s="57" t="s">
        <v>13819</v>
      </c>
      <c r="H5324" s="57" t="s">
        <v>13767</v>
      </c>
    </row>
    <row r="5325" spans="2:8" ht="13.5" customHeight="1">
      <c r="B5325"/>
      <c r="D5325" t="s">
        <v>9589</v>
      </c>
      <c r="F5325" s="76">
        <v>4</v>
      </c>
      <c r="G5325" s="57" t="s">
        <v>13819</v>
      </c>
      <c r="H5325" s="57" t="s">
        <v>13767</v>
      </c>
    </row>
    <row r="5326" spans="2:8" ht="13.5" customHeight="1">
      <c r="B5326" t="s">
        <v>9438</v>
      </c>
      <c r="D5326" t="s">
        <v>9590</v>
      </c>
      <c r="F5326" s="76">
        <v>5</v>
      </c>
      <c r="G5326" s="57" t="s">
        <v>13819</v>
      </c>
      <c r="H5326" s="57" t="s">
        <v>13767</v>
      </c>
    </row>
    <row r="5327" spans="2:8" ht="13.5" customHeight="1">
      <c r="B5327"/>
      <c r="D5327" t="s">
        <v>9591</v>
      </c>
      <c r="F5327" s="76">
        <v>5</v>
      </c>
      <c r="G5327" s="57" t="s">
        <v>13819</v>
      </c>
      <c r="H5327" s="57" t="s">
        <v>13767</v>
      </c>
    </row>
    <row r="5328" spans="2:8" ht="13.5" customHeight="1">
      <c r="B5328"/>
      <c r="D5328" t="s">
        <v>9592</v>
      </c>
      <c r="F5328" s="76">
        <v>5</v>
      </c>
      <c r="G5328" s="57" t="s">
        <v>13819</v>
      </c>
      <c r="H5328" s="57" t="s">
        <v>13767</v>
      </c>
    </row>
    <row r="5329" spans="2:8" ht="13.5" customHeight="1">
      <c r="B5329"/>
      <c r="D5329" t="s">
        <v>9593</v>
      </c>
      <c r="F5329" s="76">
        <v>6</v>
      </c>
      <c r="G5329" s="57" t="s">
        <v>13819</v>
      </c>
      <c r="H5329" s="57" t="s">
        <v>13767</v>
      </c>
    </row>
    <row r="5330" spans="2:8" ht="13.5" customHeight="1">
      <c r="B5330" t="s">
        <v>9439</v>
      </c>
      <c r="D5330" t="s">
        <v>9594</v>
      </c>
      <c r="F5330" s="76">
        <v>6</v>
      </c>
      <c r="G5330" s="57" t="s">
        <v>13819</v>
      </c>
      <c r="H5330" s="57" t="s">
        <v>13767</v>
      </c>
    </row>
    <row r="5331" spans="2:8" ht="13.5" customHeight="1">
      <c r="B5331"/>
      <c r="D5331" t="s">
        <v>9595</v>
      </c>
      <c r="F5331" s="76">
        <v>6</v>
      </c>
      <c r="G5331" s="57" t="s">
        <v>13819</v>
      </c>
      <c r="H5331" s="57" t="s">
        <v>13767</v>
      </c>
    </row>
    <row r="5332" spans="2:8" ht="13.5" customHeight="1">
      <c r="B5332" t="s">
        <v>9440</v>
      </c>
      <c r="D5332" t="s">
        <v>9596</v>
      </c>
      <c r="F5332" s="76">
        <v>7</v>
      </c>
      <c r="G5332" s="57" t="s">
        <v>13819</v>
      </c>
      <c r="H5332" s="57" t="s">
        <v>13767</v>
      </c>
    </row>
    <row r="5333" spans="2:8" ht="13.5" customHeight="1">
      <c r="B5333" t="s">
        <v>9441</v>
      </c>
      <c r="D5333" t="s">
        <v>9597</v>
      </c>
      <c r="F5333" s="76">
        <v>30</v>
      </c>
      <c r="G5333" s="57" t="s">
        <v>13819</v>
      </c>
      <c r="H5333" s="57" t="s">
        <v>13767</v>
      </c>
    </row>
    <row r="5334" spans="2:8" ht="13.5" customHeight="1">
      <c r="B5334" t="s">
        <v>466</v>
      </c>
      <c r="D5334" t="s">
        <v>9598</v>
      </c>
      <c r="F5334" s="76">
        <v>5</v>
      </c>
      <c r="G5334" s="57" t="s">
        <v>13819</v>
      </c>
      <c r="H5334" s="57" t="s">
        <v>1116</v>
      </c>
    </row>
    <row r="5335" spans="2:8" ht="13.5" customHeight="1">
      <c r="B5335" t="s">
        <v>9599</v>
      </c>
      <c r="D5335" t="s">
        <v>9641</v>
      </c>
      <c r="F5335" s="76">
        <v>2</v>
      </c>
      <c r="G5335" s="57" t="s">
        <v>13819</v>
      </c>
      <c r="H5335" s="57" t="s">
        <v>343</v>
      </c>
    </row>
    <row r="5336" spans="2:8" ht="13.5" customHeight="1">
      <c r="B5336" t="s">
        <v>5379</v>
      </c>
      <c r="D5336" t="s">
        <v>9642</v>
      </c>
      <c r="F5336" s="76">
        <v>2</v>
      </c>
      <c r="G5336" s="57" t="s">
        <v>13819</v>
      </c>
      <c r="H5336" s="57" t="s">
        <v>343</v>
      </c>
    </row>
    <row r="5337" spans="2:8" ht="13.5" customHeight="1">
      <c r="B5337" t="s">
        <v>9600</v>
      </c>
      <c r="D5337" t="s">
        <v>9643</v>
      </c>
      <c r="F5337" s="76">
        <v>2</v>
      </c>
      <c r="G5337" s="57" t="s">
        <v>13819</v>
      </c>
      <c r="H5337" s="57" t="s">
        <v>343</v>
      </c>
    </row>
    <row r="5338" spans="2:8" ht="13.5" customHeight="1">
      <c r="B5338" t="s">
        <v>9601</v>
      </c>
      <c r="D5338" t="s">
        <v>9644</v>
      </c>
      <c r="F5338" s="76">
        <v>2</v>
      </c>
      <c r="G5338" s="57" t="s">
        <v>13819</v>
      </c>
      <c r="H5338" s="57" t="s">
        <v>343</v>
      </c>
    </row>
    <row r="5339" spans="2:8" ht="13.5" customHeight="1">
      <c r="B5339" t="s">
        <v>9602</v>
      </c>
      <c r="D5339" t="s">
        <v>9645</v>
      </c>
      <c r="F5339" s="76">
        <v>2</v>
      </c>
      <c r="G5339" s="57" t="s">
        <v>13819</v>
      </c>
      <c r="H5339" s="57" t="s">
        <v>343</v>
      </c>
    </row>
    <row r="5340" spans="2:8" ht="13.5" customHeight="1">
      <c r="B5340" t="s">
        <v>9603</v>
      </c>
      <c r="D5340" t="s">
        <v>9646</v>
      </c>
      <c r="F5340" s="76">
        <v>2</v>
      </c>
      <c r="G5340" s="57" t="s">
        <v>13819</v>
      </c>
      <c r="H5340" s="57" t="s">
        <v>343</v>
      </c>
    </row>
    <row r="5341" spans="2:8" ht="13.5" customHeight="1">
      <c r="B5341" t="s">
        <v>9604</v>
      </c>
      <c r="D5341" t="s">
        <v>9647</v>
      </c>
      <c r="F5341" s="76">
        <v>2</v>
      </c>
      <c r="G5341" s="57" t="s">
        <v>13819</v>
      </c>
      <c r="H5341" s="57" t="s">
        <v>343</v>
      </c>
    </row>
    <row r="5342" spans="2:8" ht="13.5" customHeight="1">
      <c r="B5342" t="s">
        <v>9605</v>
      </c>
      <c r="D5342" t="s">
        <v>9648</v>
      </c>
      <c r="F5342" s="76">
        <v>3</v>
      </c>
      <c r="G5342" s="57" t="s">
        <v>13819</v>
      </c>
      <c r="H5342" s="57" t="s">
        <v>343</v>
      </c>
    </row>
    <row r="5343" spans="2:8" ht="13.5" customHeight="1">
      <c r="B5343" t="s">
        <v>9606</v>
      </c>
      <c r="D5343" t="s">
        <v>9649</v>
      </c>
      <c r="F5343" s="76">
        <v>5</v>
      </c>
      <c r="G5343" s="57" t="s">
        <v>13819</v>
      </c>
      <c r="H5343" s="57" t="s">
        <v>343</v>
      </c>
    </row>
    <row r="5344" spans="2:8" ht="13.5" customHeight="1">
      <c r="B5344" t="s">
        <v>9607</v>
      </c>
      <c r="D5344" t="s">
        <v>9650</v>
      </c>
      <c r="F5344" s="76">
        <v>5</v>
      </c>
      <c r="G5344" s="57" t="s">
        <v>13819</v>
      </c>
      <c r="H5344" s="57" t="s">
        <v>343</v>
      </c>
    </row>
    <row r="5345" spans="2:8" ht="13.5" customHeight="1">
      <c r="B5345" t="s">
        <v>9608</v>
      </c>
      <c r="D5345" t="s">
        <v>4993</v>
      </c>
      <c r="F5345" s="76">
        <v>6</v>
      </c>
      <c r="G5345" s="57" t="s">
        <v>13819</v>
      </c>
      <c r="H5345" s="57" t="s">
        <v>343</v>
      </c>
    </row>
    <row r="5346" spans="2:8" ht="13.5" customHeight="1">
      <c r="B5346" t="s">
        <v>3229</v>
      </c>
      <c r="D5346" t="s">
        <v>8776</v>
      </c>
      <c r="F5346" s="76">
        <v>6</v>
      </c>
      <c r="G5346" s="57" t="s">
        <v>13819</v>
      </c>
      <c r="H5346" s="57" t="s">
        <v>343</v>
      </c>
    </row>
    <row r="5347" spans="2:8" ht="13.5" customHeight="1">
      <c r="B5347" t="s">
        <v>9609</v>
      </c>
      <c r="D5347" t="s">
        <v>9651</v>
      </c>
      <c r="F5347" s="76">
        <v>6</v>
      </c>
      <c r="G5347" s="57" t="s">
        <v>13819</v>
      </c>
      <c r="H5347" s="57" t="s">
        <v>343</v>
      </c>
    </row>
    <row r="5348" spans="2:8" ht="13.5" customHeight="1">
      <c r="B5348" t="s">
        <v>3553</v>
      </c>
      <c r="D5348" t="s">
        <v>9652</v>
      </c>
      <c r="F5348" s="76">
        <v>6</v>
      </c>
      <c r="G5348" s="57" t="s">
        <v>13819</v>
      </c>
      <c r="H5348" s="57" t="s">
        <v>343</v>
      </c>
    </row>
    <row r="5349" spans="2:8" ht="13.5" customHeight="1">
      <c r="B5349" t="s">
        <v>9610</v>
      </c>
      <c r="D5349" t="s">
        <v>9653</v>
      </c>
      <c r="F5349" s="76">
        <v>7</v>
      </c>
      <c r="G5349" s="57" t="s">
        <v>13819</v>
      </c>
      <c r="H5349" s="57" t="s">
        <v>343</v>
      </c>
    </row>
    <row r="5350" spans="2:8" ht="13.5" customHeight="1">
      <c r="B5350" t="s">
        <v>9611</v>
      </c>
      <c r="D5350" t="s">
        <v>9654</v>
      </c>
      <c r="F5350" s="76">
        <v>8</v>
      </c>
      <c r="G5350" s="57" t="s">
        <v>13819</v>
      </c>
      <c r="H5350" s="57" t="s">
        <v>343</v>
      </c>
    </row>
    <row r="5351" spans="2:8" ht="13.5" customHeight="1">
      <c r="B5351" t="s">
        <v>9612</v>
      </c>
      <c r="D5351" t="s">
        <v>9655</v>
      </c>
      <c r="F5351" s="76">
        <v>8</v>
      </c>
      <c r="G5351" s="57" t="s">
        <v>13819</v>
      </c>
      <c r="H5351" s="57" t="s">
        <v>343</v>
      </c>
    </row>
    <row r="5352" spans="2:8" ht="13.5" customHeight="1">
      <c r="B5352" t="s">
        <v>9613</v>
      </c>
      <c r="D5352" t="s">
        <v>9656</v>
      </c>
      <c r="F5352" s="76">
        <v>9</v>
      </c>
      <c r="G5352" s="57" t="s">
        <v>13819</v>
      </c>
      <c r="H5352" s="57" t="s">
        <v>343</v>
      </c>
    </row>
    <row r="5353" spans="2:8" ht="13.5" customHeight="1">
      <c r="B5353" t="s">
        <v>9614</v>
      </c>
      <c r="D5353" t="s">
        <v>9657</v>
      </c>
      <c r="F5353" s="76">
        <v>10</v>
      </c>
      <c r="G5353" s="57" t="s">
        <v>13819</v>
      </c>
      <c r="H5353" s="57" t="s">
        <v>343</v>
      </c>
    </row>
    <row r="5354" spans="2:8" ht="13.5" customHeight="1">
      <c r="B5354" t="s">
        <v>9615</v>
      </c>
      <c r="D5354" t="s">
        <v>9658</v>
      </c>
      <c r="F5354" s="76">
        <v>10</v>
      </c>
      <c r="G5354" s="57" t="s">
        <v>13819</v>
      </c>
      <c r="H5354" s="57" t="s">
        <v>343</v>
      </c>
    </row>
    <row r="5355" spans="2:8" ht="13.5" customHeight="1">
      <c r="B5355" t="s">
        <v>9616</v>
      </c>
      <c r="D5355" t="s">
        <v>9659</v>
      </c>
      <c r="F5355" s="76">
        <v>10</v>
      </c>
      <c r="G5355" s="57" t="s">
        <v>13819</v>
      </c>
      <c r="H5355" s="57" t="s">
        <v>343</v>
      </c>
    </row>
    <row r="5356" spans="2:8" ht="13.5" customHeight="1">
      <c r="B5356" t="s">
        <v>9617</v>
      </c>
      <c r="D5356" t="s">
        <v>9660</v>
      </c>
      <c r="F5356" s="76">
        <v>10</v>
      </c>
      <c r="G5356" s="57" t="s">
        <v>13819</v>
      </c>
      <c r="H5356" s="57" t="s">
        <v>343</v>
      </c>
    </row>
    <row r="5357" spans="2:8" ht="13.5" customHeight="1">
      <c r="B5357" t="s">
        <v>4023</v>
      </c>
      <c r="D5357" t="s">
        <v>9661</v>
      </c>
      <c r="F5357" s="76">
        <v>10</v>
      </c>
      <c r="G5357" s="57" t="s">
        <v>13819</v>
      </c>
      <c r="H5357" s="57" t="s">
        <v>343</v>
      </c>
    </row>
    <row r="5358" spans="2:8" ht="13.5" customHeight="1">
      <c r="B5358" t="s">
        <v>9618</v>
      </c>
      <c r="D5358" t="s">
        <v>9662</v>
      </c>
      <c r="F5358" s="76">
        <v>14</v>
      </c>
      <c r="G5358" s="57" t="s">
        <v>13819</v>
      </c>
      <c r="H5358" s="57" t="s">
        <v>343</v>
      </c>
    </row>
    <row r="5359" spans="2:8" ht="13.5" customHeight="1">
      <c r="B5359" t="s">
        <v>9619</v>
      </c>
      <c r="D5359" t="s">
        <v>9663</v>
      </c>
      <c r="F5359" s="76">
        <v>16</v>
      </c>
      <c r="G5359" s="57" t="s">
        <v>13819</v>
      </c>
      <c r="H5359" s="57" t="s">
        <v>343</v>
      </c>
    </row>
    <row r="5360" spans="2:8" ht="13.5" customHeight="1">
      <c r="B5360" t="s">
        <v>9620</v>
      </c>
      <c r="D5360" t="s">
        <v>9664</v>
      </c>
      <c r="F5360" s="76">
        <v>18</v>
      </c>
      <c r="G5360" s="57" t="s">
        <v>13819</v>
      </c>
      <c r="H5360" s="57" t="s">
        <v>343</v>
      </c>
    </row>
    <row r="5361" spans="2:8" ht="13.5" customHeight="1">
      <c r="B5361" t="s">
        <v>9621</v>
      </c>
      <c r="D5361" t="s">
        <v>9665</v>
      </c>
      <c r="F5361" s="76">
        <v>18</v>
      </c>
      <c r="G5361" s="57" t="s">
        <v>13819</v>
      </c>
      <c r="H5361" s="57" t="s">
        <v>343</v>
      </c>
    </row>
    <row r="5362" spans="2:8" ht="13.5" customHeight="1">
      <c r="B5362" t="s">
        <v>9622</v>
      </c>
      <c r="D5362" t="s">
        <v>9666</v>
      </c>
      <c r="F5362" s="76">
        <v>19</v>
      </c>
      <c r="G5362" s="57" t="s">
        <v>13819</v>
      </c>
      <c r="H5362" s="57" t="s">
        <v>343</v>
      </c>
    </row>
    <row r="5363" spans="2:8" ht="13.5" customHeight="1">
      <c r="B5363" t="s">
        <v>9623</v>
      </c>
      <c r="D5363" t="s">
        <v>1108</v>
      </c>
      <c r="F5363" s="76">
        <v>20</v>
      </c>
      <c r="G5363" s="57" t="s">
        <v>13819</v>
      </c>
      <c r="H5363" s="57" t="s">
        <v>343</v>
      </c>
    </row>
    <row r="5364" spans="2:8" ht="13.5" customHeight="1">
      <c r="B5364" t="s">
        <v>8644</v>
      </c>
      <c r="D5364" t="s">
        <v>9667</v>
      </c>
      <c r="F5364" s="76">
        <v>20</v>
      </c>
      <c r="G5364" s="57" t="s">
        <v>13819</v>
      </c>
      <c r="H5364" s="57" t="s">
        <v>343</v>
      </c>
    </row>
    <row r="5365" spans="2:8" ht="13.5" customHeight="1">
      <c r="B5365" t="s">
        <v>9624</v>
      </c>
      <c r="D5365" t="s">
        <v>9668</v>
      </c>
      <c r="F5365" s="76">
        <v>20</v>
      </c>
      <c r="G5365" s="57" t="s">
        <v>13819</v>
      </c>
      <c r="H5365" s="57" t="s">
        <v>343</v>
      </c>
    </row>
    <row r="5366" spans="2:8" ht="13.5" customHeight="1">
      <c r="B5366" t="s">
        <v>9625</v>
      </c>
      <c r="D5366" t="s">
        <v>9669</v>
      </c>
      <c r="F5366" s="76">
        <v>21</v>
      </c>
      <c r="G5366" s="57" t="s">
        <v>13819</v>
      </c>
      <c r="H5366" s="57" t="s">
        <v>343</v>
      </c>
    </row>
    <row r="5367" spans="2:8" ht="13.5" customHeight="1">
      <c r="B5367" t="s">
        <v>9626</v>
      </c>
      <c r="D5367" t="s">
        <v>9670</v>
      </c>
      <c r="F5367" s="76">
        <v>25</v>
      </c>
      <c r="G5367" s="57" t="s">
        <v>13819</v>
      </c>
      <c r="H5367" s="57" t="s">
        <v>343</v>
      </c>
    </row>
    <row r="5368" spans="2:8" ht="13.5" customHeight="1">
      <c r="B5368" t="s">
        <v>9627</v>
      </c>
      <c r="D5368" t="s">
        <v>9671</v>
      </c>
      <c r="F5368" s="76">
        <v>26</v>
      </c>
      <c r="G5368" s="57" t="s">
        <v>13819</v>
      </c>
      <c r="H5368" s="57" t="s">
        <v>343</v>
      </c>
    </row>
    <row r="5369" spans="2:8" ht="13.5" customHeight="1">
      <c r="B5369"/>
      <c r="D5369" t="s">
        <v>1520</v>
      </c>
      <c r="F5369" s="76">
        <v>28</v>
      </c>
      <c r="G5369" s="57" t="s">
        <v>13819</v>
      </c>
      <c r="H5369" s="57" t="s">
        <v>343</v>
      </c>
    </row>
    <row r="5370" spans="2:8" ht="13.5" customHeight="1">
      <c r="B5370" t="s">
        <v>9628</v>
      </c>
      <c r="D5370" t="s">
        <v>9672</v>
      </c>
      <c r="F5370" s="76">
        <v>28</v>
      </c>
      <c r="G5370" s="57" t="s">
        <v>13819</v>
      </c>
      <c r="H5370" s="57" t="s">
        <v>343</v>
      </c>
    </row>
    <row r="5371" spans="2:8" ht="13.5" customHeight="1">
      <c r="B5371" t="s">
        <v>8242</v>
      </c>
      <c r="D5371" t="s">
        <v>9673</v>
      </c>
      <c r="F5371" s="76">
        <v>30</v>
      </c>
      <c r="G5371" s="57" t="s">
        <v>13819</v>
      </c>
      <c r="H5371" s="57" t="s">
        <v>343</v>
      </c>
    </row>
    <row r="5372" spans="2:8" ht="13.5" customHeight="1">
      <c r="B5372" t="s">
        <v>9629</v>
      </c>
      <c r="D5372" t="s">
        <v>9674</v>
      </c>
      <c r="F5372" s="76">
        <v>34</v>
      </c>
      <c r="G5372" s="57" t="s">
        <v>13819</v>
      </c>
      <c r="H5372" s="57" t="s">
        <v>343</v>
      </c>
    </row>
    <row r="5373" spans="2:8" ht="13.5" customHeight="1">
      <c r="B5373" t="s">
        <v>9630</v>
      </c>
      <c r="D5373" t="s">
        <v>9675</v>
      </c>
      <c r="F5373" s="76">
        <v>35</v>
      </c>
      <c r="G5373" s="57" t="s">
        <v>13819</v>
      </c>
      <c r="H5373" s="57" t="s">
        <v>343</v>
      </c>
    </row>
    <row r="5374" spans="2:8" ht="13.5" customHeight="1">
      <c r="B5374" t="s">
        <v>9631</v>
      </c>
      <c r="D5374" t="s">
        <v>9676</v>
      </c>
      <c r="F5374" s="76">
        <v>36</v>
      </c>
      <c r="G5374" s="57" t="s">
        <v>13819</v>
      </c>
      <c r="H5374" s="57" t="s">
        <v>343</v>
      </c>
    </row>
    <row r="5375" spans="2:8" ht="13.5" customHeight="1">
      <c r="B5375" t="s">
        <v>1559</v>
      </c>
      <c r="D5375" t="s">
        <v>1365</v>
      </c>
      <c r="F5375" s="76">
        <v>36</v>
      </c>
      <c r="G5375" s="57" t="s">
        <v>13819</v>
      </c>
      <c r="H5375" s="57" t="s">
        <v>343</v>
      </c>
    </row>
    <row r="5376" spans="2:8" ht="13.5" customHeight="1">
      <c r="B5376" t="s">
        <v>9632</v>
      </c>
      <c r="D5376" t="s">
        <v>9677</v>
      </c>
      <c r="F5376" s="76">
        <v>40</v>
      </c>
      <c r="G5376" s="57" t="s">
        <v>13819</v>
      </c>
      <c r="H5376" s="57" t="s">
        <v>343</v>
      </c>
    </row>
    <row r="5377" spans="2:8" ht="13.5" customHeight="1">
      <c r="B5377" t="s">
        <v>9633</v>
      </c>
      <c r="D5377" t="s">
        <v>9678</v>
      </c>
      <c r="F5377" s="76">
        <v>43</v>
      </c>
      <c r="G5377" s="57" t="s">
        <v>13819</v>
      </c>
      <c r="H5377" s="57" t="s">
        <v>343</v>
      </c>
    </row>
    <row r="5378" spans="2:8" ht="13.5" customHeight="1">
      <c r="B5378" t="s">
        <v>9634</v>
      </c>
      <c r="D5378" t="s">
        <v>9679</v>
      </c>
      <c r="F5378" s="76">
        <v>45</v>
      </c>
      <c r="G5378" s="57" t="s">
        <v>13819</v>
      </c>
      <c r="H5378" s="57" t="s">
        <v>343</v>
      </c>
    </row>
    <row r="5379" spans="2:8" ht="13.5" customHeight="1">
      <c r="B5379" t="s">
        <v>9635</v>
      </c>
      <c r="D5379" t="s">
        <v>9680</v>
      </c>
      <c r="F5379" s="76">
        <v>46</v>
      </c>
      <c r="G5379" s="57" t="s">
        <v>13819</v>
      </c>
      <c r="H5379" s="57" t="s">
        <v>343</v>
      </c>
    </row>
    <row r="5380" spans="2:8" ht="13.5" customHeight="1">
      <c r="B5380" t="s">
        <v>3945</v>
      </c>
      <c r="D5380" t="s">
        <v>3946</v>
      </c>
      <c r="F5380" s="76">
        <v>49</v>
      </c>
      <c r="G5380" s="57" t="s">
        <v>13819</v>
      </c>
      <c r="H5380" s="57" t="s">
        <v>343</v>
      </c>
    </row>
    <row r="5381" spans="2:8" ht="13.5" customHeight="1">
      <c r="B5381" t="s">
        <v>3241</v>
      </c>
      <c r="D5381" t="s">
        <v>9681</v>
      </c>
      <c r="F5381" s="76">
        <v>49</v>
      </c>
      <c r="G5381" s="57" t="s">
        <v>13819</v>
      </c>
      <c r="H5381" s="57" t="s">
        <v>343</v>
      </c>
    </row>
    <row r="5382" spans="2:8" ht="13.5" customHeight="1">
      <c r="B5382"/>
      <c r="D5382" t="s">
        <v>9682</v>
      </c>
      <c r="F5382" s="76">
        <v>50</v>
      </c>
      <c r="G5382" s="57" t="s">
        <v>13819</v>
      </c>
      <c r="H5382" s="57" t="s">
        <v>343</v>
      </c>
    </row>
    <row r="5383" spans="2:8" ht="13.5" customHeight="1">
      <c r="B5383" t="s">
        <v>9636</v>
      </c>
      <c r="D5383" t="s">
        <v>9683</v>
      </c>
      <c r="F5383" s="76">
        <v>50</v>
      </c>
      <c r="G5383" s="57" t="s">
        <v>13819</v>
      </c>
      <c r="H5383" s="57" t="s">
        <v>343</v>
      </c>
    </row>
    <row r="5384" spans="2:8" ht="13.5" customHeight="1">
      <c r="B5384" t="s">
        <v>9637</v>
      </c>
      <c r="D5384" t="s">
        <v>9684</v>
      </c>
      <c r="F5384" s="76">
        <v>53</v>
      </c>
      <c r="G5384" s="57" t="s">
        <v>13819</v>
      </c>
      <c r="H5384" s="57" t="s">
        <v>343</v>
      </c>
    </row>
    <row r="5385" spans="2:8" ht="13.5" customHeight="1">
      <c r="B5385" t="s">
        <v>9638</v>
      </c>
      <c r="D5385" t="s">
        <v>8638</v>
      </c>
      <c r="F5385" s="76">
        <v>54</v>
      </c>
      <c r="G5385" s="57" t="s">
        <v>13819</v>
      </c>
      <c r="H5385" s="57" t="s">
        <v>343</v>
      </c>
    </row>
    <row r="5386" spans="2:8" ht="13.5" customHeight="1">
      <c r="B5386" t="s">
        <v>9639</v>
      </c>
      <c r="D5386" t="s">
        <v>9685</v>
      </c>
      <c r="F5386" s="76">
        <v>60</v>
      </c>
      <c r="G5386" s="57" t="s">
        <v>13819</v>
      </c>
      <c r="H5386" s="57" t="s">
        <v>343</v>
      </c>
    </row>
    <row r="5387" spans="2:8" ht="13.5" customHeight="1">
      <c r="B5387" t="s">
        <v>6532</v>
      </c>
      <c r="D5387" t="s">
        <v>9686</v>
      </c>
      <c r="F5387" s="76">
        <v>70</v>
      </c>
      <c r="G5387" s="57" t="s">
        <v>13819</v>
      </c>
      <c r="H5387" s="57" t="s">
        <v>343</v>
      </c>
    </row>
    <row r="5388" spans="2:8" ht="13.5" customHeight="1">
      <c r="B5388" t="s">
        <v>9640</v>
      </c>
      <c r="D5388" t="s">
        <v>9687</v>
      </c>
      <c r="F5388" s="76">
        <v>87</v>
      </c>
      <c r="G5388" s="57" t="s">
        <v>13819</v>
      </c>
      <c r="H5388" s="57" t="s">
        <v>343</v>
      </c>
    </row>
    <row r="5389" spans="2:8" ht="13.5" customHeight="1">
      <c r="B5389" t="s">
        <v>4735</v>
      </c>
      <c r="D5389" t="s">
        <v>9688</v>
      </c>
      <c r="F5389" s="76">
        <v>118</v>
      </c>
      <c r="G5389" s="57" t="s">
        <v>13819</v>
      </c>
      <c r="H5389" s="57" t="s">
        <v>343</v>
      </c>
    </row>
    <row r="5390" spans="2:8" ht="13.5" customHeight="1">
      <c r="B5390" t="s">
        <v>9689</v>
      </c>
      <c r="D5390" t="s">
        <v>9738</v>
      </c>
      <c r="F5390" s="76">
        <v>1</v>
      </c>
      <c r="G5390" s="57" t="s">
        <v>13819</v>
      </c>
      <c r="H5390" s="57" t="s">
        <v>1348</v>
      </c>
    </row>
    <row r="5391" spans="2:8" ht="13.5" customHeight="1">
      <c r="B5391" t="s">
        <v>7582</v>
      </c>
      <c r="D5391" t="s">
        <v>9739</v>
      </c>
      <c r="F5391" s="76">
        <v>1</v>
      </c>
      <c r="G5391" s="57" t="s">
        <v>13819</v>
      </c>
      <c r="H5391" s="57" t="s">
        <v>1348</v>
      </c>
    </row>
    <row r="5392" spans="2:8" ht="13.5" customHeight="1">
      <c r="B5392" t="s">
        <v>9690</v>
      </c>
      <c r="D5392" t="s">
        <v>9740</v>
      </c>
      <c r="F5392" s="76">
        <v>1</v>
      </c>
      <c r="G5392" s="57" t="s">
        <v>13819</v>
      </c>
      <c r="H5392" s="57" t="s">
        <v>1348</v>
      </c>
    </row>
    <row r="5393" spans="2:8" ht="13.5" customHeight="1">
      <c r="B5393" t="s">
        <v>9691</v>
      </c>
      <c r="D5393" t="s">
        <v>9741</v>
      </c>
      <c r="F5393" s="76">
        <v>1</v>
      </c>
      <c r="G5393" s="57" t="s">
        <v>13819</v>
      </c>
      <c r="H5393" s="57" t="s">
        <v>1348</v>
      </c>
    </row>
    <row r="5394" spans="2:8" ht="13.5" customHeight="1">
      <c r="B5394" t="s">
        <v>9692</v>
      </c>
      <c r="D5394" t="s">
        <v>9742</v>
      </c>
      <c r="F5394" s="76">
        <v>1</v>
      </c>
      <c r="G5394" s="57" t="s">
        <v>13819</v>
      </c>
      <c r="H5394" s="57" t="s">
        <v>1348</v>
      </c>
    </row>
    <row r="5395" spans="2:8" ht="13.5" customHeight="1">
      <c r="B5395" t="s">
        <v>9693</v>
      </c>
      <c r="D5395" t="s">
        <v>9743</v>
      </c>
      <c r="F5395" s="76">
        <v>2</v>
      </c>
      <c r="G5395" s="57" t="s">
        <v>13819</v>
      </c>
      <c r="H5395" s="57" t="s">
        <v>1348</v>
      </c>
    </row>
    <row r="5396" spans="2:8" ht="13.5" customHeight="1">
      <c r="B5396" t="s">
        <v>9694</v>
      </c>
      <c r="D5396">
        <v>5034800540</v>
      </c>
      <c r="F5396" s="76">
        <v>2</v>
      </c>
      <c r="G5396" s="57" t="s">
        <v>13819</v>
      </c>
      <c r="H5396" s="57" t="s">
        <v>1348</v>
      </c>
    </row>
    <row r="5397" spans="2:8" ht="13.5" customHeight="1">
      <c r="B5397" t="s">
        <v>9695</v>
      </c>
      <c r="D5397" t="s">
        <v>9744</v>
      </c>
      <c r="F5397" s="76">
        <v>2</v>
      </c>
      <c r="G5397" s="57" t="s">
        <v>13819</v>
      </c>
      <c r="H5397" s="57" t="s">
        <v>1348</v>
      </c>
    </row>
    <row r="5398" spans="2:8" ht="13.5" customHeight="1">
      <c r="B5398" t="s">
        <v>9696</v>
      </c>
      <c r="D5398" t="s">
        <v>9745</v>
      </c>
      <c r="F5398" s="76">
        <v>2</v>
      </c>
      <c r="G5398" s="57" t="s">
        <v>13819</v>
      </c>
      <c r="H5398" s="57" t="s">
        <v>1348</v>
      </c>
    </row>
    <row r="5399" spans="2:8" ht="13.5" customHeight="1">
      <c r="B5399" s="201" t="s">
        <v>9697</v>
      </c>
      <c r="D5399" s="202" t="s">
        <v>9746</v>
      </c>
      <c r="F5399" s="76">
        <v>2</v>
      </c>
      <c r="G5399" s="57" t="s">
        <v>13819</v>
      </c>
      <c r="H5399" s="57" t="s">
        <v>1348</v>
      </c>
    </row>
    <row r="5400" spans="2:8" ht="13.5" customHeight="1">
      <c r="B5400" t="s">
        <v>9698</v>
      </c>
      <c r="D5400" t="s">
        <v>5001</v>
      </c>
      <c r="F5400" s="76">
        <v>3</v>
      </c>
      <c r="G5400" s="57" t="s">
        <v>13819</v>
      </c>
      <c r="H5400" s="57" t="s">
        <v>1348</v>
      </c>
    </row>
    <row r="5401" spans="2:8" ht="13.5" customHeight="1">
      <c r="B5401" s="201" t="s">
        <v>9699</v>
      </c>
      <c r="D5401" s="202" t="s">
        <v>9747</v>
      </c>
      <c r="F5401" s="76">
        <v>3</v>
      </c>
      <c r="G5401" s="57" t="s">
        <v>13819</v>
      </c>
      <c r="H5401" s="57" t="s">
        <v>1348</v>
      </c>
    </row>
    <row r="5402" spans="2:8" ht="13.5" customHeight="1">
      <c r="B5402" t="s">
        <v>9700</v>
      </c>
      <c r="D5402">
        <v>532610371</v>
      </c>
      <c r="F5402" s="76">
        <v>4</v>
      </c>
      <c r="G5402" s="57" t="s">
        <v>13819</v>
      </c>
      <c r="H5402" s="57" t="s">
        <v>1348</v>
      </c>
    </row>
    <row r="5403" spans="2:8" ht="13.5" customHeight="1">
      <c r="B5403" t="s">
        <v>9701</v>
      </c>
      <c r="D5403" t="s">
        <v>9748</v>
      </c>
      <c r="F5403" s="76">
        <v>4</v>
      </c>
      <c r="G5403" s="57" t="s">
        <v>13819</v>
      </c>
      <c r="H5403" s="57" t="s">
        <v>1348</v>
      </c>
    </row>
    <row r="5404" spans="2:8" ht="13.5" customHeight="1">
      <c r="B5404" s="201" t="s">
        <v>9702</v>
      </c>
      <c r="D5404" s="202" t="s">
        <v>9749</v>
      </c>
      <c r="F5404" s="76">
        <v>4</v>
      </c>
      <c r="G5404" s="57" t="s">
        <v>13819</v>
      </c>
      <c r="H5404" s="57" t="s">
        <v>1348</v>
      </c>
    </row>
    <row r="5405" spans="2:8" ht="13.5" customHeight="1">
      <c r="B5405" t="s">
        <v>9703</v>
      </c>
      <c r="D5405" t="s">
        <v>9750</v>
      </c>
      <c r="F5405" s="76">
        <v>5</v>
      </c>
      <c r="G5405" s="57" t="s">
        <v>13819</v>
      </c>
      <c r="H5405" s="57" t="s">
        <v>1348</v>
      </c>
    </row>
    <row r="5406" spans="2:8" ht="13.5" customHeight="1">
      <c r="B5406" t="s">
        <v>9704</v>
      </c>
      <c r="D5406" t="s">
        <v>9751</v>
      </c>
      <c r="F5406" s="76">
        <v>5</v>
      </c>
      <c r="G5406" s="57" t="s">
        <v>13819</v>
      </c>
      <c r="H5406" s="57" t="s">
        <v>1348</v>
      </c>
    </row>
    <row r="5407" spans="2:8" ht="13.5" customHeight="1">
      <c r="B5407" s="201" t="s">
        <v>9705</v>
      </c>
      <c r="D5407" s="202" t="s">
        <v>9752</v>
      </c>
      <c r="F5407" s="76">
        <v>5</v>
      </c>
      <c r="G5407" s="57" t="s">
        <v>13819</v>
      </c>
      <c r="H5407" s="57" t="s">
        <v>1348</v>
      </c>
    </row>
    <row r="5408" spans="2:8" ht="13.5" customHeight="1">
      <c r="B5408" s="201" t="s">
        <v>9706</v>
      </c>
      <c r="D5408" s="202" t="s">
        <v>9753</v>
      </c>
      <c r="F5408" s="76">
        <v>5</v>
      </c>
      <c r="G5408" s="57" t="s">
        <v>13819</v>
      </c>
      <c r="H5408" s="57" t="s">
        <v>1348</v>
      </c>
    </row>
    <row r="5409" spans="2:8" ht="13.5" customHeight="1">
      <c r="B5409" s="200" t="s">
        <v>9707</v>
      </c>
      <c r="D5409" s="200" t="s">
        <v>3828</v>
      </c>
      <c r="F5409" s="76">
        <v>5</v>
      </c>
      <c r="G5409" s="57" t="s">
        <v>13819</v>
      </c>
      <c r="H5409" s="57" t="s">
        <v>1348</v>
      </c>
    </row>
    <row r="5410" spans="2:8" ht="13.5" customHeight="1">
      <c r="B5410" t="s">
        <v>9708</v>
      </c>
      <c r="D5410" t="s">
        <v>9754</v>
      </c>
      <c r="F5410" s="76">
        <v>6</v>
      </c>
      <c r="G5410" s="57" t="s">
        <v>13819</v>
      </c>
      <c r="H5410" s="57" t="s">
        <v>1348</v>
      </c>
    </row>
    <row r="5411" spans="2:8" ht="13.5" customHeight="1">
      <c r="B5411" t="s">
        <v>9709</v>
      </c>
      <c r="D5411" t="s">
        <v>9755</v>
      </c>
      <c r="F5411" s="76">
        <v>6</v>
      </c>
      <c r="G5411" s="57" t="s">
        <v>13819</v>
      </c>
      <c r="H5411" s="57" t="s">
        <v>1348</v>
      </c>
    </row>
    <row r="5412" spans="2:8" ht="13.5" customHeight="1">
      <c r="B5412" t="s">
        <v>9710</v>
      </c>
      <c r="D5412" t="s">
        <v>9756</v>
      </c>
      <c r="F5412" s="76">
        <v>6</v>
      </c>
      <c r="G5412" s="57" t="s">
        <v>13819</v>
      </c>
      <c r="H5412" s="57" t="s">
        <v>1348</v>
      </c>
    </row>
    <row r="5413" spans="2:8" ht="13.5" customHeight="1">
      <c r="B5413" s="201" t="s">
        <v>9711</v>
      </c>
      <c r="D5413" s="202" t="s">
        <v>9757</v>
      </c>
      <c r="F5413" s="76">
        <v>6</v>
      </c>
      <c r="G5413" s="57" t="s">
        <v>13819</v>
      </c>
      <c r="H5413" s="57" t="s">
        <v>1348</v>
      </c>
    </row>
    <row r="5414" spans="2:8" ht="13.5" customHeight="1">
      <c r="B5414" t="s">
        <v>9712</v>
      </c>
      <c r="D5414">
        <v>5034801200</v>
      </c>
      <c r="F5414" s="76">
        <v>8</v>
      </c>
      <c r="G5414" s="57" t="s">
        <v>13819</v>
      </c>
      <c r="H5414" s="57" t="s">
        <v>1348</v>
      </c>
    </row>
    <row r="5415" spans="2:8" ht="13.5" customHeight="1">
      <c r="B5415" t="s">
        <v>5233</v>
      </c>
      <c r="D5415" t="s">
        <v>9758</v>
      </c>
      <c r="F5415" s="76">
        <v>8</v>
      </c>
      <c r="G5415" s="57" t="s">
        <v>13819</v>
      </c>
      <c r="H5415" s="57" t="s">
        <v>1348</v>
      </c>
    </row>
    <row r="5416" spans="2:8" ht="13.5" customHeight="1">
      <c r="B5416" s="201" t="s">
        <v>9713</v>
      </c>
      <c r="D5416" s="202" t="s">
        <v>9759</v>
      </c>
      <c r="F5416" s="76">
        <v>8</v>
      </c>
      <c r="G5416" s="57" t="s">
        <v>13819</v>
      </c>
      <c r="H5416" s="57" t="s">
        <v>1348</v>
      </c>
    </row>
    <row r="5417" spans="2:8" ht="13.5" customHeight="1">
      <c r="B5417" t="s">
        <v>9714</v>
      </c>
      <c r="D5417" t="s">
        <v>9760</v>
      </c>
      <c r="F5417" s="76">
        <v>9</v>
      </c>
      <c r="G5417" s="57" t="s">
        <v>13819</v>
      </c>
      <c r="H5417" s="57" t="s">
        <v>1348</v>
      </c>
    </row>
    <row r="5418" spans="2:8" ht="13.5" customHeight="1">
      <c r="B5418" t="s">
        <v>9715</v>
      </c>
      <c r="D5418" t="s">
        <v>9761</v>
      </c>
      <c r="F5418" s="76">
        <v>9</v>
      </c>
      <c r="G5418" s="57" t="s">
        <v>13819</v>
      </c>
      <c r="H5418" s="57" t="s">
        <v>1348</v>
      </c>
    </row>
    <row r="5419" spans="2:8" ht="13.5" customHeight="1">
      <c r="B5419" t="s">
        <v>9716</v>
      </c>
      <c r="D5419" t="s">
        <v>9762</v>
      </c>
      <c r="F5419" s="76">
        <v>10</v>
      </c>
      <c r="G5419" s="57" t="s">
        <v>13819</v>
      </c>
      <c r="H5419" s="57" t="s">
        <v>1348</v>
      </c>
    </row>
    <row r="5420" spans="2:8" ht="13.5" customHeight="1">
      <c r="B5420" t="s">
        <v>5668</v>
      </c>
      <c r="D5420" t="s">
        <v>9763</v>
      </c>
      <c r="F5420" s="76">
        <v>10</v>
      </c>
      <c r="G5420" s="57" t="s">
        <v>13819</v>
      </c>
      <c r="H5420" s="57" t="s">
        <v>1348</v>
      </c>
    </row>
    <row r="5421" spans="2:8" ht="13.5" customHeight="1">
      <c r="B5421" t="s">
        <v>9717</v>
      </c>
      <c r="D5421" t="s">
        <v>9764</v>
      </c>
      <c r="F5421" s="76">
        <v>10</v>
      </c>
      <c r="G5421" s="57" t="s">
        <v>13819</v>
      </c>
      <c r="H5421" s="57" t="s">
        <v>1348</v>
      </c>
    </row>
    <row r="5422" spans="2:8" ht="13.5" customHeight="1">
      <c r="B5422" t="s">
        <v>9718</v>
      </c>
      <c r="D5422" t="s">
        <v>9765</v>
      </c>
      <c r="F5422" s="76">
        <v>10</v>
      </c>
      <c r="G5422" s="57" t="s">
        <v>13819</v>
      </c>
      <c r="H5422" s="57" t="s">
        <v>1348</v>
      </c>
    </row>
    <row r="5423" spans="2:8" ht="13.5" customHeight="1">
      <c r="B5423" t="s">
        <v>9719</v>
      </c>
      <c r="D5423" t="s">
        <v>777</v>
      </c>
      <c r="F5423" s="76">
        <v>10</v>
      </c>
      <c r="G5423" s="57" t="s">
        <v>13819</v>
      </c>
      <c r="H5423" s="57" t="s">
        <v>1348</v>
      </c>
    </row>
    <row r="5424" spans="2:8" ht="13.5" customHeight="1">
      <c r="B5424" t="s">
        <v>9720</v>
      </c>
      <c r="D5424" t="s">
        <v>9766</v>
      </c>
      <c r="F5424" s="76">
        <v>11</v>
      </c>
      <c r="G5424" s="57" t="s">
        <v>13819</v>
      </c>
      <c r="H5424" s="57" t="s">
        <v>1348</v>
      </c>
    </row>
    <row r="5425" spans="2:8" ht="13.5" customHeight="1">
      <c r="B5425" s="201" t="s">
        <v>9721</v>
      </c>
      <c r="D5425" s="202" t="s">
        <v>9767</v>
      </c>
      <c r="F5425" s="76">
        <v>11</v>
      </c>
      <c r="G5425" s="57" t="s">
        <v>13819</v>
      </c>
      <c r="H5425" s="57" t="s">
        <v>1348</v>
      </c>
    </row>
    <row r="5426" spans="2:8" ht="13.5" customHeight="1">
      <c r="B5426" t="s">
        <v>9722</v>
      </c>
      <c r="D5426" t="s">
        <v>9768</v>
      </c>
      <c r="F5426" s="76">
        <v>12</v>
      </c>
      <c r="G5426" s="57" t="s">
        <v>13819</v>
      </c>
      <c r="H5426" s="57" t="s">
        <v>1348</v>
      </c>
    </row>
    <row r="5427" spans="2:8" ht="13.5" customHeight="1">
      <c r="B5427" t="s">
        <v>9723</v>
      </c>
      <c r="D5427" t="s">
        <v>9769</v>
      </c>
      <c r="F5427" s="76">
        <v>14</v>
      </c>
      <c r="G5427" s="57" t="s">
        <v>13819</v>
      </c>
      <c r="H5427" s="57" t="s">
        <v>1348</v>
      </c>
    </row>
    <row r="5428" spans="2:8" ht="13.5" customHeight="1">
      <c r="B5428" t="s">
        <v>9724</v>
      </c>
      <c r="D5428" t="s">
        <v>436</v>
      </c>
      <c r="F5428" s="76">
        <v>14</v>
      </c>
      <c r="G5428" s="57" t="s">
        <v>13819</v>
      </c>
      <c r="H5428" s="57" t="s">
        <v>1348</v>
      </c>
    </row>
    <row r="5429" spans="2:8" ht="13.5" customHeight="1">
      <c r="B5429" s="201" t="s">
        <v>9725</v>
      </c>
      <c r="D5429" s="202" t="s">
        <v>3260</v>
      </c>
      <c r="F5429" s="76">
        <v>14</v>
      </c>
      <c r="G5429" s="57" t="s">
        <v>13819</v>
      </c>
      <c r="H5429" s="57" t="s">
        <v>1348</v>
      </c>
    </row>
    <row r="5430" spans="2:8" ht="13.5" customHeight="1">
      <c r="B5430" t="s">
        <v>9726</v>
      </c>
      <c r="D5430" t="s">
        <v>9770</v>
      </c>
      <c r="F5430" s="76">
        <v>15</v>
      </c>
      <c r="G5430" s="57" t="s">
        <v>13819</v>
      </c>
      <c r="H5430" s="57" t="s">
        <v>1348</v>
      </c>
    </row>
    <row r="5431" spans="2:8" ht="13.5" customHeight="1">
      <c r="B5431" t="s">
        <v>3397</v>
      </c>
      <c r="D5431" t="s">
        <v>3398</v>
      </c>
      <c r="F5431" s="76">
        <v>20</v>
      </c>
      <c r="G5431" s="57" t="s">
        <v>13819</v>
      </c>
      <c r="H5431" s="57" t="s">
        <v>1348</v>
      </c>
    </row>
    <row r="5432" spans="2:8" ht="13.5" customHeight="1">
      <c r="B5432" t="s">
        <v>9727</v>
      </c>
      <c r="D5432" t="s">
        <v>9771</v>
      </c>
      <c r="F5432" s="76">
        <v>20</v>
      </c>
      <c r="G5432" s="57" t="s">
        <v>13819</v>
      </c>
      <c r="H5432" s="57" t="s">
        <v>1348</v>
      </c>
    </row>
    <row r="5433" spans="2:8" ht="13.5" customHeight="1">
      <c r="B5433" t="s">
        <v>9728</v>
      </c>
      <c r="D5433" t="s">
        <v>9772</v>
      </c>
      <c r="F5433" s="76">
        <v>20</v>
      </c>
      <c r="G5433" s="57" t="s">
        <v>13819</v>
      </c>
      <c r="H5433" s="57" t="s">
        <v>1348</v>
      </c>
    </row>
    <row r="5434" spans="2:8" ht="13.5" customHeight="1">
      <c r="B5434" t="s">
        <v>9729</v>
      </c>
      <c r="D5434" t="s">
        <v>9773</v>
      </c>
      <c r="F5434" s="76">
        <v>20</v>
      </c>
      <c r="G5434" s="57" t="s">
        <v>13819</v>
      </c>
      <c r="H5434" s="57" t="s">
        <v>1348</v>
      </c>
    </row>
    <row r="5435" spans="2:8" ht="13.5" customHeight="1">
      <c r="B5435" t="s">
        <v>9730</v>
      </c>
      <c r="D5435" t="s">
        <v>9774</v>
      </c>
      <c r="F5435" s="76">
        <v>22</v>
      </c>
      <c r="G5435" s="57" t="s">
        <v>13819</v>
      </c>
      <c r="H5435" s="57" t="s">
        <v>1348</v>
      </c>
    </row>
    <row r="5436" spans="2:8" ht="13.5" customHeight="1">
      <c r="B5436" s="201" t="s">
        <v>9731</v>
      </c>
      <c r="D5436" s="202" t="s">
        <v>9775</v>
      </c>
      <c r="F5436" s="76">
        <v>25</v>
      </c>
      <c r="G5436" s="57" t="s">
        <v>13819</v>
      </c>
      <c r="H5436" s="57" t="s">
        <v>1348</v>
      </c>
    </row>
    <row r="5437" spans="2:8" ht="13.5" customHeight="1">
      <c r="B5437" t="s">
        <v>9732</v>
      </c>
      <c r="D5437" t="s">
        <v>309</v>
      </c>
      <c r="F5437" s="76">
        <v>38</v>
      </c>
      <c r="G5437" s="57" t="s">
        <v>13819</v>
      </c>
      <c r="H5437" s="57" t="s">
        <v>1348</v>
      </c>
    </row>
    <row r="5438" spans="2:8" ht="13.5" customHeight="1">
      <c r="B5438" t="s">
        <v>9733</v>
      </c>
      <c r="D5438" t="s">
        <v>9776</v>
      </c>
      <c r="F5438" s="76">
        <v>45</v>
      </c>
      <c r="G5438" s="57" t="s">
        <v>13819</v>
      </c>
      <c r="H5438" s="57" t="s">
        <v>1348</v>
      </c>
    </row>
    <row r="5439" spans="2:8" ht="13.5" customHeight="1">
      <c r="B5439" t="s">
        <v>9734</v>
      </c>
      <c r="D5439" t="s">
        <v>9777</v>
      </c>
      <c r="F5439" s="76">
        <v>50</v>
      </c>
      <c r="G5439" s="57" t="s">
        <v>13819</v>
      </c>
      <c r="H5439" s="57" t="s">
        <v>1348</v>
      </c>
    </row>
    <row r="5440" spans="2:8" ht="13.5" customHeight="1">
      <c r="B5440" t="s">
        <v>9735</v>
      </c>
      <c r="D5440" t="s">
        <v>9778</v>
      </c>
      <c r="F5440" s="76">
        <v>50</v>
      </c>
      <c r="G5440" s="57" t="s">
        <v>13819</v>
      </c>
      <c r="H5440" s="57" t="s">
        <v>1348</v>
      </c>
    </row>
    <row r="5441" spans="2:8" ht="13.5" customHeight="1">
      <c r="B5441" t="s">
        <v>9736</v>
      </c>
      <c r="D5441" t="s">
        <v>9779</v>
      </c>
      <c r="F5441" s="76">
        <v>68</v>
      </c>
      <c r="G5441" s="57" t="s">
        <v>13819</v>
      </c>
      <c r="H5441" s="57" t="s">
        <v>1348</v>
      </c>
    </row>
    <row r="5442" spans="2:8" ht="13.5" customHeight="1">
      <c r="B5442" t="s">
        <v>9737</v>
      </c>
      <c r="D5442" t="s">
        <v>9780</v>
      </c>
      <c r="F5442" s="76">
        <v>1076</v>
      </c>
      <c r="G5442" s="57" t="s">
        <v>13819</v>
      </c>
      <c r="H5442" s="57" t="s">
        <v>1348</v>
      </c>
    </row>
    <row r="5443" spans="2:8" ht="13.5" customHeight="1">
      <c r="B5443" t="s">
        <v>9781</v>
      </c>
      <c r="D5443" t="s">
        <v>9809</v>
      </c>
      <c r="F5443" s="76">
        <v>1</v>
      </c>
      <c r="G5443" s="57" t="s">
        <v>13819</v>
      </c>
      <c r="H5443" s="57" t="s">
        <v>1351</v>
      </c>
    </row>
    <row r="5444" spans="2:8" ht="13.5" customHeight="1">
      <c r="B5444" t="s">
        <v>9782</v>
      </c>
      <c r="D5444" t="s">
        <v>9810</v>
      </c>
      <c r="F5444" s="76">
        <v>1</v>
      </c>
      <c r="G5444" s="57" t="s">
        <v>13819</v>
      </c>
      <c r="H5444" s="57" t="s">
        <v>1351</v>
      </c>
    </row>
    <row r="5445" spans="2:8" ht="13.5" customHeight="1">
      <c r="B5445" t="s">
        <v>9783</v>
      </c>
      <c r="D5445" t="s">
        <v>9811</v>
      </c>
      <c r="F5445" s="76">
        <v>1</v>
      </c>
      <c r="G5445" s="57" t="s">
        <v>13819</v>
      </c>
      <c r="H5445" s="57" t="s">
        <v>1351</v>
      </c>
    </row>
    <row r="5446" spans="2:8" ht="13.5" customHeight="1">
      <c r="B5446" t="s">
        <v>6419</v>
      </c>
      <c r="D5446" t="s">
        <v>9812</v>
      </c>
      <c r="F5446" s="76">
        <v>2</v>
      </c>
      <c r="G5446" s="57" t="s">
        <v>13819</v>
      </c>
      <c r="H5446" s="57" t="s">
        <v>1351</v>
      </c>
    </row>
    <row r="5447" spans="2:8" ht="13.5" customHeight="1">
      <c r="B5447" t="s">
        <v>9784</v>
      </c>
      <c r="D5447" t="s">
        <v>9813</v>
      </c>
      <c r="F5447" s="76">
        <v>2</v>
      </c>
      <c r="G5447" s="57" t="s">
        <v>13819</v>
      </c>
      <c r="H5447" s="57" t="s">
        <v>1351</v>
      </c>
    </row>
    <row r="5448" spans="2:8" ht="13.5" customHeight="1">
      <c r="B5448" t="s">
        <v>9785</v>
      </c>
      <c r="D5448" t="s">
        <v>9814</v>
      </c>
      <c r="F5448" s="76">
        <v>2</v>
      </c>
      <c r="G5448" s="57" t="s">
        <v>13819</v>
      </c>
      <c r="H5448" s="57" t="s">
        <v>1351</v>
      </c>
    </row>
    <row r="5449" spans="2:8" ht="13.5" customHeight="1">
      <c r="B5449" t="s">
        <v>237</v>
      </c>
      <c r="D5449" t="s">
        <v>9815</v>
      </c>
      <c r="F5449" s="76">
        <v>3</v>
      </c>
      <c r="G5449" s="57" t="s">
        <v>13819</v>
      </c>
      <c r="H5449" s="57" t="s">
        <v>1351</v>
      </c>
    </row>
    <row r="5450" spans="2:8" ht="13.5" customHeight="1">
      <c r="B5450" t="s">
        <v>9786</v>
      </c>
      <c r="D5450" t="s">
        <v>9816</v>
      </c>
      <c r="F5450" s="76">
        <v>3</v>
      </c>
      <c r="G5450" s="57" t="s">
        <v>13819</v>
      </c>
      <c r="H5450" s="57" t="s">
        <v>1351</v>
      </c>
    </row>
    <row r="5451" spans="2:8" ht="13.5" customHeight="1">
      <c r="B5451" t="s">
        <v>9787</v>
      </c>
      <c r="D5451" t="s">
        <v>9817</v>
      </c>
      <c r="F5451" s="76">
        <v>3</v>
      </c>
      <c r="G5451" s="57" t="s">
        <v>13819</v>
      </c>
      <c r="H5451" s="57" t="s">
        <v>1351</v>
      </c>
    </row>
    <row r="5452" spans="2:8" ht="13.5" customHeight="1">
      <c r="B5452" t="s">
        <v>9788</v>
      </c>
      <c r="D5452" t="s">
        <v>9818</v>
      </c>
      <c r="F5452" s="76">
        <v>4</v>
      </c>
      <c r="G5452" s="57" t="s">
        <v>13819</v>
      </c>
      <c r="H5452" s="57" t="s">
        <v>1351</v>
      </c>
    </row>
    <row r="5453" spans="2:8" ht="13.5" customHeight="1">
      <c r="B5453" t="s">
        <v>9789</v>
      </c>
      <c r="D5453" t="s">
        <v>9819</v>
      </c>
      <c r="F5453" s="76">
        <v>4</v>
      </c>
      <c r="G5453" s="57" t="s">
        <v>13819</v>
      </c>
      <c r="H5453" s="57" t="s">
        <v>1351</v>
      </c>
    </row>
    <row r="5454" spans="2:8" ht="13.5" customHeight="1">
      <c r="B5454" t="s">
        <v>9790</v>
      </c>
      <c r="D5454" t="s">
        <v>9820</v>
      </c>
      <c r="F5454" s="76">
        <v>5</v>
      </c>
      <c r="G5454" s="57" t="s">
        <v>13819</v>
      </c>
      <c r="H5454" s="57" t="s">
        <v>1351</v>
      </c>
    </row>
    <row r="5455" spans="2:8" ht="13.5" customHeight="1">
      <c r="B5455" t="s">
        <v>9791</v>
      </c>
      <c r="D5455" t="s">
        <v>9821</v>
      </c>
      <c r="F5455" s="76">
        <v>7</v>
      </c>
      <c r="G5455" s="57" t="s">
        <v>13819</v>
      </c>
      <c r="H5455" s="57" t="s">
        <v>1351</v>
      </c>
    </row>
    <row r="5456" spans="2:8" ht="13.5" customHeight="1">
      <c r="B5456" t="s">
        <v>9792</v>
      </c>
      <c r="D5456" t="s">
        <v>9822</v>
      </c>
      <c r="F5456" s="76">
        <v>10</v>
      </c>
      <c r="G5456" s="57" t="s">
        <v>13819</v>
      </c>
      <c r="H5456" s="57" t="s">
        <v>1351</v>
      </c>
    </row>
    <row r="5457" spans="2:8" ht="13.5" customHeight="1">
      <c r="B5457" t="s">
        <v>9793</v>
      </c>
      <c r="D5457" t="s">
        <v>9823</v>
      </c>
      <c r="F5457" s="76">
        <v>10</v>
      </c>
      <c r="G5457" s="57" t="s">
        <v>13819</v>
      </c>
      <c r="H5457" s="57" t="s">
        <v>1351</v>
      </c>
    </row>
    <row r="5458" spans="2:8" ht="13.5" customHeight="1">
      <c r="B5458" t="s">
        <v>9794</v>
      </c>
      <c r="D5458" t="s">
        <v>9824</v>
      </c>
      <c r="F5458" s="76">
        <v>11</v>
      </c>
      <c r="G5458" s="57" t="s">
        <v>13819</v>
      </c>
      <c r="H5458" s="57" t="s">
        <v>1351</v>
      </c>
    </row>
    <row r="5459" spans="2:8" ht="13.5" customHeight="1">
      <c r="B5459" t="s">
        <v>9795</v>
      </c>
      <c r="D5459" t="s">
        <v>9825</v>
      </c>
      <c r="F5459" s="76">
        <v>11</v>
      </c>
      <c r="G5459" s="57" t="s">
        <v>13819</v>
      </c>
      <c r="H5459" s="57" t="s">
        <v>1351</v>
      </c>
    </row>
    <row r="5460" spans="2:8" ht="13.5" customHeight="1">
      <c r="B5460" t="s">
        <v>9796</v>
      </c>
      <c r="D5460" t="s">
        <v>9826</v>
      </c>
      <c r="F5460" s="76">
        <v>11</v>
      </c>
      <c r="G5460" s="57" t="s">
        <v>13819</v>
      </c>
      <c r="H5460" s="57" t="s">
        <v>1351</v>
      </c>
    </row>
    <row r="5461" spans="2:8" ht="13.5" customHeight="1">
      <c r="B5461" t="s">
        <v>9797</v>
      </c>
      <c r="D5461" t="s">
        <v>9827</v>
      </c>
      <c r="F5461" s="76">
        <v>11</v>
      </c>
      <c r="G5461" s="57" t="s">
        <v>13819</v>
      </c>
      <c r="H5461" s="57" t="s">
        <v>1351</v>
      </c>
    </row>
    <row r="5462" spans="2:8" ht="13.5" customHeight="1">
      <c r="B5462" t="s">
        <v>9798</v>
      </c>
      <c r="D5462" t="s">
        <v>9828</v>
      </c>
      <c r="F5462" s="76">
        <v>16</v>
      </c>
      <c r="G5462" s="57" t="s">
        <v>13819</v>
      </c>
      <c r="H5462" s="57" t="s">
        <v>1351</v>
      </c>
    </row>
    <row r="5463" spans="2:8" ht="13.5" customHeight="1">
      <c r="B5463" t="s">
        <v>9799</v>
      </c>
      <c r="D5463" t="s">
        <v>9829</v>
      </c>
      <c r="F5463" s="76">
        <v>17</v>
      </c>
      <c r="G5463" s="57" t="s">
        <v>13819</v>
      </c>
      <c r="H5463" s="57" t="s">
        <v>1351</v>
      </c>
    </row>
    <row r="5464" spans="2:8" ht="13.5" customHeight="1">
      <c r="B5464" t="s">
        <v>9800</v>
      </c>
      <c r="D5464" t="s">
        <v>9830</v>
      </c>
      <c r="F5464" s="76">
        <v>18</v>
      </c>
      <c r="G5464" s="57" t="s">
        <v>13819</v>
      </c>
      <c r="H5464" s="57" t="s">
        <v>1351</v>
      </c>
    </row>
    <row r="5465" spans="2:8" ht="13.5" customHeight="1">
      <c r="B5465" t="s">
        <v>9801</v>
      </c>
      <c r="D5465" t="s">
        <v>9831</v>
      </c>
      <c r="F5465" s="76">
        <v>20</v>
      </c>
      <c r="G5465" s="57" t="s">
        <v>13819</v>
      </c>
      <c r="H5465" s="57" t="s">
        <v>1351</v>
      </c>
    </row>
    <row r="5466" spans="2:8" ht="13.5" customHeight="1">
      <c r="B5466" t="s">
        <v>9802</v>
      </c>
      <c r="D5466" t="s">
        <v>9832</v>
      </c>
      <c r="F5466" s="76">
        <v>20</v>
      </c>
      <c r="G5466" s="57" t="s">
        <v>13819</v>
      </c>
      <c r="H5466" s="57" t="s">
        <v>1351</v>
      </c>
    </row>
    <row r="5467" spans="2:8" ht="13.5" customHeight="1">
      <c r="B5467" t="s">
        <v>3716</v>
      </c>
      <c r="D5467" t="s">
        <v>9833</v>
      </c>
      <c r="F5467" s="76">
        <v>21</v>
      </c>
      <c r="G5467" s="57" t="s">
        <v>13819</v>
      </c>
      <c r="H5467" s="57" t="s">
        <v>1351</v>
      </c>
    </row>
    <row r="5468" spans="2:8" ht="13.5" customHeight="1">
      <c r="B5468" t="s">
        <v>9803</v>
      </c>
      <c r="D5468">
        <v>742792097</v>
      </c>
      <c r="F5468" s="76">
        <v>34</v>
      </c>
      <c r="G5468" s="57" t="s">
        <v>13819</v>
      </c>
      <c r="H5468" s="57" t="s">
        <v>1351</v>
      </c>
    </row>
    <row r="5469" spans="2:8" ht="13.5" customHeight="1">
      <c r="B5469" t="s">
        <v>9804</v>
      </c>
      <c r="D5469" t="s">
        <v>9834</v>
      </c>
      <c r="F5469" s="76">
        <v>50</v>
      </c>
      <c r="G5469" s="57" t="s">
        <v>13819</v>
      </c>
      <c r="H5469" s="57" t="s">
        <v>1351</v>
      </c>
    </row>
    <row r="5470" spans="2:8" ht="13.5" customHeight="1">
      <c r="B5470" t="s">
        <v>9805</v>
      </c>
      <c r="D5470" t="s">
        <v>9835</v>
      </c>
      <c r="F5470" s="76">
        <v>62</v>
      </c>
      <c r="G5470" s="57" t="s">
        <v>13819</v>
      </c>
      <c r="H5470" s="57" t="s">
        <v>1351</v>
      </c>
    </row>
    <row r="5471" spans="2:8" ht="13.5" customHeight="1">
      <c r="B5471" t="s">
        <v>9806</v>
      </c>
      <c r="D5471" t="s">
        <v>9836</v>
      </c>
      <c r="F5471" s="76">
        <v>100</v>
      </c>
      <c r="G5471" s="57" t="s">
        <v>13819</v>
      </c>
      <c r="H5471" s="57" t="s">
        <v>1351</v>
      </c>
    </row>
    <row r="5472" spans="2:8" ht="13.5" customHeight="1">
      <c r="B5472" t="s">
        <v>9807</v>
      </c>
      <c r="D5472" t="s">
        <v>9837</v>
      </c>
      <c r="F5472" s="76">
        <v>100</v>
      </c>
      <c r="G5472" s="57" t="s">
        <v>13819</v>
      </c>
      <c r="H5472" s="57" t="s">
        <v>1351</v>
      </c>
    </row>
    <row r="5473" spans="2:8" ht="13.5" customHeight="1">
      <c r="B5473" t="s">
        <v>9808</v>
      </c>
      <c r="D5473" t="s">
        <v>9838</v>
      </c>
      <c r="F5473" s="76">
        <v>446</v>
      </c>
      <c r="G5473" s="57" t="s">
        <v>13819</v>
      </c>
      <c r="H5473" s="57" t="s">
        <v>1351</v>
      </c>
    </row>
    <row r="5474" spans="2:8" ht="13.5" customHeight="1">
      <c r="B5474" t="s">
        <v>9839</v>
      </c>
      <c r="D5474" t="s">
        <v>9866</v>
      </c>
      <c r="F5474" s="76">
        <v>1</v>
      </c>
      <c r="G5474" s="57" t="s">
        <v>13819</v>
      </c>
      <c r="H5474" s="57" t="s">
        <v>1352</v>
      </c>
    </row>
    <row r="5475" spans="2:8" ht="13.5" customHeight="1">
      <c r="B5475" t="s">
        <v>9840</v>
      </c>
      <c r="D5475" t="s">
        <v>9867</v>
      </c>
      <c r="F5475" s="76">
        <v>1</v>
      </c>
      <c r="G5475" s="57" t="s">
        <v>13819</v>
      </c>
      <c r="H5475" s="57" t="s">
        <v>1352</v>
      </c>
    </row>
    <row r="5476" spans="2:8" ht="13.5" customHeight="1">
      <c r="B5476" t="s">
        <v>9841</v>
      </c>
      <c r="D5476" t="s">
        <v>9868</v>
      </c>
      <c r="F5476" s="76">
        <v>1</v>
      </c>
      <c r="G5476" s="57" t="s">
        <v>13819</v>
      </c>
      <c r="H5476" s="57" t="s">
        <v>1352</v>
      </c>
    </row>
    <row r="5477" spans="2:8" ht="13.5" customHeight="1">
      <c r="B5477" t="s">
        <v>9842</v>
      </c>
      <c r="D5477" t="s">
        <v>9869</v>
      </c>
      <c r="F5477" s="76">
        <v>2</v>
      </c>
      <c r="G5477" s="57" t="s">
        <v>13819</v>
      </c>
      <c r="H5477" s="57" t="s">
        <v>1352</v>
      </c>
    </row>
    <row r="5478" spans="2:8" ht="13.5" customHeight="1">
      <c r="B5478" t="s">
        <v>9843</v>
      </c>
      <c r="D5478" t="s">
        <v>9870</v>
      </c>
      <c r="F5478" s="76">
        <v>2</v>
      </c>
      <c r="G5478" s="57" t="s">
        <v>13819</v>
      </c>
      <c r="H5478" s="57" t="s">
        <v>1352</v>
      </c>
    </row>
    <row r="5479" spans="2:8" ht="13.5" customHeight="1">
      <c r="B5479" t="s">
        <v>9844</v>
      </c>
      <c r="D5479" t="s">
        <v>9871</v>
      </c>
      <c r="F5479" s="76">
        <v>2</v>
      </c>
      <c r="G5479" s="57" t="s">
        <v>13819</v>
      </c>
      <c r="H5479" s="57" t="s">
        <v>1352</v>
      </c>
    </row>
    <row r="5480" spans="2:8" ht="13.5" customHeight="1">
      <c r="B5480" t="s">
        <v>9845</v>
      </c>
      <c r="D5480">
        <v>5055670531</v>
      </c>
      <c r="F5480" s="76">
        <v>2</v>
      </c>
      <c r="G5480" s="57" t="s">
        <v>13819</v>
      </c>
      <c r="H5480" s="57" t="s">
        <v>1352</v>
      </c>
    </row>
    <row r="5481" spans="2:8" ht="13.5" customHeight="1">
      <c r="B5481" t="s">
        <v>9846</v>
      </c>
      <c r="D5481" t="s">
        <v>9872</v>
      </c>
      <c r="F5481" s="76">
        <v>2</v>
      </c>
      <c r="G5481" s="57" t="s">
        <v>13819</v>
      </c>
      <c r="H5481" s="57" t="s">
        <v>1352</v>
      </c>
    </row>
    <row r="5482" spans="2:8" ht="13.5" customHeight="1">
      <c r="B5482" t="s">
        <v>9847</v>
      </c>
      <c r="D5482" t="s">
        <v>9873</v>
      </c>
      <c r="F5482" s="76">
        <v>2</v>
      </c>
      <c r="G5482" s="57" t="s">
        <v>13819</v>
      </c>
      <c r="H5482" s="57" t="s">
        <v>1352</v>
      </c>
    </row>
    <row r="5483" spans="2:8" ht="13.5" customHeight="1">
      <c r="B5483" t="s">
        <v>3233</v>
      </c>
      <c r="D5483" t="s">
        <v>9874</v>
      </c>
      <c r="F5483" s="76">
        <v>3</v>
      </c>
      <c r="G5483" s="57" t="s">
        <v>13819</v>
      </c>
      <c r="H5483" s="57" t="s">
        <v>1352</v>
      </c>
    </row>
    <row r="5484" spans="2:8" ht="13.5" customHeight="1">
      <c r="B5484" t="s">
        <v>9848</v>
      </c>
      <c r="D5484" t="s">
        <v>9875</v>
      </c>
      <c r="F5484" s="76">
        <v>3</v>
      </c>
      <c r="G5484" s="57" t="s">
        <v>13819</v>
      </c>
      <c r="H5484" s="57" t="s">
        <v>1352</v>
      </c>
    </row>
    <row r="5485" spans="2:8" ht="13.5" customHeight="1">
      <c r="B5485" t="s">
        <v>811</v>
      </c>
      <c r="D5485" t="s">
        <v>9876</v>
      </c>
      <c r="F5485" s="76">
        <v>4</v>
      </c>
      <c r="G5485" s="57" t="s">
        <v>13819</v>
      </c>
      <c r="H5485" s="57" t="s">
        <v>1352</v>
      </c>
    </row>
    <row r="5486" spans="2:8" ht="13.5" customHeight="1">
      <c r="B5486" t="s">
        <v>9849</v>
      </c>
      <c r="D5486" t="s">
        <v>9877</v>
      </c>
      <c r="F5486" s="76">
        <v>10</v>
      </c>
      <c r="G5486" s="57" t="s">
        <v>13819</v>
      </c>
      <c r="H5486" s="57" t="s">
        <v>1352</v>
      </c>
    </row>
    <row r="5487" spans="2:8" ht="13.5" customHeight="1">
      <c r="B5487" t="s">
        <v>9850</v>
      </c>
      <c r="D5487" t="s">
        <v>546</v>
      </c>
      <c r="F5487" s="76">
        <v>12</v>
      </c>
      <c r="G5487" s="57" t="s">
        <v>13819</v>
      </c>
      <c r="H5487" s="57" t="s">
        <v>1352</v>
      </c>
    </row>
    <row r="5488" spans="2:8" ht="13.5" customHeight="1">
      <c r="B5488" t="s">
        <v>9851</v>
      </c>
      <c r="D5488" t="s">
        <v>9878</v>
      </c>
      <c r="F5488" s="76">
        <v>12</v>
      </c>
      <c r="G5488" s="57" t="s">
        <v>13819</v>
      </c>
      <c r="H5488" s="57" t="s">
        <v>1352</v>
      </c>
    </row>
    <row r="5489" spans="2:8" ht="13.5" customHeight="1">
      <c r="B5489" t="s">
        <v>9852</v>
      </c>
      <c r="D5489" t="s">
        <v>1050</v>
      </c>
      <c r="F5489" s="76">
        <v>18</v>
      </c>
      <c r="G5489" s="57" t="s">
        <v>13819</v>
      </c>
      <c r="H5489" s="57" t="s">
        <v>1352</v>
      </c>
    </row>
    <row r="5490" spans="2:8" ht="13.5" customHeight="1">
      <c r="B5490" t="s">
        <v>659</v>
      </c>
      <c r="D5490" t="s">
        <v>9879</v>
      </c>
      <c r="F5490" s="76">
        <v>18</v>
      </c>
      <c r="G5490" s="57" t="s">
        <v>13819</v>
      </c>
      <c r="H5490" s="57" t="s">
        <v>1352</v>
      </c>
    </row>
    <row r="5491" spans="2:8" ht="13.5" customHeight="1">
      <c r="B5491" t="s">
        <v>9853</v>
      </c>
      <c r="D5491" t="s">
        <v>9880</v>
      </c>
      <c r="F5491" s="76">
        <v>23</v>
      </c>
      <c r="G5491" s="57" t="s">
        <v>13819</v>
      </c>
      <c r="H5491" s="57" t="s">
        <v>1352</v>
      </c>
    </row>
    <row r="5492" spans="2:8" ht="13.5" customHeight="1">
      <c r="B5492" t="s">
        <v>9854</v>
      </c>
      <c r="D5492" t="s">
        <v>9881</v>
      </c>
      <c r="F5492" s="76">
        <v>26</v>
      </c>
      <c r="G5492" s="57" t="s">
        <v>13819</v>
      </c>
      <c r="H5492" s="57" t="s">
        <v>1352</v>
      </c>
    </row>
    <row r="5493" spans="2:8" ht="13.5" customHeight="1">
      <c r="B5493" t="s">
        <v>9855</v>
      </c>
      <c r="D5493" t="s">
        <v>9882</v>
      </c>
      <c r="F5493" s="76">
        <v>37</v>
      </c>
      <c r="G5493" s="57" t="s">
        <v>13819</v>
      </c>
      <c r="H5493" s="57" t="s">
        <v>1352</v>
      </c>
    </row>
    <row r="5494" spans="2:8" ht="13.5" customHeight="1">
      <c r="B5494" t="s">
        <v>9856</v>
      </c>
      <c r="D5494" t="s">
        <v>9883</v>
      </c>
      <c r="F5494" s="76">
        <v>37</v>
      </c>
      <c r="G5494" s="57" t="s">
        <v>13819</v>
      </c>
      <c r="H5494" s="57" t="s">
        <v>1352</v>
      </c>
    </row>
    <row r="5495" spans="2:8" ht="13.5" customHeight="1">
      <c r="B5495" t="s">
        <v>9857</v>
      </c>
      <c r="D5495" t="s">
        <v>9884</v>
      </c>
      <c r="F5495" s="76">
        <v>40</v>
      </c>
      <c r="G5495" s="57" t="s">
        <v>13819</v>
      </c>
      <c r="H5495" s="57" t="s">
        <v>1352</v>
      </c>
    </row>
    <row r="5496" spans="2:8" ht="13.5" customHeight="1">
      <c r="B5496" t="s">
        <v>9858</v>
      </c>
      <c r="D5496" t="s">
        <v>9885</v>
      </c>
      <c r="F5496" s="76">
        <v>43</v>
      </c>
      <c r="G5496" s="57" t="s">
        <v>13819</v>
      </c>
      <c r="H5496" s="57" t="s">
        <v>1352</v>
      </c>
    </row>
    <row r="5497" spans="2:8" ht="13.5" customHeight="1">
      <c r="B5497" t="s">
        <v>395</v>
      </c>
      <c r="D5497" t="s">
        <v>9886</v>
      </c>
      <c r="F5497" s="76">
        <v>46</v>
      </c>
      <c r="G5497" s="57" t="s">
        <v>13819</v>
      </c>
      <c r="H5497" s="57" t="s">
        <v>1352</v>
      </c>
    </row>
    <row r="5498" spans="2:8" ht="13.5" customHeight="1">
      <c r="B5498" t="s">
        <v>9859</v>
      </c>
      <c r="D5498" t="s">
        <v>9887</v>
      </c>
      <c r="F5498" s="76">
        <v>47</v>
      </c>
      <c r="G5498" s="57" t="s">
        <v>13819</v>
      </c>
      <c r="H5498" s="57" t="s">
        <v>1352</v>
      </c>
    </row>
    <row r="5499" spans="2:8" ht="13.5" customHeight="1">
      <c r="B5499" t="s">
        <v>9860</v>
      </c>
      <c r="D5499" t="s">
        <v>9888</v>
      </c>
      <c r="F5499" s="76">
        <v>50</v>
      </c>
      <c r="G5499" s="57" t="s">
        <v>13819</v>
      </c>
      <c r="H5499" s="57" t="s">
        <v>1352</v>
      </c>
    </row>
    <row r="5500" spans="2:8" ht="13.5" customHeight="1">
      <c r="B5500" t="s">
        <v>9861</v>
      </c>
      <c r="D5500" t="s">
        <v>9889</v>
      </c>
      <c r="F5500" s="76">
        <v>50</v>
      </c>
      <c r="G5500" s="57" t="s">
        <v>13819</v>
      </c>
      <c r="H5500" s="57" t="s">
        <v>1352</v>
      </c>
    </row>
    <row r="5501" spans="2:8" ht="13.5" customHeight="1">
      <c r="B5501" t="s">
        <v>9862</v>
      </c>
      <c r="D5501" t="s">
        <v>9890</v>
      </c>
      <c r="F5501" s="76">
        <v>50</v>
      </c>
      <c r="G5501" s="57" t="s">
        <v>13819</v>
      </c>
      <c r="H5501" s="57" t="s">
        <v>1352</v>
      </c>
    </row>
    <row r="5502" spans="2:8" ht="13.5" customHeight="1">
      <c r="B5502" t="s">
        <v>9863</v>
      </c>
      <c r="D5502" t="s">
        <v>9891</v>
      </c>
      <c r="F5502" s="76">
        <v>50</v>
      </c>
      <c r="G5502" s="57" t="s">
        <v>13819</v>
      </c>
      <c r="H5502" s="57" t="s">
        <v>1352</v>
      </c>
    </row>
    <row r="5503" spans="2:8" ht="13.5" customHeight="1">
      <c r="B5503" t="s">
        <v>4420</v>
      </c>
      <c r="D5503" t="s">
        <v>928</v>
      </c>
      <c r="F5503" s="76">
        <v>88</v>
      </c>
      <c r="G5503" s="57" t="s">
        <v>13819</v>
      </c>
      <c r="H5503" s="57" t="s">
        <v>1352</v>
      </c>
    </row>
    <row r="5504" spans="2:8" ht="13.5" customHeight="1">
      <c r="B5504" t="s">
        <v>9864</v>
      </c>
      <c r="D5504" t="s">
        <v>9892</v>
      </c>
      <c r="F5504" s="76">
        <v>90</v>
      </c>
      <c r="G5504" s="57" t="s">
        <v>13819</v>
      </c>
      <c r="H5504" s="57" t="s">
        <v>1352</v>
      </c>
    </row>
    <row r="5505" spans="2:8" ht="13.5" customHeight="1">
      <c r="B5505" t="s">
        <v>9865</v>
      </c>
      <c r="D5505" t="s">
        <v>9893</v>
      </c>
      <c r="F5505" s="76">
        <v>98</v>
      </c>
      <c r="G5505" s="57" t="s">
        <v>13819</v>
      </c>
      <c r="H5505" s="57" t="s">
        <v>1352</v>
      </c>
    </row>
    <row r="5506" spans="2:8" ht="13.5" customHeight="1">
      <c r="B5506" t="s">
        <v>9894</v>
      </c>
      <c r="D5506" t="s">
        <v>9921</v>
      </c>
      <c r="F5506" s="76">
        <v>2</v>
      </c>
      <c r="G5506" s="57" t="s">
        <v>13819</v>
      </c>
      <c r="H5506" s="57" t="s">
        <v>344</v>
      </c>
    </row>
    <row r="5507" spans="2:8" ht="13.5" customHeight="1">
      <c r="B5507" t="s">
        <v>811</v>
      </c>
      <c r="D5507" t="s">
        <v>9922</v>
      </c>
      <c r="F5507" s="76">
        <v>4</v>
      </c>
      <c r="G5507" s="57" t="s">
        <v>13819</v>
      </c>
      <c r="H5507" s="57" t="s">
        <v>344</v>
      </c>
    </row>
    <row r="5508" spans="2:8" ht="13.5" customHeight="1">
      <c r="B5508" t="s">
        <v>6419</v>
      </c>
      <c r="D5508" t="s">
        <v>5511</v>
      </c>
      <c r="F5508" s="76">
        <v>5</v>
      </c>
      <c r="G5508" s="57" t="s">
        <v>13819</v>
      </c>
      <c r="H5508" s="57" t="s">
        <v>344</v>
      </c>
    </row>
    <row r="5509" spans="2:8" ht="13.5" customHeight="1">
      <c r="B5509" t="s">
        <v>9895</v>
      </c>
      <c r="D5509" t="s">
        <v>9923</v>
      </c>
      <c r="F5509" s="76">
        <v>8</v>
      </c>
      <c r="G5509" s="57" t="s">
        <v>13819</v>
      </c>
      <c r="H5509" s="57" t="s">
        <v>344</v>
      </c>
    </row>
    <row r="5510" spans="2:8" ht="13.5" customHeight="1">
      <c r="B5510" t="s">
        <v>9896</v>
      </c>
      <c r="D5510" t="s">
        <v>9924</v>
      </c>
      <c r="F5510" s="76">
        <v>10</v>
      </c>
      <c r="G5510" s="57" t="s">
        <v>13819</v>
      </c>
      <c r="H5510" s="57" t="s">
        <v>344</v>
      </c>
    </row>
    <row r="5511" spans="2:8" ht="13.5" customHeight="1">
      <c r="B5511" t="s">
        <v>9897</v>
      </c>
      <c r="D5511" t="s">
        <v>9925</v>
      </c>
      <c r="F5511" s="76">
        <v>10</v>
      </c>
      <c r="G5511" s="57" t="s">
        <v>13819</v>
      </c>
      <c r="H5511" s="57" t="s">
        <v>344</v>
      </c>
    </row>
    <row r="5512" spans="2:8" ht="13.5" customHeight="1">
      <c r="B5512" t="s">
        <v>9898</v>
      </c>
      <c r="D5512" t="s">
        <v>9926</v>
      </c>
      <c r="F5512" s="76">
        <v>11</v>
      </c>
      <c r="G5512" s="57" t="s">
        <v>13819</v>
      </c>
      <c r="H5512" s="57" t="s">
        <v>344</v>
      </c>
    </row>
    <row r="5513" spans="2:8" ht="13.5" customHeight="1">
      <c r="B5513" t="s">
        <v>9899</v>
      </c>
      <c r="D5513" t="s">
        <v>9927</v>
      </c>
      <c r="F5513" s="76">
        <v>12</v>
      </c>
      <c r="G5513" s="57" t="s">
        <v>13819</v>
      </c>
      <c r="H5513" s="57" t="s">
        <v>344</v>
      </c>
    </row>
    <row r="5514" spans="2:8" ht="13.5" customHeight="1">
      <c r="B5514" t="s">
        <v>9900</v>
      </c>
      <c r="D5514" t="s">
        <v>9928</v>
      </c>
      <c r="F5514" s="76">
        <v>14</v>
      </c>
      <c r="G5514" s="57" t="s">
        <v>13819</v>
      </c>
      <c r="H5514" s="57" t="s">
        <v>344</v>
      </c>
    </row>
    <row r="5515" spans="2:8" ht="13.5" customHeight="1">
      <c r="B5515" t="s">
        <v>9901</v>
      </c>
      <c r="D5515" t="s">
        <v>9929</v>
      </c>
      <c r="F5515" s="76">
        <v>16</v>
      </c>
      <c r="G5515" s="57" t="s">
        <v>13819</v>
      </c>
      <c r="H5515" s="57" t="s">
        <v>344</v>
      </c>
    </row>
    <row r="5516" spans="2:8" ht="13.5" customHeight="1">
      <c r="B5516" t="s">
        <v>9902</v>
      </c>
      <c r="D5516" t="s">
        <v>9930</v>
      </c>
      <c r="F5516" s="76">
        <v>22</v>
      </c>
      <c r="G5516" s="57" t="s">
        <v>13819</v>
      </c>
      <c r="H5516" s="57" t="s">
        <v>344</v>
      </c>
    </row>
    <row r="5517" spans="2:8" ht="13.5" customHeight="1">
      <c r="B5517" t="s">
        <v>9903</v>
      </c>
      <c r="D5517" t="s">
        <v>9931</v>
      </c>
      <c r="F5517" s="76">
        <v>25</v>
      </c>
      <c r="G5517" s="57" t="s">
        <v>13819</v>
      </c>
      <c r="H5517" s="57" t="s">
        <v>344</v>
      </c>
    </row>
    <row r="5518" spans="2:8" ht="13.5" customHeight="1">
      <c r="B5518" t="s">
        <v>9904</v>
      </c>
      <c r="D5518" t="s">
        <v>9932</v>
      </c>
      <c r="F5518" s="76">
        <v>34</v>
      </c>
      <c r="G5518" s="57" t="s">
        <v>13819</v>
      </c>
      <c r="H5518" s="57" t="s">
        <v>344</v>
      </c>
    </row>
    <row r="5519" spans="2:8" ht="13.5" customHeight="1">
      <c r="B5519" t="s">
        <v>9905</v>
      </c>
      <c r="D5519" t="s">
        <v>9933</v>
      </c>
      <c r="F5519" s="76">
        <v>36</v>
      </c>
      <c r="G5519" s="57" t="s">
        <v>13819</v>
      </c>
      <c r="H5519" s="57" t="s">
        <v>344</v>
      </c>
    </row>
    <row r="5520" spans="2:8" ht="13.5" customHeight="1">
      <c r="B5520" t="s">
        <v>9906</v>
      </c>
      <c r="D5520" t="s">
        <v>4954</v>
      </c>
      <c r="F5520" s="76">
        <v>38</v>
      </c>
      <c r="G5520" s="57" t="s">
        <v>13819</v>
      </c>
      <c r="H5520" s="57" t="s">
        <v>344</v>
      </c>
    </row>
    <row r="5521" spans="2:8" ht="13.5" customHeight="1">
      <c r="B5521" t="s">
        <v>9907</v>
      </c>
      <c r="D5521" t="s">
        <v>9934</v>
      </c>
      <c r="F5521" s="76">
        <v>38</v>
      </c>
      <c r="G5521" s="57" t="s">
        <v>13819</v>
      </c>
      <c r="H5521" s="57" t="s">
        <v>344</v>
      </c>
    </row>
    <row r="5522" spans="2:8" ht="13.5" customHeight="1">
      <c r="B5522" t="s">
        <v>9908</v>
      </c>
      <c r="D5522" t="s">
        <v>7786</v>
      </c>
      <c r="F5522" s="76">
        <v>44</v>
      </c>
      <c r="G5522" s="57" t="s">
        <v>13819</v>
      </c>
      <c r="H5522" s="57" t="s">
        <v>344</v>
      </c>
    </row>
    <row r="5523" spans="2:8" ht="13.5" customHeight="1">
      <c r="B5523" t="s">
        <v>9909</v>
      </c>
      <c r="D5523" t="s">
        <v>9935</v>
      </c>
      <c r="F5523" s="76">
        <v>45</v>
      </c>
      <c r="G5523" s="57" t="s">
        <v>13819</v>
      </c>
      <c r="H5523" s="57" t="s">
        <v>344</v>
      </c>
    </row>
    <row r="5524" spans="2:8" ht="13.5" customHeight="1">
      <c r="B5524" t="s">
        <v>9910</v>
      </c>
      <c r="D5524" t="s">
        <v>9936</v>
      </c>
      <c r="F5524" s="76">
        <v>47</v>
      </c>
      <c r="G5524" s="57" t="s">
        <v>13819</v>
      </c>
      <c r="H5524" s="57" t="s">
        <v>344</v>
      </c>
    </row>
    <row r="5525" spans="2:8" ht="13.5" customHeight="1">
      <c r="B5525" t="s">
        <v>9911</v>
      </c>
      <c r="D5525" t="s">
        <v>9937</v>
      </c>
      <c r="F5525" s="76">
        <v>54</v>
      </c>
      <c r="G5525" s="57" t="s">
        <v>13819</v>
      </c>
      <c r="H5525" s="57" t="s">
        <v>344</v>
      </c>
    </row>
    <row r="5526" spans="2:8" ht="13.5" customHeight="1">
      <c r="B5526" t="s">
        <v>9912</v>
      </c>
      <c r="D5526" t="s">
        <v>9938</v>
      </c>
      <c r="F5526" s="76">
        <v>96</v>
      </c>
      <c r="G5526" s="57" t="s">
        <v>13819</v>
      </c>
      <c r="H5526" s="57" t="s">
        <v>344</v>
      </c>
    </row>
    <row r="5527" spans="2:8" ht="13.5" customHeight="1">
      <c r="B5527" t="s">
        <v>9913</v>
      </c>
      <c r="D5527" t="s">
        <v>9939</v>
      </c>
      <c r="F5527" s="76">
        <v>113</v>
      </c>
      <c r="G5527" s="57" t="s">
        <v>13819</v>
      </c>
      <c r="H5527" s="57" t="s">
        <v>344</v>
      </c>
    </row>
    <row r="5528" spans="2:8" ht="13.5" customHeight="1">
      <c r="B5528" t="s">
        <v>9914</v>
      </c>
      <c r="D5528" t="s">
        <v>9940</v>
      </c>
      <c r="F5528" s="76">
        <v>140</v>
      </c>
      <c r="G5528" s="57" t="s">
        <v>13819</v>
      </c>
      <c r="H5528" s="57" t="s">
        <v>344</v>
      </c>
    </row>
    <row r="5529" spans="2:8" ht="13.5" customHeight="1">
      <c r="B5529" t="s">
        <v>5014</v>
      </c>
      <c r="D5529" t="s">
        <v>5015</v>
      </c>
      <c r="F5529" s="76">
        <v>220</v>
      </c>
      <c r="G5529" s="57" t="s">
        <v>13819</v>
      </c>
      <c r="H5529" s="57" t="s">
        <v>344</v>
      </c>
    </row>
    <row r="5530" spans="2:8" ht="13.5" customHeight="1">
      <c r="B5530" t="s">
        <v>9915</v>
      </c>
      <c r="D5530" t="s">
        <v>72</v>
      </c>
      <c r="F5530" s="76">
        <v>259</v>
      </c>
      <c r="G5530" s="57" t="s">
        <v>13819</v>
      </c>
      <c r="H5530" s="57" t="s">
        <v>344</v>
      </c>
    </row>
    <row r="5531" spans="2:8" ht="13.5" customHeight="1">
      <c r="B5531" t="s">
        <v>9916</v>
      </c>
      <c r="D5531" t="s">
        <v>1699</v>
      </c>
      <c r="F5531" s="76">
        <v>400</v>
      </c>
      <c r="G5531" s="57" t="s">
        <v>13819</v>
      </c>
      <c r="H5531" s="57" t="s">
        <v>344</v>
      </c>
    </row>
    <row r="5532" spans="2:8" ht="13.5" customHeight="1">
      <c r="B5532" t="s">
        <v>9917</v>
      </c>
      <c r="D5532" t="s">
        <v>9941</v>
      </c>
      <c r="F5532" s="76">
        <v>408</v>
      </c>
      <c r="G5532" s="57" t="s">
        <v>13819</v>
      </c>
      <c r="H5532" s="57" t="s">
        <v>344</v>
      </c>
    </row>
    <row r="5533" spans="2:8" ht="13.5" customHeight="1">
      <c r="B5533" t="s">
        <v>9918</v>
      </c>
      <c r="D5533" t="s">
        <v>9942</v>
      </c>
      <c r="F5533" s="76">
        <v>450</v>
      </c>
      <c r="G5533" s="57" t="s">
        <v>13819</v>
      </c>
      <c r="H5533" s="57" t="s">
        <v>344</v>
      </c>
    </row>
    <row r="5534" spans="2:8" ht="13.5" customHeight="1">
      <c r="B5534" t="s">
        <v>9919</v>
      </c>
      <c r="D5534" t="s">
        <v>9943</v>
      </c>
      <c r="F5534" s="76">
        <v>456</v>
      </c>
      <c r="G5534" s="57" t="s">
        <v>13819</v>
      </c>
      <c r="H5534" s="57" t="s">
        <v>344</v>
      </c>
    </row>
    <row r="5535" spans="2:8" ht="13.5" customHeight="1">
      <c r="B5535" t="s">
        <v>9920</v>
      </c>
      <c r="D5535" t="s">
        <v>1711</v>
      </c>
      <c r="F5535" s="76">
        <v>688</v>
      </c>
      <c r="G5535" s="57" t="s">
        <v>13819</v>
      </c>
      <c r="H5535" s="57" t="s">
        <v>344</v>
      </c>
    </row>
    <row r="5536" spans="2:8" ht="13.5" customHeight="1">
      <c r="B5536" t="s">
        <v>9944</v>
      </c>
      <c r="D5536" t="s">
        <v>9981</v>
      </c>
      <c r="F5536" s="76">
        <v>1</v>
      </c>
      <c r="G5536" s="57" t="s">
        <v>13819</v>
      </c>
      <c r="H5536" s="57" t="s">
        <v>345</v>
      </c>
    </row>
    <row r="5537" spans="2:8" ht="13.5" customHeight="1">
      <c r="B5537" t="s">
        <v>9945</v>
      </c>
      <c r="D5537" t="s">
        <v>9982</v>
      </c>
      <c r="F5537" s="76">
        <v>1</v>
      </c>
      <c r="G5537" s="57" t="s">
        <v>13819</v>
      </c>
      <c r="H5537" s="57" t="s">
        <v>345</v>
      </c>
    </row>
    <row r="5538" spans="2:8" ht="13.5" customHeight="1">
      <c r="B5538" t="s">
        <v>9946</v>
      </c>
      <c r="D5538" t="s">
        <v>9983</v>
      </c>
      <c r="F5538" s="76">
        <v>2</v>
      </c>
      <c r="G5538" s="57" t="s">
        <v>13819</v>
      </c>
      <c r="H5538" s="57" t="s">
        <v>345</v>
      </c>
    </row>
    <row r="5539" spans="2:8" ht="13.5" customHeight="1">
      <c r="B5539" t="s">
        <v>9947</v>
      </c>
      <c r="D5539" t="s">
        <v>9984</v>
      </c>
      <c r="F5539" s="76">
        <v>3</v>
      </c>
      <c r="G5539" s="57" t="s">
        <v>13819</v>
      </c>
      <c r="H5539" s="57" t="s">
        <v>345</v>
      </c>
    </row>
    <row r="5540" spans="2:8" ht="13.5" customHeight="1">
      <c r="B5540" t="s">
        <v>366</v>
      </c>
      <c r="D5540" t="s">
        <v>9985</v>
      </c>
      <c r="F5540" s="76">
        <v>3</v>
      </c>
      <c r="G5540" s="57" t="s">
        <v>13819</v>
      </c>
      <c r="H5540" s="57" t="s">
        <v>345</v>
      </c>
    </row>
    <row r="5541" spans="2:8" ht="13.5" customHeight="1">
      <c r="B5541" t="s">
        <v>9948</v>
      </c>
      <c r="D5541" t="s">
        <v>9986</v>
      </c>
      <c r="F5541" s="76">
        <v>4</v>
      </c>
      <c r="G5541" s="57" t="s">
        <v>13819</v>
      </c>
      <c r="H5541" s="57" t="s">
        <v>345</v>
      </c>
    </row>
    <row r="5542" spans="2:8" ht="13.5" customHeight="1">
      <c r="B5542" t="s">
        <v>9949</v>
      </c>
      <c r="D5542" t="s">
        <v>9987</v>
      </c>
      <c r="F5542" s="76">
        <v>4</v>
      </c>
      <c r="G5542" s="57" t="s">
        <v>13819</v>
      </c>
      <c r="H5542" s="57" t="s">
        <v>345</v>
      </c>
    </row>
    <row r="5543" spans="2:8" ht="13.5" customHeight="1">
      <c r="B5543" t="s">
        <v>9950</v>
      </c>
      <c r="D5543" t="s">
        <v>9988</v>
      </c>
      <c r="F5543" s="76">
        <v>5</v>
      </c>
      <c r="G5543" s="57" t="s">
        <v>13819</v>
      </c>
      <c r="H5543" s="57" t="s">
        <v>345</v>
      </c>
    </row>
    <row r="5544" spans="2:8" ht="13.5" customHeight="1">
      <c r="B5544" t="s">
        <v>5571</v>
      </c>
      <c r="D5544" t="s">
        <v>5572</v>
      </c>
      <c r="F5544" s="76">
        <v>6</v>
      </c>
      <c r="G5544" s="57" t="s">
        <v>13819</v>
      </c>
      <c r="H5544" s="57" t="s">
        <v>345</v>
      </c>
    </row>
    <row r="5545" spans="2:8" ht="13.5" customHeight="1">
      <c r="B5545" t="s">
        <v>9951</v>
      </c>
      <c r="D5545" t="s">
        <v>814</v>
      </c>
      <c r="F5545" s="76">
        <v>7</v>
      </c>
      <c r="G5545" s="57" t="s">
        <v>13819</v>
      </c>
      <c r="H5545" s="57" t="s">
        <v>345</v>
      </c>
    </row>
    <row r="5546" spans="2:8" ht="13.5" customHeight="1">
      <c r="B5546" t="s">
        <v>9952</v>
      </c>
      <c r="D5546" t="s">
        <v>9989</v>
      </c>
      <c r="F5546" s="76">
        <v>8</v>
      </c>
      <c r="G5546" s="57" t="s">
        <v>13819</v>
      </c>
      <c r="H5546" s="57" t="s">
        <v>345</v>
      </c>
    </row>
    <row r="5547" spans="2:8" ht="13.5" customHeight="1">
      <c r="B5547" t="s">
        <v>9953</v>
      </c>
      <c r="D5547" t="s">
        <v>9990</v>
      </c>
      <c r="F5547" s="76">
        <v>8</v>
      </c>
      <c r="G5547" s="57" t="s">
        <v>13819</v>
      </c>
      <c r="H5547" s="57" t="s">
        <v>345</v>
      </c>
    </row>
    <row r="5548" spans="2:8" ht="13.5" customHeight="1">
      <c r="B5548" t="s">
        <v>9954</v>
      </c>
      <c r="D5548" t="s">
        <v>9991</v>
      </c>
      <c r="F5548" s="76">
        <v>8</v>
      </c>
      <c r="G5548" s="57" t="s">
        <v>13819</v>
      </c>
      <c r="H5548" s="57" t="s">
        <v>345</v>
      </c>
    </row>
    <row r="5549" spans="2:8" ht="13.5" customHeight="1">
      <c r="B5549" t="s">
        <v>9955</v>
      </c>
      <c r="D5549" t="s">
        <v>9992</v>
      </c>
      <c r="F5549" s="76">
        <v>8</v>
      </c>
      <c r="G5549" s="57" t="s">
        <v>13819</v>
      </c>
      <c r="H5549" s="57" t="s">
        <v>345</v>
      </c>
    </row>
    <row r="5550" spans="2:8" ht="13.5" customHeight="1">
      <c r="B5550" t="s">
        <v>9956</v>
      </c>
      <c r="D5550" t="s">
        <v>9993</v>
      </c>
      <c r="F5550" s="76">
        <v>8</v>
      </c>
      <c r="G5550" s="57" t="s">
        <v>13819</v>
      </c>
      <c r="H5550" s="57" t="s">
        <v>345</v>
      </c>
    </row>
    <row r="5551" spans="2:8" ht="13.5" customHeight="1">
      <c r="B5551" t="s">
        <v>9957</v>
      </c>
      <c r="D5551" t="s">
        <v>9994</v>
      </c>
      <c r="F5551" s="76">
        <v>11</v>
      </c>
      <c r="G5551" s="57" t="s">
        <v>13819</v>
      </c>
      <c r="H5551" s="57" t="s">
        <v>345</v>
      </c>
    </row>
    <row r="5552" spans="2:8" ht="13.5" customHeight="1">
      <c r="B5552" t="s">
        <v>9958</v>
      </c>
      <c r="D5552" t="s">
        <v>9995</v>
      </c>
      <c r="F5552" s="76">
        <v>11</v>
      </c>
      <c r="G5552" s="57" t="s">
        <v>13819</v>
      </c>
      <c r="H5552" s="57" t="s">
        <v>345</v>
      </c>
    </row>
    <row r="5553" spans="2:8" ht="13.5" customHeight="1">
      <c r="B5553" t="s">
        <v>9959</v>
      </c>
      <c r="D5553">
        <v>475900001</v>
      </c>
      <c r="F5553" s="76">
        <v>12</v>
      </c>
      <c r="G5553" s="57" t="s">
        <v>13819</v>
      </c>
      <c r="H5553" s="57" t="s">
        <v>345</v>
      </c>
    </row>
    <row r="5554" spans="2:8" ht="13.5" customHeight="1">
      <c r="B5554" t="s">
        <v>9960</v>
      </c>
      <c r="D5554" t="s">
        <v>9996</v>
      </c>
      <c r="F5554" s="76">
        <v>12</v>
      </c>
      <c r="G5554" s="57" t="s">
        <v>13819</v>
      </c>
      <c r="H5554" s="57" t="s">
        <v>345</v>
      </c>
    </row>
    <row r="5555" spans="2:8" ht="13.5" customHeight="1">
      <c r="B5555" t="s">
        <v>9961</v>
      </c>
      <c r="D5555" t="s">
        <v>9997</v>
      </c>
      <c r="F5555" s="76">
        <v>14</v>
      </c>
      <c r="G5555" s="57" t="s">
        <v>13819</v>
      </c>
      <c r="H5555" s="57" t="s">
        <v>345</v>
      </c>
    </row>
    <row r="5556" spans="2:8" ht="13.5" customHeight="1">
      <c r="B5556" t="s">
        <v>6094</v>
      </c>
      <c r="D5556" t="s">
        <v>6095</v>
      </c>
      <c r="F5556" s="76">
        <v>16</v>
      </c>
      <c r="G5556" s="57" t="s">
        <v>13819</v>
      </c>
      <c r="H5556" s="57" t="s">
        <v>345</v>
      </c>
    </row>
    <row r="5557" spans="2:8" ht="13.5" customHeight="1">
      <c r="B5557" t="s">
        <v>9962</v>
      </c>
      <c r="D5557" t="s">
        <v>9998</v>
      </c>
      <c r="F5557" s="76">
        <v>17</v>
      </c>
      <c r="G5557" s="57" t="s">
        <v>13819</v>
      </c>
      <c r="H5557" s="57" t="s">
        <v>345</v>
      </c>
    </row>
    <row r="5558" spans="2:8" ht="13.5" customHeight="1">
      <c r="B5558" t="s">
        <v>3884</v>
      </c>
      <c r="D5558" t="s">
        <v>9999</v>
      </c>
      <c r="F5558" s="76">
        <v>19</v>
      </c>
      <c r="G5558" s="57" t="s">
        <v>13819</v>
      </c>
      <c r="H5558" s="57" t="s">
        <v>345</v>
      </c>
    </row>
    <row r="5559" spans="2:8" ht="13.5" customHeight="1">
      <c r="B5559" t="s">
        <v>9963</v>
      </c>
      <c r="D5559">
        <v>74404032033</v>
      </c>
      <c r="F5559" s="76">
        <v>20</v>
      </c>
      <c r="G5559" s="57" t="s">
        <v>13819</v>
      </c>
      <c r="H5559" s="57" t="s">
        <v>345</v>
      </c>
    </row>
    <row r="5560" spans="2:8" ht="13.5" customHeight="1">
      <c r="B5560" t="s">
        <v>9964</v>
      </c>
      <c r="D5560" t="s">
        <v>10000</v>
      </c>
      <c r="F5560" s="76">
        <v>22</v>
      </c>
      <c r="G5560" s="57" t="s">
        <v>13819</v>
      </c>
      <c r="H5560" s="57" t="s">
        <v>345</v>
      </c>
    </row>
    <row r="5561" spans="2:8" ht="13.5" customHeight="1">
      <c r="B5561" t="s">
        <v>9965</v>
      </c>
      <c r="D5561">
        <v>742792040</v>
      </c>
      <c r="F5561" s="76">
        <v>25</v>
      </c>
      <c r="G5561" s="57" t="s">
        <v>13819</v>
      </c>
      <c r="H5561" s="57" t="s">
        <v>345</v>
      </c>
    </row>
    <row r="5562" spans="2:8" ht="13.5" customHeight="1">
      <c r="B5562" t="s">
        <v>9966</v>
      </c>
      <c r="D5562" t="s">
        <v>10001</v>
      </c>
      <c r="F5562" s="76">
        <v>29</v>
      </c>
      <c r="G5562" s="57" t="s">
        <v>13819</v>
      </c>
      <c r="H5562" s="57" t="s">
        <v>345</v>
      </c>
    </row>
    <row r="5563" spans="2:8" ht="13.5" customHeight="1">
      <c r="B5563" t="s">
        <v>9967</v>
      </c>
      <c r="D5563" t="s">
        <v>10002</v>
      </c>
      <c r="F5563" s="76">
        <v>43</v>
      </c>
      <c r="G5563" s="57" t="s">
        <v>13819</v>
      </c>
      <c r="H5563" s="57" t="s">
        <v>345</v>
      </c>
    </row>
    <row r="5564" spans="2:8" ht="13.5" customHeight="1">
      <c r="B5564" t="s">
        <v>9968</v>
      </c>
      <c r="D5564" t="s">
        <v>10003</v>
      </c>
      <c r="F5564" s="76">
        <v>43</v>
      </c>
      <c r="G5564" s="57" t="s">
        <v>13819</v>
      </c>
      <c r="H5564" s="57" t="s">
        <v>345</v>
      </c>
    </row>
    <row r="5565" spans="2:8" ht="13.5" customHeight="1">
      <c r="B5565" t="s">
        <v>9969</v>
      </c>
      <c r="D5565" t="s">
        <v>10004</v>
      </c>
      <c r="F5565" s="76">
        <v>45</v>
      </c>
      <c r="G5565" s="57" t="s">
        <v>13819</v>
      </c>
      <c r="H5565" s="57" t="s">
        <v>345</v>
      </c>
    </row>
    <row r="5566" spans="2:8" ht="13.5" customHeight="1">
      <c r="B5566" t="s">
        <v>9970</v>
      </c>
      <c r="D5566" t="s">
        <v>10005</v>
      </c>
      <c r="F5566" s="76">
        <v>48</v>
      </c>
      <c r="G5566" s="57" t="s">
        <v>13819</v>
      </c>
      <c r="H5566" s="57" t="s">
        <v>345</v>
      </c>
    </row>
    <row r="5567" spans="2:8" ht="13.5" customHeight="1">
      <c r="B5567" t="s">
        <v>9971</v>
      </c>
      <c r="D5567" t="s">
        <v>10006</v>
      </c>
      <c r="F5567" s="76">
        <v>49</v>
      </c>
      <c r="G5567" s="57" t="s">
        <v>13819</v>
      </c>
      <c r="H5567" s="57" t="s">
        <v>345</v>
      </c>
    </row>
    <row r="5568" spans="2:8" ht="13.5" customHeight="1">
      <c r="B5568" t="s">
        <v>9972</v>
      </c>
      <c r="D5568" t="s">
        <v>10007</v>
      </c>
      <c r="F5568" s="76">
        <v>50</v>
      </c>
      <c r="G5568" s="57" t="s">
        <v>13819</v>
      </c>
      <c r="H5568" s="57" t="s">
        <v>345</v>
      </c>
    </row>
    <row r="5569" spans="2:8" ht="13.5" customHeight="1">
      <c r="B5569" t="s">
        <v>9973</v>
      </c>
      <c r="D5569" t="s">
        <v>8660</v>
      </c>
      <c r="F5569" s="76">
        <v>50</v>
      </c>
      <c r="G5569" s="57" t="s">
        <v>13819</v>
      </c>
      <c r="H5569" s="57" t="s">
        <v>345</v>
      </c>
    </row>
    <row r="5570" spans="2:8" ht="13.5" customHeight="1">
      <c r="B5570" t="s">
        <v>9974</v>
      </c>
      <c r="D5570" t="s">
        <v>10008</v>
      </c>
      <c r="F5570" s="76">
        <v>55</v>
      </c>
      <c r="G5570" s="57" t="s">
        <v>13819</v>
      </c>
      <c r="H5570" s="57" t="s">
        <v>345</v>
      </c>
    </row>
    <row r="5571" spans="2:8" ht="13.5" customHeight="1">
      <c r="B5571" t="s">
        <v>9975</v>
      </c>
      <c r="D5571" t="s">
        <v>10009</v>
      </c>
      <c r="F5571" s="76">
        <v>62</v>
      </c>
      <c r="G5571" s="57" t="s">
        <v>13819</v>
      </c>
      <c r="H5571" s="57" t="s">
        <v>345</v>
      </c>
    </row>
    <row r="5572" spans="2:8" ht="13.5" customHeight="1">
      <c r="B5572" t="s">
        <v>9976</v>
      </c>
      <c r="D5572" t="s">
        <v>10010</v>
      </c>
      <c r="F5572" s="76">
        <v>65</v>
      </c>
      <c r="G5572" s="57" t="s">
        <v>13819</v>
      </c>
      <c r="H5572" s="57" t="s">
        <v>345</v>
      </c>
    </row>
    <row r="5573" spans="2:8" ht="13.5" customHeight="1">
      <c r="B5573" t="s">
        <v>9977</v>
      </c>
      <c r="D5573" t="s">
        <v>10011</v>
      </c>
      <c r="F5573" s="76">
        <v>78</v>
      </c>
      <c r="G5573" s="57" t="s">
        <v>13819</v>
      </c>
      <c r="H5573" s="57" t="s">
        <v>345</v>
      </c>
    </row>
    <row r="5574" spans="2:8" ht="13.5" customHeight="1">
      <c r="B5574" t="s">
        <v>9978</v>
      </c>
      <c r="D5574" t="s">
        <v>10012</v>
      </c>
      <c r="F5574" s="76">
        <v>83</v>
      </c>
      <c r="G5574" s="57" t="s">
        <v>13819</v>
      </c>
      <c r="H5574" s="57" t="s">
        <v>345</v>
      </c>
    </row>
    <row r="5575" spans="2:8" ht="13.5" customHeight="1">
      <c r="B5575" t="s">
        <v>9979</v>
      </c>
      <c r="D5575" t="s">
        <v>10013</v>
      </c>
      <c r="F5575" s="76">
        <v>86</v>
      </c>
      <c r="G5575" s="57" t="s">
        <v>13819</v>
      </c>
      <c r="H5575" s="57" t="s">
        <v>345</v>
      </c>
    </row>
    <row r="5576" spans="2:8" ht="13.5" customHeight="1">
      <c r="B5576" t="s">
        <v>9980</v>
      </c>
      <c r="D5576" t="s">
        <v>10014</v>
      </c>
      <c r="F5576" s="76">
        <v>172</v>
      </c>
      <c r="G5576" s="57" t="s">
        <v>13819</v>
      </c>
      <c r="H5576" s="57" t="s">
        <v>345</v>
      </c>
    </row>
    <row r="5577" spans="2:8" ht="13.5" customHeight="1">
      <c r="B5577" t="s">
        <v>10015</v>
      </c>
      <c r="D5577" t="s">
        <v>10031</v>
      </c>
      <c r="F5577" s="76">
        <v>1</v>
      </c>
      <c r="G5577" s="57" t="s">
        <v>13819</v>
      </c>
      <c r="H5577" s="57" t="s">
        <v>919</v>
      </c>
    </row>
    <row r="5578" spans="2:8" ht="13.5" customHeight="1">
      <c r="B5578" t="s">
        <v>10016</v>
      </c>
      <c r="D5578" t="s">
        <v>10032</v>
      </c>
      <c r="F5578" s="76">
        <v>2</v>
      </c>
      <c r="G5578" s="57" t="s">
        <v>13819</v>
      </c>
      <c r="H5578" s="57" t="s">
        <v>919</v>
      </c>
    </row>
    <row r="5579" spans="2:8" ht="13.5" customHeight="1">
      <c r="B5579" t="s">
        <v>10017</v>
      </c>
      <c r="D5579" t="s">
        <v>10033</v>
      </c>
      <c r="F5579" s="76">
        <v>3</v>
      </c>
      <c r="G5579" s="57" t="s">
        <v>13819</v>
      </c>
      <c r="H5579" s="57" t="s">
        <v>919</v>
      </c>
    </row>
    <row r="5580" spans="2:8" ht="13.5" customHeight="1">
      <c r="B5580" t="s">
        <v>10018</v>
      </c>
      <c r="D5580" t="s">
        <v>10034</v>
      </c>
      <c r="F5580" s="76">
        <v>5</v>
      </c>
      <c r="G5580" s="57" t="s">
        <v>13819</v>
      </c>
      <c r="H5580" s="57" t="s">
        <v>919</v>
      </c>
    </row>
    <row r="5581" spans="2:8" ht="13.5" customHeight="1">
      <c r="B5581" t="s">
        <v>10019</v>
      </c>
      <c r="D5581" t="s">
        <v>10035</v>
      </c>
      <c r="F5581" s="76">
        <v>7</v>
      </c>
      <c r="G5581" s="57" t="s">
        <v>13819</v>
      </c>
      <c r="H5581" s="57" t="s">
        <v>919</v>
      </c>
    </row>
    <row r="5582" spans="2:8" ht="13.5" customHeight="1">
      <c r="B5582" t="s">
        <v>10020</v>
      </c>
      <c r="D5582" t="s">
        <v>10036</v>
      </c>
      <c r="F5582" s="76">
        <v>8</v>
      </c>
      <c r="G5582" s="57" t="s">
        <v>13819</v>
      </c>
      <c r="H5582" s="57" t="s">
        <v>919</v>
      </c>
    </row>
    <row r="5583" spans="2:8" ht="13.5" customHeight="1">
      <c r="B5583" t="s">
        <v>10021</v>
      </c>
      <c r="D5583" t="s">
        <v>10037</v>
      </c>
      <c r="F5583" s="76">
        <v>10</v>
      </c>
      <c r="G5583" s="57" t="s">
        <v>13819</v>
      </c>
      <c r="H5583" s="57" t="s">
        <v>919</v>
      </c>
    </row>
    <row r="5584" spans="2:8" ht="13.5" customHeight="1">
      <c r="B5584" t="s">
        <v>10022</v>
      </c>
      <c r="D5584" t="s">
        <v>10038</v>
      </c>
      <c r="F5584" s="76">
        <v>12</v>
      </c>
      <c r="G5584" s="57" t="s">
        <v>13819</v>
      </c>
      <c r="H5584" s="57" t="s">
        <v>919</v>
      </c>
    </row>
    <row r="5585" spans="2:8" ht="13.5" customHeight="1">
      <c r="B5585" t="s">
        <v>10023</v>
      </c>
      <c r="D5585" t="s">
        <v>10039</v>
      </c>
      <c r="F5585" s="76">
        <v>13</v>
      </c>
      <c r="G5585" s="57" t="s">
        <v>13819</v>
      </c>
      <c r="H5585" s="57" t="s">
        <v>919</v>
      </c>
    </row>
    <row r="5586" spans="2:8" ht="13.5" customHeight="1">
      <c r="B5586" t="s">
        <v>10024</v>
      </c>
      <c r="D5586" t="s">
        <v>10040</v>
      </c>
      <c r="F5586" s="76">
        <v>33</v>
      </c>
      <c r="G5586" s="57" t="s">
        <v>13819</v>
      </c>
      <c r="H5586" s="57" t="s">
        <v>919</v>
      </c>
    </row>
    <row r="5587" spans="2:8" ht="13.5" customHeight="1">
      <c r="B5587" t="s">
        <v>10025</v>
      </c>
      <c r="D5587" t="s">
        <v>10041</v>
      </c>
      <c r="F5587" s="76">
        <v>40</v>
      </c>
      <c r="G5587" s="57" t="s">
        <v>13819</v>
      </c>
      <c r="H5587" s="57" t="s">
        <v>919</v>
      </c>
    </row>
    <row r="5588" spans="2:8" ht="13.5" customHeight="1">
      <c r="B5588" t="s">
        <v>10026</v>
      </c>
      <c r="D5588" t="s">
        <v>10042</v>
      </c>
      <c r="F5588" s="76">
        <v>41</v>
      </c>
      <c r="G5588" s="57" t="s">
        <v>13819</v>
      </c>
      <c r="H5588" s="57" t="s">
        <v>919</v>
      </c>
    </row>
    <row r="5589" spans="2:8" ht="13.5" customHeight="1">
      <c r="B5589" t="s">
        <v>10027</v>
      </c>
      <c r="D5589" t="s">
        <v>10043</v>
      </c>
      <c r="F5589" s="76">
        <v>48</v>
      </c>
      <c r="G5589" s="57" t="s">
        <v>13819</v>
      </c>
      <c r="H5589" s="57" t="s">
        <v>919</v>
      </c>
    </row>
    <row r="5590" spans="2:8" ht="13.5" customHeight="1">
      <c r="B5590" t="s">
        <v>10028</v>
      </c>
      <c r="D5590" t="s">
        <v>10044</v>
      </c>
      <c r="F5590" s="76">
        <v>50</v>
      </c>
      <c r="G5590" s="57" t="s">
        <v>13819</v>
      </c>
      <c r="H5590" s="57" t="s">
        <v>919</v>
      </c>
    </row>
    <row r="5591" spans="2:8" ht="13.5" customHeight="1">
      <c r="B5591" t="s">
        <v>10029</v>
      </c>
      <c r="D5591" t="s">
        <v>10045</v>
      </c>
      <c r="F5591" s="76">
        <v>94</v>
      </c>
      <c r="G5591" s="57" t="s">
        <v>13819</v>
      </c>
      <c r="H5591" s="57" t="s">
        <v>919</v>
      </c>
    </row>
    <row r="5592" spans="2:8" ht="13.5" customHeight="1">
      <c r="B5592" t="s">
        <v>10030</v>
      </c>
      <c r="D5592" t="s">
        <v>10046</v>
      </c>
      <c r="F5592" s="76">
        <v>378</v>
      </c>
      <c r="G5592" s="57" t="s">
        <v>13819</v>
      </c>
      <c r="H5592" s="57" t="s">
        <v>919</v>
      </c>
    </row>
    <row r="5593" spans="2:8" ht="13.5" customHeight="1">
      <c r="B5593" t="s">
        <v>1079</v>
      </c>
      <c r="D5593" t="s">
        <v>270</v>
      </c>
      <c r="F5593" s="76">
        <v>1626</v>
      </c>
      <c r="G5593" s="57" t="s">
        <v>13819</v>
      </c>
      <c r="H5593" s="57" t="s">
        <v>919</v>
      </c>
    </row>
    <row r="5594" spans="2:8" ht="13.5" customHeight="1">
      <c r="B5594" t="s">
        <v>10047</v>
      </c>
      <c r="D5594" t="s">
        <v>10081</v>
      </c>
      <c r="F5594" s="76">
        <v>3</v>
      </c>
      <c r="G5594" s="57" t="s">
        <v>13819</v>
      </c>
      <c r="H5594" s="57" t="s">
        <v>918</v>
      </c>
    </row>
    <row r="5595" spans="2:8" ht="13.5" customHeight="1">
      <c r="B5595" t="s">
        <v>10048</v>
      </c>
      <c r="D5595" t="s">
        <v>10082</v>
      </c>
      <c r="F5595" s="76">
        <v>3</v>
      </c>
      <c r="G5595" s="57" t="s">
        <v>13819</v>
      </c>
      <c r="H5595" s="57" t="s">
        <v>918</v>
      </c>
    </row>
    <row r="5596" spans="2:8" ht="13.5" customHeight="1">
      <c r="B5596" t="s">
        <v>10049</v>
      </c>
      <c r="D5596" t="s">
        <v>10083</v>
      </c>
      <c r="F5596" s="76">
        <v>5</v>
      </c>
      <c r="G5596" s="57" t="s">
        <v>13819</v>
      </c>
      <c r="H5596" s="57" t="s">
        <v>918</v>
      </c>
    </row>
    <row r="5597" spans="2:8" ht="13.5" customHeight="1">
      <c r="B5597" t="s">
        <v>7402</v>
      </c>
      <c r="D5597" t="s">
        <v>4538</v>
      </c>
      <c r="F5597" s="76">
        <v>7</v>
      </c>
      <c r="G5597" s="57" t="s">
        <v>13819</v>
      </c>
      <c r="H5597" s="57" t="s">
        <v>918</v>
      </c>
    </row>
    <row r="5598" spans="2:8" ht="13.5" customHeight="1">
      <c r="B5598" t="s">
        <v>10050</v>
      </c>
      <c r="D5598" t="s">
        <v>10084</v>
      </c>
      <c r="F5598" s="76">
        <v>8</v>
      </c>
      <c r="G5598" s="57" t="s">
        <v>13819</v>
      </c>
      <c r="H5598" s="57" t="s">
        <v>918</v>
      </c>
    </row>
    <row r="5599" spans="2:8" ht="13.5" customHeight="1">
      <c r="B5599" t="s">
        <v>10051</v>
      </c>
      <c r="D5599" t="s">
        <v>10085</v>
      </c>
      <c r="F5599" s="76">
        <v>8</v>
      </c>
      <c r="G5599" s="57" t="s">
        <v>13819</v>
      </c>
      <c r="H5599" s="57" t="s">
        <v>918</v>
      </c>
    </row>
    <row r="5600" spans="2:8" ht="13.5" customHeight="1">
      <c r="B5600" t="s">
        <v>1553</v>
      </c>
      <c r="D5600" t="s">
        <v>10086</v>
      </c>
      <c r="F5600" s="76">
        <v>8</v>
      </c>
      <c r="G5600" s="57" t="s">
        <v>13819</v>
      </c>
      <c r="H5600" s="57" t="s">
        <v>918</v>
      </c>
    </row>
    <row r="5601" spans="2:8" ht="13.5" customHeight="1">
      <c r="B5601" t="s">
        <v>7848</v>
      </c>
      <c r="D5601" t="s">
        <v>7849</v>
      </c>
      <c r="F5601" s="76">
        <v>10</v>
      </c>
      <c r="G5601" s="57" t="s">
        <v>13819</v>
      </c>
      <c r="H5601" s="57" t="s">
        <v>918</v>
      </c>
    </row>
    <row r="5602" spans="2:8" ht="13.5" customHeight="1">
      <c r="B5602" t="s">
        <v>10052</v>
      </c>
      <c r="D5602" t="s">
        <v>10087</v>
      </c>
      <c r="F5602" s="76">
        <v>10</v>
      </c>
      <c r="G5602" s="57" t="s">
        <v>13819</v>
      </c>
      <c r="H5602" s="57" t="s">
        <v>918</v>
      </c>
    </row>
    <row r="5603" spans="2:8" ht="13.5" customHeight="1">
      <c r="B5603" t="s">
        <v>10053</v>
      </c>
      <c r="D5603" t="s">
        <v>10088</v>
      </c>
      <c r="F5603" s="76">
        <v>10</v>
      </c>
      <c r="G5603" s="57" t="s">
        <v>13819</v>
      </c>
      <c r="H5603" s="57" t="s">
        <v>918</v>
      </c>
    </row>
    <row r="5604" spans="2:8" ht="13.5" customHeight="1">
      <c r="B5604" t="s">
        <v>10054</v>
      </c>
      <c r="D5604" t="s">
        <v>10089</v>
      </c>
      <c r="F5604" s="76">
        <v>10</v>
      </c>
      <c r="G5604" s="57" t="s">
        <v>13819</v>
      </c>
      <c r="H5604" s="57" t="s">
        <v>918</v>
      </c>
    </row>
    <row r="5605" spans="2:8" ht="13.5" customHeight="1">
      <c r="B5605" t="s">
        <v>3225</v>
      </c>
      <c r="D5605" t="s">
        <v>10090</v>
      </c>
      <c r="F5605" s="76">
        <v>10</v>
      </c>
      <c r="G5605" s="57" t="s">
        <v>13819</v>
      </c>
      <c r="H5605" s="57" t="s">
        <v>918</v>
      </c>
    </row>
    <row r="5606" spans="2:8" ht="13.5" customHeight="1">
      <c r="B5606" t="s">
        <v>10055</v>
      </c>
      <c r="D5606" t="s">
        <v>10091</v>
      </c>
      <c r="F5606" s="76">
        <v>10</v>
      </c>
      <c r="G5606" s="57" t="s">
        <v>13819</v>
      </c>
      <c r="H5606" s="57" t="s">
        <v>918</v>
      </c>
    </row>
    <row r="5607" spans="2:8" ht="13.5" customHeight="1">
      <c r="B5607" t="s">
        <v>10056</v>
      </c>
      <c r="D5607" t="s">
        <v>10092</v>
      </c>
      <c r="F5607" s="76">
        <v>10</v>
      </c>
      <c r="G5607" s="57" t="s">
        <v>13819</v>
      </c>
      <c r="H5607" s="57" t="s">
        <v>918</v>
      </c>
    </row>
    <row r="5608" spans="2:8" ht="13.5" customHeight="1">
      <c r="B5608" t="s">
        <v>10057</v>
      </c>
      <c r="D5608" t="s">
        <v>10093</v>
      </c>
      <c r="F5608" s="76">
        <v>10</v>
      </c>
      <c r="G5608" s="57" t="s">
        <v>13819</v>
      </c>
      <c r="H5608" s="57" t="s">
        <v>918</v>
      </c>
    </row>
    <row r="5609" spans="2:8" ht="13.5" customHeight="1">
      <c r="B5609" t="s">
        <v>10058</v>
      </c>
      <c r="D5609" t="s">
        <v>10094</v>
      </c>
      <c r="F5609" s="76">
        <v>10</v>
      </c>
      <c r="G5609" s="57" t="s">
        <v>13819</v>
      </c>
      <c r="H5609" s="57" t="s">
        <v>918</v>
      </c>
    </row>
    <row r="5610" spans="2:8" ht="13.5" customHeight="1">
      <c r="B5610" t="s">
        <v>3983</v>
      </c>
      <c r="D5610" t="s">
        <v>10095</v>
      </c>
      <c r="F5610" s="76">
        <v>11</v>
      </c>
      <c r="G5610" s="57" t="s">
        <v>13819</v>
      </c>
      <c r="H5610" s="57" t="s">
        <v>918</v>
      </c>
    </row>
    <row r="5611" spans="2:8" ht="13.5" customHeight="1">
      <c r="B5611" t="s">
        <v>10059</v>
      </c>
      <c r="D5611" t="s">
        <v>10096</v>
      </c>
      <c r="F5611" s="76">
        <v>11</v>
      </c>
      <c r="G5611" s="57" t="s">
        <v>13819</v>
      </c>
      <c r="H5611" s="57" t="s">
        <v>918</v>
      </c>
    </row>
    <row r="5612" spans="2:8" ht="13.5" customHeight="1">
      <c r="B5612"/>
      <c r="D5612" t="s">
        <v>10097</v>
      </c>
      <c r="F5612" s="76">
        <v>12</v>
      </c>
      <c r="G5612" s="57" t="s">
        <v>13819</v>
      </c>
      <c r="H5612" s="57" t="s">
        <v>918</v>
      </c>
    </row>
    <row r="5613" spans="2:8" ht="13.5" customHeight="1">
      <c r="B5613" t="s">
        <v>10060</v>
      </c>
      <c r="D5613" t="s">
        <v>10098</v>
      </c>
      <c r="F5613" s="76">
        <v>14</v>
      </c>
      <c r="G5613" s="57" t="s">
        <v>13819</v>
      </c>
      <c r="H5613" s="57" t="s">
        <v>918</v>
      </c>
    </row>
    <row r="5614" spans="2:8" ht="13.5" customHeight="1">
      <c r="B5614" t="s">
        <v>10061</v>
      </c>
      <c r="D5614" t="s">
        <v>10099</v>
      </c>
      <c r="F5614" s="76">
        <v>15</v>
      </c>
      <c r="G5614" s="57" t="s">
        <v>13819</v>
      </c>
      <c r="H5614" s="57" t="s">
        <v>918</v>
      </c>
    </row>
    <row r="5615" spans="2:8" ht="13.5" customHeight="1">
      <c r="B5615" t="s">
        <v>10062</v>
      </c>
      <c r="D5615" t="s">
        <v>10100</v>
      </c>
      <c r="F5615" s="76">
        <v>15</v>
      </c>
      <c r="G5615" s="57" t="s">
        <v>13819</v>
      </c>
      <c r="H5615" s="57" t="s">
        <v>918</v>
      </c>
    </row>
    <row r="5616" spans="2:8" ht="13.5" customHeight="1">
      <c r="B5616" t="s">
        <v>10063</v>
      </c>
      <c r="D5616" t="s">
        <v>10101</v>
      </c>
      <c r="F5616" s="76">
        <v>16</v>
      </c>
      <c r="G5616" s="57" t="s">
        <v>13819</v>
      </c>
      <c r="H5616" s="57" t="s">
        <v>918</v>
      </c>
    </row>
    <row r="5617" spans="2:8" ht="13.5" customHeight="1">
      <c r="B5617" t="s">
        <v>10064</v>
      </c>
      <c r="D5617" t="s">
        <v>10102</v>
      </c>
      <c r="F5617" s="76">
        <v>18</v>
      </c>
      <c r="G5617" s="57" t="s">
        <v>13819</v>
      </c>
      <c r="H5617" s="57" t="s">
        <v>918</v>
      </c>
    </row>
    <row r="5618" spans="2:8" ht="13.5" customHeight="1">
      <c r="B5618" t="s">
        <v>10065</v>
      </c>
      <c r="D5618" t="s">
        <v>10103</v>
      </c>
      <c r="F5618" s="76">
        <v>18</v>
      </c>
      <c r="G5618" s="57" t="s">
        <v>13819</v>
      </c>
      <c r="H5618" s="57" t="s">
        <v>918</v>
      </c>
    </row>
    <row r="5619" spans="2:8" ht="13.5" customHeight="1">
      <c r="B5619" t="s">
        <v>10066</v>
      </c>
      <c r="D5619" t="s">
        <v>10104</v>
      </c>
      <c r="F5619" s="76">
        <v>20</v>
      </c>
      <c r="G5619" s="57" t="s">
        <v>13819</v>
      </c>
      <c r="H5619" s="57" t="s">
        <v>918</v>
      </c>
    </row>
    <row r="5620" spans="2:8" ht="13.5" customHeight="1">
      <c r="B5620" t="s">
        <v>10067</v>
      </c>
      <c r="D5620" t="s">
        <v>10105</v>
      </c>
      <c r="F5620" s="76">
        <v>25</v>
      </c>
      <c r="G5620" s="57" t="s">
        <v>13819</v>
      </c>
      <c r="H5620" s="57" t="s">
        <v>918</v>
      </c>
    </row>
    <row r="5621" spans="2:8" ht="13.5" customHeight="1">
      <c r="B5621" t="s">
        <v>10068</v>
      </c>
      <c r="D5621" t="s">
        <v>10106</v>
      </c>
      <c r="F5621" s="76">
        <v>29</v>
      </c>
      <c r="G5621" s="57" t="s">
        <v>13819</v>
      </c>
      <c r="H5621" s="57" t="s">
        <v>918</v>
      </c>
    </row>
    <row r="5622" spans="2:8" ht="13.5" customHeight="1">
      <c r="B5622" t="s">
        <v>10069</v>
      </c>
      <c r="D5622" t="s">
        <v>10107</v>
      </c>
      <c r="F5622" s="76">
        <v>46</v>
      </c>
      <c r="G5622" s="57" t="s">
        <v>13819</v>
      </c>
      <c r="H5622" s="57" t="s">
        <v>918</v>
      </c>
    </row>
    <row r="5623" spans="2:8" ht="13.5" customHeight="1">
      <c r="B5623" t="s">
        <v>10070</v>
      </c>
      <c r="D5623" t="s">
        <v>10108</v>
      </c>
      <c r="F5623" s="76">
        <v>48</v>
      </c>
      <c r="G5623" s="57" t="s">
        <v>13819</v>
      </c>
      <c r="H5623" s="57" t="s">
        <v>918</v>
      </c>
    </row>
    <row r="5624" spans="2:8" ht="13.5" customHeight="1">
      <c r="B5624" t="s">
        <v>10071</v>
      </c>
      <c r="D5624" t="s">
        <v>10109</v>
      </c>
      <c r="F5624" s="76">
        <v>48</v>
      </c>
      <c r="G5624" s="57" t="s">
        <v>13819</v>
      </c>
      <c r="H5624" s="57" t="s">
        <v>918</v>
      </c>
    </row>
    <row r="5625" spans="2:8" ht="13.5" customHeight="1">
      <c r="B5625" t="s">
        <v>10072</v>
      </c>
      <c r="D5625" t="s">
        <v>10110</v>
      </c>
      <c r="F5625" s="76">
        <v>48</v>
      </c>
      <c r="G5625" s="57" t="s">
        <v>13819</v>
      </c>
      <c r="H5625" s="57" t="s">
        <v>918</v>
      </c>
    </row>
    <row r="5626" spans="2:8" ht="13.5" customHeight="1">
      <c r="B5626" t="s">
        <v>10073</v>
      </c>
      <c r="D5626" t="s">
        <v>10111</v>
      </c>
      <c r="F5626" s="76">
        <v>50</v>
      </c>
      <c r="G5626" s="57" t="s">
        <v>13819</v>
      </c>
      <c r="H5626" s="57" t="s">
        <v>918</v>
      </c>
    </row>
    <row r="5627" spans="2:8" ht="13.5" customHeight="1">
      <c r="B5627" t="s">
        <v>10074</v>
      </c>
      <c r="D5627" t="s">
        <v>10112</v>
      </c>
      <c r="F5627" s="76">
        <v>60</v>
      </c>
      <c r="G5627" s="57" t="s">
        <v>13819</v>
      </c>
      <c r="H5627" s="57" t="s">
        <v>918</v>
      </c>
    </row>
    <row r="5628" spans="2:8" ht="13.5" customHeight="1">
      <c r="B5628" t="s">
        <v>9863</v>
      </c>
      <c r="D5628" t="s">
        <v>10113</v>
      </c>
      <c r="F5628" s="76">
        <v>125</v>
      </c>
      <c r="G5628" s="57" t="s">
        <v>13819</v>
      </c>
      <c r="H5628" s="57" t="s">
        <v>918</v>
      </c>
    </row>
    <row r="5629" spans="2:8" ht="13.5" customHeight="1">
      <c r="B5629" t="s">
        <v>10075</v>
      </c>
      <c r="D5629" t="s">
        <v>10114</v>
      </c>
      <c r="F5629" s="76">
        <v>149</v>
      </c>
      <c r="G5629" s="57" t="s">
        <v>13819</v>
      </c>
      <c r="H5629" s="57" t="s">
        <v>918</v>
      </c>
    </row>
    <row r="5630" spans="2:8" ht="13.5" customHeight="1">
      <c r="B5630" t="s">
        <v>10076</v>
      </c>
      <c r="D5630" t="s">
        <v>10115</v>
      </c>
      <c r="F5630" s="76">
        <v>184</v>
      </c>
      <c r="G5630" s="57" t="s">
        <v>13819</v>
      </c>
      <c r="H5630" s="57" t="s">
        <v>918</v>
      </c>
    </row>
    <row r="5631" spans="2:8" ht="13.5" customHeight="1">
      <c r="B5631" t="s">
        <v>10077</v>
      </c>
      <c r="D5631" t="s">
        <v>4647</v>
      </c>
      <c r="F5631" s="76">
        <v>223</v>
      </c>
      <c r="G5631" s="57" t="s">
        <v>13819</v>
      </c>
      <c r="H5631" s="57" t="s">
        <v>918</v>
      </c>
    </row>
    <row r="5632" spans="2:8" ht="13.5" customHeight="1">
      <c r="B5632" t="s">
        <v>10078</v>
      </c>
      <c r="D5632" t="s">
        <v>8958</v>
      </c>
      <c r="F5632" s="76">
        <v>251</v>
      </c>
      <c r="G5632" s="57" t="s">
        <v>13819</v>
      </c>
      <c r="H5632" s="57" t="s">
        <v>918</v>
      </c>
    </row>
    <row r="5633" spans="2:8" ht="13.5" customHeight="1">
      <c r="B5633" t="s">
        <v>8493</v>
      </c>
      <c r="D5633" t="s">
        <v>10116</v>
      </c>
      <c r="F5633" s="76">
        <v>531</v>
      </c>
      <c r="G5633" s="57" t="s">
        <v>13819</v>
      </c>
      <c r="H5633" s="57" t="s">
        <v>918</v>
      </c>
    </row>
    <row r="5634" spans="2:8" ht="13.5" customHeight="1">
      <c r="B5634" t="s">
        <v>10079</v>
      </c>
      <c r="D5634" t="s">
        <v>10117</v>
      </c>
      <c r="F5634" s="76">
        <v>549</v>
      </c>
      <c r="G5634" s="57" t="s">
        <v>13819</v>
      </c>
      <c r="H5634" s="57" t="s">
        <v>918</v>
      </c>
    </row>
    <row r="5635" spans="2:8" ht="13.5" customHeight="1">
      <c r="B5635" t="s">
        <v>10080</v>
      </c>
      <c r="D5635" t="s">
        <v>863</v>
      </c>
      <c r="F5635" s="76">
        <v>585</v>
      </c>
      <c r="G5635" s="57" t="s">
        <v>13819</v>
      </c>
      <c r="H5635" s="57" t="s">
        <v>918</v>
      </c>
    </row>
    <row r="5636" spans="2:8" ht="13.5" customHeight="1">
      <c r="B5636" t="s">
        <v>10118</v>
      </c>
      <c r="D5636" t="s">
        <v>10178</v>
      </c>
      <c r="F5636" s="76">
        <v>1</v>
      </c>
      <c r="G5636" s="57" t="s">
        <v>13819</v>
      </c>
      <c r="H5636" s="57" t="s">
        <v>1114</v>
      </c>
    </row>
    <row r="5637" spans="2:8" ht="13.5" customHeight="1">
      <c r="B5637" t="s">
        <v>10119</v>
      </c>
      <c r="D5637" t="s">
        <v>10179</v>
      </c>
      <c r="F5637" s="76">
        <v>1</v>
      </c>
      <c r="G5637" s="57" t="s">
        <v>13819</v>
      </c>
      <c r="H5637" s="57" t="s">
        <v>1114</v>
      </c>
    </row>
    <row r="5638" spans="2:8" ht="13.5" customHeight="1">
      <c r="B5638" t="s">
        <v>10120</v>
      </c>
      <c r="D5638" t="s">
        <v>10180</v>
      </c>
      <c r="F5638" s="76">
        <v>1</v>
      </c>
      <c r="G5638" s="57" t="s">
        <v>13819</v>
      </c>
      <c r="H5638" s="57" t="s">
        <v>1114</v>
      </c>
    </row>
    <row r="5639" spans="2:8" ht="13.5" customHeight="1">
      <c r="B5639" t="s">
        <v>10121</v>
      </c>
      <c r="D5639" t="s">
        <v>10181</v>
      </c>
      <c r="F5639" s="76">
        <v>2</v>
      </c>
      <c r="G5639" s="57" t="s">
        <v>13819</v>
      </c>
      <c r="H5639" s="57" t="s">
        <v>1114</v>
      </c>
    </row>
    <row r="5640" spans="2:8" ht="13.5" customHeight="1">
      <c r="B5640" t="s">
        <v>6207</v>
      </c>
      <c r="D5640" t="s">
        <v>6208</v>
      </c>
      <c r="F5640" s="76">
        <v>2</v>
      </c>
      <c r="G5640" s="57" t="s">
        <v>13819</v>
      </c>
      <c r="H5640" s="57" t="s">
        <v>1114</v>
      </c>
    </row>
    <row r="5641" spans="2:8" ht="13.5" customHeight="1">
      <c r="B5641" t="s">
        <v>10122</v>
      </c>
      <c r="D5641" t="s">
        <v>10182</v>
      </c>
      <c r="F5641" s="76">
        <v>3</v>
      </c>
      <c r="G5641" s="57" t="s">
        <v>13819</v>
      </c>
      <c r="H5641" s="57" t="s">
        <v>1114</v>
      </c>
    </row>
    <row r="5642" spans="2:8" ht="13.5" customHeight="1">
      <c r="B5642" t="s">
        <v>10123</v>
      </c>
      <c r="D5642" t="s">
        <v>10183</v>
      </c>
      <c r="F5642" s="76">
        <v>3</v>
      </c>
      <c r="G5642" s="57" t="s">
        <v>13819</v>
      </c>
      <c r="H5642" s="57" t="s">
        <v>1114</v>
      </c>
    </row>
    <row r="5643" spans="2:8" ht="13.5" customHeight="1">
      <c r="B5643" t="s">
        <v>10124</v>
      </c>
      <c r="D5643" t="s">
        <v>10184</v>
      </c>
      <c r="F5643" s="76">
        <v>3</v>
      </c>
      <c r="G5643" s="57" t="s">
        <v>13819</v>
      </c>
      <c r="H5643" s="57" t="s">
        <v>1114</v>
      </c>
    </row>
    <row r="5644" spans="2:8" ht="13.5" customHeight="1">
      <c r="B5644" t="s">
        <v>10125</v>
      </c>
      <c r="D5644" t="s">
        <v>10185</v>
      </c>
      <c r="F5644" s="76">
        <v>3</v>
      </c>
      <c r="G5644" s="57" t="s">
        <v>13819</v>
      </c>
      <c r="H5644" s="57" t="s">
        <v>1114</v>
      </c>
    </row>
    <row r="5645" spans="2:8" ht="13.5" customHeight="1">
      <c r="B5645" t="s">
        <v>10126</v>
      </c>
      <c r="D5645" t="s">
        <v>10186</v>
      </c>
      <c r="F5645" s="76">
        <v>3</v>
      </c>
      <c r="G5645" s="57" t="s">
        <v>13819</v>
      </c>
      <c r="H5645" s="57" t="s">
        <v>1114</v>
      </c>
    </row>
    <row r="5646" spans="2:8" ht="13.5" customHeight="1">
      <c r="B5646" t="s">
        <v>10127</v>
      </c>
      <c r="D5646" t="s">
        <v>10187</v>
      </c>
      <c r="F5646" s="76">
        <v>3</v>
      </c>
      <c r="G5646" s="57" t="s">
        <v>13819</v>
      </c>
      <c r="H5646" s="57" t="s">
        <v>1114</v>
      </c>
    </row>
    <row r="5647" spans="2:8" ht="13.5" customHeight="1">
      <c r="B5647" t="s">
        <v>10128</v>
      </c>
      <c r="D5647" t="s">
        <v>10188</v>
      </c>
      <c r="F5647" s="76">
        <v>5</v>
      </c>
      <c r="G5647" s="57" t="s">
        <v>13819</v>
      </c>
      <c r="H5647" s="57" t="s">
        <v>1114</v>
      </c>
    </row>
    <row r="5648" spans="2:8" ht="13.5" customHeight="1">
      <c r="B5648" t="s">
        <v>10129</v>
      </c>
      <c r="D5648" t="s">
        <v>10189</v>
      </c>
      <c r="F5648" s="76">
        <v>6</v>
      </c>
      <c r="G5648" s="57" t="s">
        <v>13819</v>
      </c>
      <c r="H5648" s="57" t="s">
        <v>1114</v>
      </c>
    </row>
    <row r="5649" spans="2:8" ht="13.5" customHeight="1">
      <c r="B5649" t="s">
        <v>10130</v>
      </c>
      <c r="D5649" t="s">
        <v>10190</v>
      </c>
      <c r="F5649" s="76">
        <v>6</v>
      </c>
      <c r="G5649" s="57" t="s">
        <v>13819</v>
      </c>
      <c r="H5649" s="57" t="s">
        <v>1114</v>
      </c>
    </row>
    <row r="5650" spans="2:8" ht="13.5" customHeight="1">
      <c r="B5650" t="s">
        <v>308</v>
      </c>
      <c r="D5650" t="s">
        <v>931</v>
      </c>
      <c r="F5650" s="76">
        <v>6</v>
      </c>
      <c r="G5650" s="57" t="s">
        <v>13819</v>
      </c>
      <c r="H5650" s="57" t="s">
        <v>1114</v>
      </c>
    </row>
    <row r="5651" spans="2:8" ht="13.5" customHeight="1">
      <c r="B5651" t="s">
        <v>10131</v>
      </c>
      <c r="D5651" t="s">
        <v>10191</v>
      </c>
      <c r="F5651" s="76">
        <v>7</v>
      </c>
      <c r="G5651" s="57" t="s">
        <v>13819</v>
      </c>
      <c r="H5651" s="57" t="s">
        <v>1114</v>
      </c>
    </row>
    <row r="5652" spans="2:8" ht="13.5" customHeight="1">
      <c r="B5652" t="s">
        <v>495</v>
      </c>
      <c r="D5652" t="s">
        <v>10192</v>
      </c>
      <c r="F5652" s="76">
        <v>7</v>
      </c>
      <c r="G5652" s="57" t="s">
        <v>13819</v>
      </c>
      <c r="H5652" s="57" t="s">
        <v>1114</v>
      </c>
    </row>
    <row r="5653" spans="2:8" ht="13.5" customHeight="1">
      <c r="B5653" t="s">
        <v>10132</v>
      </c>
      <c r="D5653" t="s">
        <v>10193</v>
      </c>
      <c r="F5653" s="76">
        <v>9</v>
      </c>
      <c r="G5653" s="57" t="s">
        <v>13819</v>
      </c>
      <c r="H5653" s="57" t="s">
        <v>1114</v>
      </c>
    </row>
    <row r="5654" spans="2:8" ht="13.5" customHeight="1">
      <c r="B5654" t="s">
        <v>10133</v>
      </c>
      <c r="D5654" t="s">
        <v>10194</v>
      </c>
      <c r="F5654" s="76">
        <v>9</v>
      </c>
      <c r="G5654" s="57" t="s">
        <v>13819</v>
      </c>
      <c r="H5654" s="57" t="s">
        <v>1114</v>
      </c>
    </row>
    <row r="5655" spans="2:8" ht="13.5" customHeight="1">
      <c r="B5655" t="s">
        <v>10134</v>
      </c>
      <c r="D5655" t="s">
        <v>10195</v>
      </c>
      <c r="F5655" s="76">
        <v>9</v>
      </c>
      <c r="G5655" s="57" t="s">
        <v>13819</v>
      </c>
      <c r="H5655" s="57" t="s">
        <v>1114</v>
      </c>
    </row>
    <row r="5656" spans="2:8" ht="13.5" customHeight="1">
      <c r="B5656" t="s">
        <v>4420</v>
      </c>
      <c r="D5656" t="s">
        <v>10196</v>
      </c>
      <c r="F5656" s="76">
        <v>9</v>
      </c>
      <c r="G5656" s="57" t="s">
        <v>13819</v>
      </c>
      <c r="H5656" s="57" t="s">
        <v>1114</v>
      </c>
    </row>
    <row r="5657" spans="2:8" ht="13.5" customHeight="1">
      <c r="B5657" t="s">
        <v>5885</v>
      </c>
      <c r="D5657" t="s">
        <v>10197</v>
      </c>
      <c r="F5657" s="76">
        <v>10</v>
      </c>
      <c r="G5657" s="57" t="s">
        <v>13819</v>
      </c>
      <c r="H5657" s="57" t="s">
        <v>1114</v>
      </c>
    </row>
    <row r="5658" spans="2:8" ht="13.5" customHeight="1">
      <c r="B5658" t="s">
        <v>10135</v>
      </c>
      <c r="D5658" t="s">
        <v>10198</v>
      </c>
      <c r="F5658" s="76">
        <v>10</v>
      </c>
      <c r="G5658" s="57" t="s">
        <v>13819</v>
      </c>
      <c r="H5658" s="57" t="s">
        <v>1114</v>
      </c>
    </row>
    <row r="5659" spans="2:8" ht="13.5" customHeight="1">
      <c r="B5659" t="s">
        <v>10136</v>
      </c>
      <c r="D5659" t="s">
        <v>10199</v>
      </c>
      <c r="F5659" s="76">
        <v>10</v>
      </c>
      <c r="G5659" s="57" t="s">
        <v>13819</v>
      </c>
      <c r="H5659" s="57" t="s">
        <v>1114</v>
      </c>
    </row>
    <row r="5660" spans="2:8" ht="13.5" customHeight="1">
      <c r="B5660" t="s">
        <v>4336</v>
      </c>
      <c r="D5660" t="s">
        <v>4337</v>
      </c>
      <c r="F5660" s="76">
        <v>10</v>
      </c>
      <c r="G5660" s="57" t="s">
        <v>13819</v>
      </c>
      <c r="H5660" s="57" t="s">
        <v>1114</v>
      </c>
    </row>
    <row r="5661" spans="2:8" ht="13.5" customHeight="1">
      <c r="B5661" t="s">
        <v>10137</v>
      </c>
      <c r="D5661" t="s">
        <v>10200</v>
      </c>
      <c r="F5661" s="76">
        <v>10</v>
      </c>
      <c r="G5661" s="57" t="s">
        <v>13819</v>
      </c>
      <c r="H5661" s="57" t="s">
        <v>1114</v>
      </c>
    </row>
    <row r="5662" spans="2:8" ht="13.5" customHeight="1">
      <c r="B5662" t="s">
        <v>10138</v>
      </c>
      <c r="D5662" t="s">
        <v>10201</v>
      </c>
      <c r="F5662" s="76">
        <v>10</v>
      </c>
      <c r="G5662" s="57" t="s">
        <v>13819</v>
      </c>
      <c r="H5662" s="57" t="s">
        <v>1114</v>
      </c>
    </row>
    <row r="5663" spans="2:8" ht="13.5" customHeight="1">
      <c r="B5663" t="s">
        <v>10139</v>
      </c>
      <c r="D5663" t="s">
        <v>10202</v>
      </c>
      <c r="F5663" s="76">
        <v>10</v>
      </c>
      <c r="G5663" s="57" t="s">
        <v>13819</v>
      </c>
      <c r="H5663" s="57" t="s">
        <v>1114</v>
      </c>
    </row>
    <row r="5664" spans="2:8" ht="13.5" customHeight="1">
      <c r="B5664" t="s">
        <v>1334</v>
      </c>
      <c r="D5664" t="s">
        <v>10203</v>
      </c>
      <c r="F5664" s="76">
        <v>10</v>
      </c>
      <c r="G5664" s="57" t="s">
        <v>13819</v>
      </c>
      <c r="H5664" s="57" t="s">
        <v>1114</v>
      </c>
    </row>
    <row r="5665" spans="2:8" ht="13.5" customHeight="1">
      <c r="B5665" t="s">
        <v>10140</v>
      </c>
      <c r="D5665" t="s">
        <v>10204</v>
      </c>
      <c r="F5665" s="76">
        <v>10</v>
      </c>
      <c r="G5665" s="57" t="s">
        <v>13819</v>
      </c>
      <c r="H5665" s="57" t="s">
        <v>1114</v>
      </c>
    </row>
    <row r="5666" spans="2:8" ht="13.5" customHeight="1">
      <c r="B5666" t="s">
        <v>10141</v>
      </c>
      <c r="D5666" t="s">
        <v>10205</v>
      </c>
      <c r="F5666" s="76">
        <v>10</v>
      </c>
      <c r="G5666" s="57" t="s">
        <v>13819</v>
      </c>
      <c r="H5666" s="57" t="s">
        <v>1114</v>
      </c>
    </row>
    <row r="5667" spans="2:8" ht="13.5" customHeight="1">
      <c r="B5667" t="s">
        <v>10142</v>
      </c>
      <c r="D5667" t="s">
        <v>10206</v>
      </c>
      <c r="F5667" s="76">
        <v>10</v>
      </c>
      <c r="G5667" s="57" t="s">
        <v>13819</v>
      </c>
      <c r="H5667" s="57" t="s">
        <v>1114</v>
      </c>
    </row>
    <row r="5668" spans="2:8" ht="13.5" customHeight="1">
      <c r="B5668" t="s">
        <v>308</v>
      </c>
      <c r="D5668" t="s">
        <v>10207</v>
      </c>
      <c r="F5668" s="76">
        <v>10</v>
      </c>
      <c r="G5668" s="57" t="s">
        <v>13819</v>
      </c>
      <c r="H5668" s="57" t="s">
        <v>1114</v>
      </c>
    </row>
    <row r="5669" spans="2:8" ht="13.5" customHeight="1">
      <c r="B5669" t="s">
        <v>10143</v>
      </c>
      <c r="D5669" t="s">
        <v>10208</v>
      </c>
      <c r="F5669" s="76">
        <v>10</v>
      </c>
      <c r="G5669" s="57" t="s">
        <v>13819</v>
      </c>
      <c r="H5669" s="57" t="s">
        <v>1114</v>
      </c>
    </row>
    <row r="5670" spans="2:8" ht="13.5" customHeight="1">
      <c r="B5670" t="s">
        <v>10144</v>
      </c>
      <c r="D5670" t="s">
        <v>10209</v>
      </c>
      <c r="F5670" s="76">
        <v>10</v>
      </c>
      <c r="G5670" s="57" t="s">
        <v>13819</v>
      </c>
      <c r="H5670" s="57" t="s">
        <v>1114</v>
      </c>
    </row>
    <row r="5671" spans="2:8" ht="13.5" customHeight="1">
      <c r="B5671" t="s">
        <v>9973</v>
      </c>
      <c r="D5671" t="s">
        <v>10210</v>
      </c>
      <c r="F5671" s="76">
        <v>10</v>
      </c>
      <c r="G5671" s="57" t="s">
        <v>13819</v>
      </c>
      <c r="H5671" s="57" t="s">
        <v>1114</v>
      </c>
    </row>
    <row r="5672" spans="2:8" ht="13.5" customHeight="1">
      <c r="B5672" t="s">
        <v>10145</v>
      </c>
      <c r="D5672" t="s">
        <v>10211</v>
      </c>
      <c r="F5672" s="76">
        <v>10</v>
      </c>
      <c r="G5672" s="57" t="s">
        <v>13819</v>
      </c>
      <c r="H5672" s="57" t="s">
        <v>1114</v>
      </c>
    </row>
    <row r="5673" spans="2:8" ht="13.5" customHeight="1">
      <c r="B5673" t="s">
        <v>10146</v>
      </c>
      <c r="D5673" t="s">
        <v>10212</v>
      </c>
      <c r="F5673" s="76">
        <v>10</v>
      </c>
      <c r="G5673" s="57" t="s">
        <v>13819</v>
      </c>
      <c r="H5673" s="57" t="s">
        <v>1114</v>
      </c>
    </row>
    <row r="5674" spans="2:8" ht="13.5" customHeight="1">
      <c r="B5674" t="s">
        <v>10147</v>
      </c>
      <c r="D5674" t="s">
        <v>10213</v>
      </c>
      <c r="F5674" s="76">
        <v>10</v>
      </c>
      <c r="G5674" s="57" t="s">
        <v>13819</v>
      </c>
      <c r="H5674" s="57" t="s">
        <v>1114</v>
      </c>
    </row>
    <row r="5675" spans="2:8" ht="13.5" customHeight="1">
      <c r="B5675" t="s">
        <v>10148</v>
      </c>
      <c r="D5675" t="s">
        <v>10214</v>
      </c>
      <c r="F5675" s="76">
        <v>10</v>
      </c>
      <c r="G5675" s="57" t="s">
        <v>13819</v>
      </c>
      <c r="H5675" s="57" t="s">
        <v>1114</v>
      </c>
    </row>
    <row r="5676" spans="2:8" ht="13.5" customHeight="1">
      <c r="B5676" t="s">
        <v>10149</v>
      </c>
      <c r="D5676" t="s">
        <v>10215</v>
      </c>
      <c r="F5676" s="76">
        <v>10</v>
      </c>
      <c r="G5676" s="57" t="s">
        <v>13819</v>
      </c>
      <c r="H5676" s="57" t="s">
        <v>1114</v>
      </c>
    </row>
    <row r="5677" spans="2:8" ht="13.5" customHeight="1">
      <c r="B5677" t="s">
        <v>10150</v>
      </c>
      <c r="D5677" t="s">
        <v>10216</v>
      </c>
      <c r="F5677" s="76">
        <v>10</v>
      </c>
      <c r="G5677" s="57" t="s">
        <v>13819</v>
      </c>
      <c r="H5677" s="57" t="s">
        <v>1114</v>
      </c>
    </row>
    <row r="5678" spans="2:8" ht="13.5" customHeight="1">
      <c r="B5678" t="s">
        <v>10151</v>
      </c>
      <c r="D5678" t="s">
        <v>10217</v>
      </c>
      <c r="F5678" s="76">
        <v>10</v>
      </c>
      <c r="G5678" s="57" t="s">
        <v>13819</v>
      </c>
      <c r="H5678" s="57" t="s">
        <v>1114</v>
      </c>
    </row>
    <row r="5679" spans="2:8" ht="13.5" customHeight="1">
      <c r="B5679" t="s">
        <v>10152</v>
      </c>
      <c r="D5679" t="s">
        <v>4534</v>
      </c>
      <c r="F5679" s="76">
        <v>10</v>
      </c>
      <c r="G5679" s="57" t="s">
        <v>13819</v>
      </c>
      <c r="H5679" s="57" t="s">
        <v>1114</v>
      </c>
    </row>
    <row r="5680" spans="2:8" ht="13.5" customHeight="1">
      <c r="B5680" t="s">
        <v>10153</v>
      </c>
      <c r="D5680" t="s">
        <v>10218</v>
      </c>
      <c r="F5680" s="76">
        <v>10</v>
      </c>
      <c r="G5680" s="57" t="s">
        <v>13819</v>
      </c>
      <c r="H5680" s="57" t="s">
        <v>1114</v>
      </c>
    </row>
    <row r="5681" spans="2:8" ht="13.5" customHeight="1">
      <c r="B5681" t="s">
        <v>7355</v>
      </c>
      <c r="D5681" t="s">
        <v>10219</v>
      </c>
      <c r="F5681" s="76">
        <v>10</v>
      </c>
      <c r="G5681" s="57" t="s">
        <v>13819</v>
      </c>
      <c r="H5681" s="57" t="s">
        <v>1114</v>
      </c>
    </row>
    <row r="5682" spans="2:8" ht="13.5" customHeight="1">
      <c r="B5682" t="s">
        <v>10154</v>
      </c>
      <c r="D5682" t="s">
        <v>10220</v>
      </c>
      <c r="F5682" s="76">
        <v>10</v>
      </c>
      <c r="G5682" s="57" t="s">
        <v>13819</v>
      </c>
      <c r="H5682" s="57" t="s">
        <v>1114</v>
      </c>
    </row>
    <row r="5683" spans="2:8" ht="13.5" customHeight="1">
      <c r="B5683" t="s">
        <v>10155</v>
      </c>
      <c r="D5683" t="s">
        <v>10221</v>
      </c>
      <c r="F5683" s="76">
        <v>10</v>
      </c>
      <c r="G5683" s="57" t="s">
        <v>13819</v>
      </c>
      <c r="H5683" s="57" t="s">
        <v>1114</v>
      </c>
    </row>
    <row r="5684" spans="2:8" ht="13.5" customHeight="1">
      <c r="B5684" t="s">
        <v>6402</v>
      </c>
      <c r="D5684" t="s">
        <v>10222</v>
      </c>
      <c r="F5684" s="76">
        <v>10</v>
      </c>
      <c r="G5684" s="57" t="s">
        <v>13819</v>
      </c>
      <c r="H5684" s="57" t="s">
        <v>1114</v>
      </c>
    </row>
    <row r="5685" spans="2:8" ht="13.5" customHeight="1">
      <c r="B5685" t="s">
        <v>10156</v>
      </c>
      <c r="D5685" t="s">
        <v>10223</v>
      </c>
      <c r="F5685" s="76">
        <v>10</v>
      </c>
      <c r="G5685" s="57" t="s">
        <v>13819</v>
      </c>
      <c r="H5685" s="57" t="s">
        <v>1114</v>
      </c>
    </row>
    <row r="5686" spans="2:8" ht="13.5" customHeight="1">
      <c r="B5686" t="s">
        <v>10157</v>
      </c>
      <c r="D5686" t="s">
        <v>10224</v>
      </c>
      <c r="F5686" s="76">
        <v>10</v>
      </c>
      <c r="G5686" s="57" t="s">
        <v>13819</v>
      </c>
      <c r="H5686" s="57" t="s">
        <v>1114</v>
      </c>
    </row>
    <row r="5687" spans="2:8" ht="13.5" customHeight="1">
      <c r="B5687" t="s">
        <v>1553</v>
      </c>
      <c r="D5687" t="s">
        <v>10225</v>
      </c>
      <c r="F5687" s="76">
        <v>10</v>
      </c>
      <c r="G5687" s="57" t="s">
        <v>13819</v>
      </c>
      <c r="H5687" s="57" t="s">
        <v>1114</v>
      </c>
    </row>
    <row r="5688" spans="2:8" ht="13.5" customHeight="1">
      <c r="B5688" t="s">
        <v>10158</v>
      </c>
      <c r="D5688">
        <v>742792063</v>
      </c>
      <c r="F5688" s="76">
        <v>10</v>
      </c>
      <c r="G5688" s="57" t="s">
        <v>13819</v>
      </c>
      <c r="H5688" s="57" t="s">
        <v>1114</v>
      </c>
    </row>
    <row r="5689" spans="2:8" ht="13.5" customHeight="1">
      <c r="B5689" t="s">
        <v>10159</v>
      </c>
      <c r="D5689" t="s">
        <v>10226</v>
      </c>
      <c r="F5689" s="76">
        <v>10</v>
      </c>
      <c r="G5689" s="57" t="s">
        <v>13819</v>
      </c>
      <c r="H5689" s="57" t="s">
        <v>1114</v>
      </c>
    </row>
    <row r="5690" spans="2:8" ht="13.5" customHeight="1">
      <c r="B5690" t="s">
        <v>10160</v>
      </c>
      <c r="D5690" t="s">
        <v>10227</v>
      </c>
      <c r="F5690" s="76">
        <v>10</v>
      </c>
      <c r="G5690" s="57" t="s">
        <v>13819</v>
      </c>
      <c r="H5690" s="57" t="s">
        <v>1114</v>
      </c>
    </row>
    <row r="5691" spans="2:8" ht="13.5" customHeight="1">
      <c r="B5691" t="s">
        <v>10161</v>
      </c>
      <c r="D5691" t="s">
        <v>10228</v>
      </c>
      <c r="F5691" s="76">
        <v>11</v>
      </c>
      <c r="G5691" s="57" t="s">
        <v>13819</v>
      </c>
      <c r="H5691" s="57" t="s">
        <v>1114</v>
      </c>
    </row>
    <row r="5692" spans="2:8" ht="13.5" customHeight="1">
      <c r="B5692" t="s">
        <v>10162</v>
      </c>
      <c r="D5692" t="s">
        <v>10229</v>
      </c>
      <c r="F5692" s="76">
        <v>12</v>
      </c>
      <c r="G5692" s="57" t="s">
        <v>13819</v>
      </c>
      <c r="H5692" s="57" t="s">
        <v>1114</v>
      </c>
    </row>
    <row r="5693" spans="2:8" ht="13.5" customHeight="1">
      <c r="B5693" t="s">
        <v>10163</v>
      </c>
      <c r="D5693" t="s">
        <v>10230</v>
      </c>
      <c r="F5693" s="76">
        <v>12</v>
      </c>
      <c r="G5693" s="57" t="s">
        <v>13819</v>
      </c>
      <c r="H5693" s="57" t="s">
        <v>1114</v>
      </c>
    </row>
    <row r="5694" spans="2:8" ht="13.5" customHeight="1">
      <c r="B5694" t="s">
        <v>10164</v>
      </c>
      <c r="D5694" t="s">
        <v>10231</v>
      </c>
      <c r="F5694" s="76">
        <v>14</v>
      </c>
      <c r="G5694" s="57" t="s">
        <v>13819</v>
      </c>
      <c r="H5694" s="57" t="s">
        <v>1114</v>
      </c>
    </row>
    <row r="5695" spans="2:8" ht="13.5" customHeight="1">
      <c r="B5695" t="s">
        <v>5915</v>
      </c>
      <c r="D5695" t="s">
        <v>10232</v>
      </c>
      <c r="F5695" s="76">
        <v>16</v>
      </c>
      <c r="G5695" s="57" t="s">
        <v>13819</v>
      </c>
      <c r="H5695" s="57" t="s">
        <v>1114</v>
      </c>
    </row>
    <row r="5696" spans="2:8" ht="13.5" customHeight="1">
      <c r="B5696" t="s">
        <v>10165</v>
      </c>
      <c r="D5696" t="s">
        <v>10233</v>
      </c>
      <c r="F5696" s="76">
        <v>18</v>
      </c>
      <c r="G5696" s="57" t="s">
        <v>13819</v>
      </c>
      <c r="H5696" s="57" t="s">
        <v>1114</v>
      </c>
    </row>
    <row r="5697" spans="2:8" ht="13.5" customHeight="1">
      <c r="B5697" t="s">
        <v>10166</v>
      </c>
      <c r="D5697" t="s">
        <v>10234</v>
      </c>
      <c r="F5697" s="76">
        <v>20</v>
      </c>
      <c r="G5697" s="57" t="s">
        <v>13819</v>
      </c>
      <c r="H5697" s="57" t="s">
        <v>1114</v>
      </c>
    </row>
    <row r="5698" spans="2:8" ht="13.5" customHeight="1">
      <c r="B5698" t="s">
        <v>10167</v>
      </c>
      <c r="D5698" t="s">
        <v>10235</v>
      </c>
      <c r="F5698" s="76">
        <v>20</v>
      </c>
      <c r="G5698" s="57" t="s">
        <v>13819</v>
      </c>
      <c r="H5698" s="57" t="s">
        <v>1114</v>
      </c>
    </row>
    <row r="5699" spans="2:8" ht="13.5" customHeight="1">
      <c r="B5699" t="s">
        <v>10168</v>
      </c>
      <c r="D5699" t="s">
        <v>10236</v>
      </c>
      <c r="F5699" s="76">
        <v>22</v>
      </c>
      <c r="G5699" s="57" t="s">
        <v>13819</v>
      </c>
      <c r="H5699" s="57" t="s">
        <v>1114</v>
      </c>
    </row>
    <row r="5700" spans="2:8" ht="13.5" customHeight="1">
      <c r="B5700" t="s">
        <v>10169</v>
      </c>
      <c r="D5700" t="s">
        <v>10237</v>
      </c>
      <c r="F5700" s="76">
        <v>38</v>
      </c>
      <c r="G5700" s="57" t="s">
        <v>13819</v>
      </c>
      <c r="H5700" s="57" t="s">
        <v>1114</v>
      </c>
    </row>
    <row r="5701" spans="2:8" ht="13.5" customHeight="1">
      <c r="B5701" t="s">
        <v>1529</v>
      </c>
      <c r="D5701" t="s">
        <v>10238</v>
      </c>
      <c r="F5701" s="76">
        <v>46</v>
      </c>
      <c r="G5701" s="57" t="s">
        <v>13819</v>
      </c>
      <c r="H5701" s="57" t="s">
        <v>1114</v>
      </c>
    </row>
    <row r="5702" spans="2:8" ht="13.5" customHeight="1">
      <c r="B5702" t="s">
        <v>10170</v>
      </c>
      <c r="D5702" t="s">
        <v>10239</v>
      </c>
      <c r="F5702" s="76">
        <v>47</v>
      </c>
      <c r="G5702" s="57" t="s">
        <v>13819</v>
      </c>
      <c r="H5702" s="57" t="s">
        <v>1114</v>
      </c>
    </row>
    <row r="5703" spans="2:8" ht="13.5" customHeight="1">
      <c r="B5703" t="s">
        <v>7396</v>
      </c>
      <c r="D5703" t="s">
        <v>4544</v>
      </c>
      <c r="F5703" s="76">
        <v>56</v>
      </c>
      <c r="G5703" s="57" t="s">
        <v>13819</v>
      </c>
      <c r="H5703" s="57" t="s">
        <v>1114</v>
      </c>
    </row>
    <row r="5704" spans="2:8" ht="13.5" customHeight="1">
      <c r="B5704" t="s">
        <v>10171</v>
      </c>
      <c r="D5704" t="s">
        <v>10240</v>
      </c>
      <c r="F5704" s="76">
        <v>60</v>
      </c>
      <c r="G5704" s="57" t="s">
        <v>13819</v>
      </c>
      <c r="H5704" s="57" t="s">
        <v>1114</v>
      </c>
    </row>
    <row r="5705" spans="2:8" ht="13.5" customHeight="1">
      <c r="B5705" t="s">
        <v>10172</v>
      </c>
      <c r="D5705" t="s">
        <v>10241</v>
      </c>
      <c r="F5705" s="76">
        <v>100</v>
      </c>
      <c r="G5705" s="57" t="s">
        <v>13819</v>
      </c>
      <c r="H5705" s="57" t="s">
        <v>1114</v>
      </c>
    </row>
    <row r="5706" spans="2:8" ht="13.5" customHeight="1">
      <c r="B5706" t="s">
        <v>10173</v>
      </c>
      <c r="D5706" t="s">
        <v>10242</v>
      </c>
      <c r="F5706" s="76">
        <v>110</v>
      </c>
      <c r="G5706" s="57" t="s">
        <v>13819</v>
      </c>
      <c r="H5706" s="57" t="s">
        <v>1114</v>
      </c>
    </row>
    <row r="5707" spans="2:8" ht="13.5" customHeight="1">
      <c r="B5707" t="s">
        <v>7814</v>
      </c>
      <c r="D5707" t="s">
        <v>10243</v>
      </c>
      <c r="F5707" s="76">
        <v>114</v>
      </c>
      <c r="G5707" s="57" t="s">
        <v>13819</v>
      </c>
      <c r="H5707" s="57" t="s">
        <v>1114</v>
      </c>
    </row>
    <row r="5708" spans="2:8" ht="13.5" customHeight="1">
      <c r="B5708" t="s">
        <v>10174</v>
      </c>
      <c r="D5708" t="s">
        <v>10244</v>
      </c>
      <c r="F5708" s="76">
        <v>180</v>
      </c>
      <c r="G5708" s="57" t="s">
        <v>13819</v>
      </c>
      <c r="H5708" s="57" t="s">
        <v>1114</v>
      </c>
    </row>
    <row r="5709" spans="2:8" ht="13.5" customHeight="1">
      <c r="B5709" t="s">
        <v>10136</v>
      </c>
      <c r="D5709" t="s">
        <v>10245</v>
      </c>
      <c r="F5709" s="76">
        <v>224</v>
      </c>
      <c r="G5709" s="57" t="s">
        <v>13819</v>
      </c>
      <c r="H5709" s="57" t="s">
        <v>1114</v>
      </c>
    </row>
    <row r="5710" spans="2:8" ht="13.5" customHeight="1">
      <c r="B5710" t="s">
        <v>3922</v>
      </c>
      <c r="D5710" t="s">
        <v>3923</v>
      </c>
      <c r="F5710" s="76">
        <v>1010</v>
      </c>
      <c r="G5710" s="57" t="s">
        <v>13819</v>
      </c>
      <c r="H5710" s="57" t="s">
        <v>1114</v>
      </c>
    </row>
    <row r="5711" spans="2:8" ht="13.5" customHeight="1">
      <c r="B5711" t="s">
        <v>10175</v>
      </c>
      <c r="D5711" t="s">
        <v>10246</v>
      </c>
      <c r="F5711" s="76">
        <v>1241</v>
      </c>
      <c r="G5711" s="57" t="s">
        <v>13819</v>
      </c>
      <c r="H5711" s="57" t="s">
        <v>1114</v>
      </c>
    </row>
    <row r="5712" spans="2:8" ht="13.5" customHeight="1">
      <c r="B5712" t="s">
        <v>10176</v>
      </c>
      <c r="D5712" t="s">
        <v>3901</v>
      </c>
      <c r="F5712" s="76">
        <v>2505</v>
      </c>
      <c r="G5712" s="57" t="s">
        <v>13819</v>
      </c>
      <c r="H5712" s="57" t="s">
        <v>1114</v>
      </c>
    </row>
    <row r="5713" spans="2:8" ht="13.5" customHeight="1">
      <c r="B5713" t="s">
        <v>10177</v>
      </c>
      <c r="D5713" t="s">
        <v>10247</v>
      </c>
      <c r="F5713" s="76">
        <v>12</v>
      </c>
      <c r="G5713" s="57" t="s">
        <v>13819</v>
      </c>
      <c r="H5713" s="57" t="s">
        <v>13768</v>
      </c>
    </row>
    <row r="5714" spans="2:8" ht="13.5" customHeight="1">
      <c r="B5714" t="s">
        <v>10248</v>
      </c>
      <c r="D5714">
        <v>151340600</v>
      </c>
      <c r="F5714" s="76">
        <v>2</v>
      </c>
      <c r="G5714" s="57" t="s">
        <v>13819</v>
      </c>
      <c r="H5714" s="57" t="s">
        <v>1115</v>
      </c>
    </row>
    <row r="5715" spans="2:8" ht="13.5" customHeight="1">
      <c r="B5715" t="s">
        <v>10249</v>
      </c>
      <c r="D5715" t="s">
        <v>10273</v>
      </c>
      <c r="F5715" s="76">
        <v>4</v>
      </c>
      <c r="G5715" s="57" t="s">
        <v>13819</v>
      </c>
      <c r="H5715" s="57" t="s">
        <v>1115</v>
      </c>
    </row>
    <row r="5716" spans="2:8" ht="13.5" customHeight="1">
      <c r="B5716" t="s">
        <v>329</v>
      </c>
      <c r="D5716" t="s">
        <v>57</v>
      </c>
      <c r="F5716" s="76">
        <v>4</v>
      </c>
      <c r="G5716" s="57" t="s">
        <v>13819</v>
      </c>
      <c r="H5716" s="57" t="s">
        <v>1115</v>
      </c>
    </row>
    <row r="5717" spans="2:8" ht="13.5" customHeight="1">
      <c r="B5717" t="s">
        <v>10250</v>
      </c>
      <c r="D5717" t="s">
        <v>10274</v>
      </c>
      <c r="F5717" s="76">
        <v>4</v>
      </c>
      <c r="G5717" s="57" t="s">
        <v>13819</v>
      </c>
      <c r="H5717" s="57" t="s">
        <v>1115</v>
      </c>
    </row>
    <row r="5718" spans="2:8" ht="13.5" customHeight="1">
      <c r="B5718" t="s">
        <v>3191</v>
      </c>
      <c r="D5718" t="s">
        <v>1369</v>
      </c>
      <c r="F5718" s="76">
        <v>6</v>
      </c>
      <c r="G5718" s="57" t="s">
        <v>13819</v>
      </c>
      <c r="H5718" s="57" t="s">
        <v>1115</v>
      </c>
    </row>
    <row r="5719" spans="2:8" ht="13.5" customHeight="1">
      <c r="B5719" t="s">
        <v>7438</v>
      </c>
      <c r="D5719" t="s">
        <v>10275</v>
      </c>
      <c r="F5719" s="76">
        <v>7</v>
      </c>
      <c r="G5719" s="57" t="s">
        <v>13819</v>
      </c>
      <c r="H5719" s="57" t="s">
        <v>1115</v>
      </c>
    </row>
    <row r="5720" spans="2:8" ht="13.5" customHeight="1">
      <c r="B5720" t="s">
        <v>9918</v>
      </c>
      <c r="D5720" t="s">
        <v>10276</v>
      </c>
      <c r="F5720" s="76">
        <v>8</v>
      </c>
      <c r="G5720" s="57" t="s">
        <v>13819</v>
      </c>
      <c r="H5720" s="57" t="s">
        <v>1115</v>
      </c>
    </row>
    <row r="5721" spans="2:8" ht="13.5" customHeight="1">
      <c r="B5721" t="s">
        <v>803</v>
      </c>
      <c r="D5721" t="s">
        <v>5320</v>
      </c>
      <c r="F5721" s="76">
        <v>9</v>
      </c>
      <c r="G5721" s="57" t="s">
        <v>13819</v>
      </c>
      <c r="H5721" s="57" t="s">
        <v>1115</v>
      </c>
    </row>
    <row r="5722" spans="2:8" ht="13.5" customHeight="1">
      <c r="B5722" t="s">
        <v>10251</v>
      </c>
      <c r="D5722" t="s">
        <v>10277</v>
      </c>
      <c r="F5722" s="76">
        <v>10</v>
      </c>
      <c r="G5722" s="57" t="s">
        <v>13819</v>
      </c>
      <c r="H5722" s="57" t="s">
        <v>1115</v>
      </c>
    </row>
    <row r="5723" spans="2:8" ht="13.5" customHeight="1">
      <c r="B5723" t="s">
        <v>10252</v>
      </c>
      <c r="D5723" t="s">
        <v>10278</v>
      </c>
      <c r="F5723" s="76">
        <v>10</v>
      </c>
      <c r="G5723" s="57" t="s">
        <v>13819</v>
      </c>
      <c r="H5723" s="57" t="s">
        <v>1115</v>
      </c>
    </row>
    <row r="5724" spans="2:8" ht="13.5" customHeight="1">
      <c r="B5724" t="s">
        <v>7811</v>
      </c>
      <c r="D5724" t="s">
        <v>10279</v>
      </c>
      <c r="F5724" s="76">
        <v>10</v>
      </c>
      <c r="G5724" s="57" t="s">
        <v>13819</v>
      </c>
      <c r="H5724" s="57" t="s">
        <v>1115</v>
      </c>
    </row>
    <row r="5725" spans="2:8" ht="13.5" customHeight="1">
      <c r="B5725" t="s">
        <v>10253</v>
      </c>
      <c r="D5725" t="s">
        <v>10280</v>
      </c>
      <c r="F5725" s="76">
        <v>10</v>
      </c>
      <c r="G5725" s="57" t="s">
        <v>13819</v>
      </c>
      <c r="H5725" s="57" t="s">
        <v>1115</v>
      </c>
    </row>
    <row r="5726" spans="2:8" ht="13.5" customHeight="1">
      <c r="B5726" t="s">
        <v>10073</v>
      </c>
      <c r="D5726" t="s">
        <v>3262</v>
      </c>
      <c r="F5726" s="76">
        <v>10</v>
      </c>
      <c r="G5726" s="57" t="s">
        <v>13819</v>
      </c>
      <c r="H5726" s="57" t="s">
        <v>1115</v>
      </c>
    </row>
    <row r="5727" spans="2:8" ht="13.5" customHeight="1">
      <c r="B5727" t="s">
        <v>4068</v>
      </c>
      <c r="D5727" t="s">
        <v>4069</v>
      </c>
      <c r="F5727" s="76">
        <v>10</v>
      </c>
      <c r="G5727" s="57" t="s">
        <v>13819</v>
      </c>
      <c r="H5727" s="57" t="s">
        <v>1115</v>
      </c>
    </row>
    <row r="5728" spans="2:8" ht="13.5" customHeight="1">
      <c r="B5728" t="s">
        <v>10254</v>
      </c>
      <c r="D5728" t="s">
        <v>10281</v>
      </c>
      <c r="F5728" s="76">
        <v>10</v>
      </c>
      <c r="G5728" s="57" t="s">
        <v>13819</v>
      </c>
      <c r="H5728" s="57" t="s">
        <v>1115</v>
      </c>
    </row>
    <row r="5729" spans="2:8" ht="13.5" customHeight="1">
      <c r="B5729" t="s">
        <v>856</v>
      </c>
      <c r="D5729" t="s">
        <v>10282</v>
      </c>
      <c r="F5729" s="76">
        <v>10</v>
      </c>
      <c r="G5729" s="57" t="s">
        <v>13819</v>
      </c>
      <c r="H5729" s="57" t="s">
        <v>1115</v>
      </c>
    </row>
    <row r="5730" spans="2:8" ht="13.5" customHeight="1">
      <c r="B5730" t="s">
        <v>10255</v>
      </c>
      <c r="D5730" t="s">
        <v>10283</v>
      </c>
      <c r="F5730" s="76">
        <v>10</v>
      </c>
      <c r="G5730" s="57" t="s">
        <v>13819</v>
      </c>
      <c r="H5730" s="57" t="s">
        <v>1115</v>
      </c>
    </row>
    <row r="5731" spans="2:8" ht="13.5" customHeight="1">
      <c r="B5731" t="s">
        <v>10256</v>
      </c>
      <c r="D5731" t="s">
        <v>10284</v>
      </c>
      <c r="F5731" s="76">
        <v>10</v>
      </c>
      <c r="G5731" s="57" t="s">
        <v>13819</v>
      </c>
      <c r="H5731" s="57" t="s">
        <v>1115</v>
      </c>
    </row>
    <row r="5732" spans="2:8" ht="13.5" customHeight="1">
      <c r="B5732" t="s">
        <v>10257</v>
      </c>
      <c r="D5732" t="s">
        <v>10285</v>
      </c>
      <c r="F5732" s="76">
        <v>10</v>
      </c>
      <c r="G5732" s="57" t="s">
        <v>13819</v>
      </c>
      <c r="H5732" s="57" t="s">
        <v>1115</v>
      </c>
    </row>
    <row r="5733" spans="2:8" ht="13.5" customHeight="1">
      <c r="B5733" t="s">
        <v>10258</v>
      </c>
      <c r="D5733" t="s">
        <v>10286</v>
      </c>
      <c r="F5733" s="76">
        <v>11</v>
      </c>
      <c r="G5733" s="57" t="s">
        <v>13819</v>
      </c>
      <c r="H5733" s="57" t="s">
        <v>1115</v>
      </c>
    </row>
    <row r="5734" spans="2:8" ht="13.5" customHeight="1">
      <c r="B5734" t="s">
        <v>10259</v>
      </c>
      <c r="D5734" t="s">
        <v>10287</v>
      </c>
      <c r="F5734" s="76">
        <v>13</v>
      </c>
      <c r="G5734" s="57" t="s">
        <v>13819</v>
      </c>
      <c r="H5734" s="57" t="s">
        <v>1115</v>
      </c>
    </row>
    <row r="5735" spans="2:8" ht="13.5" customHeight="1">
      <c r="B5735" t="s">
        <v>10260</v>
      </c>
      <c r="D5735" t="s">
        <v>10288</v>
      </c>
      <c r="F5735" s="76">
        <v>15</v>
      </c>
      <c r="G5735" s="57" t="s">
        <v>13819</v>
      </c>
      <c r="H5735" s="57" t="s">
        <v>1115</v>
      </c>
    </row>
    <row r="5736" spans="2:8" ht="13.5" customHeight="1">
      <c r="B5736" t="s">
        <v>229</v>
      </c>
      <c r="D5736" t="s">
        <v>10289</v>
      </c>
      <c r="F5736" s="76">
        <v>21</v>
      </c>
      <c r="G5736" s="57" t="s">
        <v>13819</v>
      </c>
      <c r="H5736" s="57" t="s">
        <v>1115</v>
      </c>
    </row>
    <row r="5737" spans="2:8" ht="13.5" customHeight="1">
      <c r="B5737" t="s">
        <v>8232</v>
      </c>
      <c r="D5737" t="s">
        <v>10290</v>
      </c>
      <c r="F5737" s="76">
        <v>36</v>
      </c>
      <c r="G5737" s="57" t="s">
        <v>13819</v>
      </c>
      <c r="H5737" s="57" t="s">
        <v>1115</v>
      </c>
    </row>
    <row r="5738" spans="2:8" ht="13.5" customHeight="1">
      <c r="B5738" t="s">
        <v>10261</v>
      </c>
      <c r="D5738" t="s">
        <v>10291</v>
      </c>
      <c r="F5738" s="76">
        <v>50</v>
      </c>
      <c r="G5738" s="57" t="s">
        <v>13819</v>
      </c>
      <c r="H5738" s="57" t="s">
        <v>1115</v>
      </c>
    </row>
    <row r="5739" spans="2:8" ht="13.5" customHeight="1">
      <c r="B5739" t="s">
        <v>10262</v>
      </c>
      <c r="D5739" t="s">
        <v>10292</v>
      </c>
      <c r="F5739" s="76">
        <v>51</v>
      </c>
      <c r="G5739" s="57" t="s">
        <v>13819</v>
      </c>
      <c r="H5739" s="57" t="s">
        <v>1115</v>
      </c>
    </row>
    <row r="5740" spans="2:8" ht="13.5" customHeight="1">
      <c r="B5740" t="s">
        <v>229</v>
      </c>
      <c r="D5740" t="s">
        <v>10293</v>
      </c>
      <c r="F5740" s="76">
        <v>54</v>
      </c>
      <c r="G5740" s="57" t="s">
        <v>13819</v>
      </c>
      <c r="H5740" s="57" t="s">
        <v>1115</v>
      </c>
    </row>
    <row r="5741" spans="2:8" ht="13.5" customHeight="1">
      <c r="B5741" t="s">
        <v>10263</v>
      </c>
      <c r="D5741" t="s">
        <v>10294</v>
      </c>
      <c r="F5741" s="76">
        <v>72</v>
      </c>
      <c r="G5741" s="57" t="s">
        <v>13819</v>
      </c>
      <c r="H5741" s="57" t="s">
        <v>1115</v>
      </c>
    </row>
    <row r="5742" spans="2:8" ht="13.5" customHeight="1">
      <c r="B5742" t="s">
        <v>10264</v>
      </c>
      <c r="D5742" t="s">
        <v>10295</v>
      </c>
      <c r="F5742" s="76">
        <v>73</v>
      </c>
      <c r="G5742" s="57" t="s">
        <v>13819</v>
      </c>
      <c r="H5742" s="57" t="s">
        <v>1115</v>
      </c>
    </row>
    <row r="5743" spans="2:8" ht="13.5" customHeight="1">
      <c r="B5743" t="s">
        <v>10265</v>
      </c>
      <c r="D5743" t="s">
        <v>10296</v>
      </c>
      <c r="F5743" s="76">
        <v>96</v>
      </c>
      <c r="G5743" s="57" t="s">
        <v>13819</v>
      </c>
      <c r="H5743" s="57" t="s">
        <v>1115</v>
      </c>
    </row>
    <row r="5744" spans="2:8" ht="13.5" customHeight="1">
      <c r="B5744" t="s">
        <v>10266</v>
      </c>
      <c r="D5744" t="s">
        <v>5523</v>
      </c>
      <c r="F5744" s="76">
        <v>104</v>
      </c>
      <c r="G5744" s="57" t="s">
        <v>13819</v>
      </c>
      <c r="H5744" s="57" t="s">
        <v>1115</v>
      </c>
    </row>
    <row r="5745" spans="2:8" ht="13.5" customHeight="1">
      <c r="B5745" t="s">
        <v>10267</v>
      </c>
      <c r="D5745" t="s">
        <v>10297</v>
      </c>
      <c r="F5745" s="76">
        <v>114</v>
      </c>
      <c r="G5745" s="57" t="s">
        <v>13819</v>
      </c>
      <c r="H5745" s="57" t="s">
        <v>1115</v>
      </c>
    </row>
    <row r="5746" spans="2:8" ht="13.5" customHeight="1">
      <c r="B5746" t="s">
        <v>10268</v>
      </c>
      <c r="D5746" t="s">
        <v>10298</v>
      </c>
      <c r="F5746" s="76">
        <v>134</v>
      </c>
      <c r="G5746" s="57" t="s">
        <v>13819</v>
      </c>
      <c r="H5746" s="57" t="s">
        <v>1115</v>
      </c>
    </row>
    <row r="5747" spans="2:8" ht="13.5" customHeight="1">
      <c r="B5747" t="s">
        <v>2963</v>
      </c>
      <c r="D5747" t="s">
        <v>10299</v>
      </c>
      <c r="F5747" s="76">
        <v>152</v>
      </c>
      <c r="G5747" s="57" t="s">
        <v>13819</v>
      </c>
      <c r="H5747" s="57" t="s">
        <v>1115</v>
      </c>
    </row>
    <row r="5748" spans="2:8" ht="13.5" customHeight="1">
      <c r="B5748" t="s">
        <v>10269</v>
      </c>
      <c r="D5748" t="s">
        <v>10300</v>
      </c>
      <c r="F5748" s="76">
        <v>266</v>
      </c>
      <c r="G5748" s="57" t="s">
        <v>13819</v>
      </c>
      <c r="H5748" s="57" t="s">
        <v>1115</v>
      </c>
    </row>
    <row r="5749" spans="2:8" ht="13.5" customHeight="1">
      <c r="B5749" t="s">
        <v>10270</v>
      </c>
      <c r="D5749" t="s">
        <v>3698</v>
      </c>
      <c r="F5749" s="76">
        <v>274</v>
      </c>
      <c r="G5749" s="57" t="s">
        <v>13819</v>
      </c>
      <c r="H5749" s="57" t="s">
        <v>1115</v>
      </c>
    </row>
    <row r="5750" spans="2:8" ht="13.5" customHeight="1">
      <c r="B5750" t="s">
        <v>10271</v>
      </c>
      <c r="D5750" t="s">
        <v>10301</v>
      </c>
      <c r="F5750" s="76">
        <v>541</v>
      </c>
      <c r="G5750" s="57" t="s">
        <v>13819</v>
      </c>
      <c r="H5750" s="57" t="s">
        <v>1115</v>
      </c>
    </row>
    <row r="5751" spans="2:8" ht="13.5" customHeight="1">
      <c r="B5751" t="s">
        <v>10272</v>
      </c>
      <c r="D5751" t="s">
        <v>4570</v>
      </c>
      <c r="F5751" s="76">
        <v>3655</v>
      </c>
      <c r="G5751" s="57" t="s">
        <v>13819</v>
      </c>
      <c r="H5751" s="57" t="s">
        <v>1115</v>
      </c>
    </row>
    <row r="5752" spans="2:8" ht="13.5" customHeight="1">
      <c r="B5752" t="s">
        <v>10302</v>
      </c>
      <c r="D5752" t="s">
        <v>10344</v>
      </c>
      <c r="F5752" s="76">
        <v>1</v>
      </c>
      <c r="G5752" s="57" t="s">
        <v>13819</v>
      </c>
      <c r="H5752" s="57" t="s">
        <v>1117</v>
      </c>
    </row>
    <row r="5753" spans="2:8" ht="13.5" customHeight="1">
      <c r="B5753" t="s">
        <v>10303</v>
      </c>
      <c r="D5753" t="s">
        <v>10345</v>
      </c>
      <c r="F5753" s="76">
        <v>2</v>
      </c>
      <c r="G5753" s="57" t="s">
        <v>13819</v>
      </c>
      <c r="H5753" s="57" t="s">
        <v>1117</v>
      </c>
    </row>
    <row r="5754" spans="2:8" ht="13.5" customHeight="1">
      <c r="B5754" t="s">
        <v>10304</v>
      </c>
      <c r="D5754" t="s">
        <v>10346</v>
      </c>
      <c r="F5754" s="76">
        <v>2</v>
      </c>
      <c r="G5754" s="57" t="s">
        <v>13819</v>
      </c>
      <c r="H5754" s="57" t="s">
        <v>1117</v>
      </c>
    </row>
    <row r="5755" spans="2:8" ht="13.5" customHeight="1">
      <c r="B5755" t="s">
        <v>10305</v>
      </c>
      <c r="D5755" t="s">
        <v>10347</v>
      </c>
      <c r="F5755" s="76">
        <v>2</v>
      </c>
      <c r="G5755" s="57" t="s">
        <v>13819</v>
      </c>
      <c r="H5755" s="57" t="s">
        <v>1117</v>
      </c>
    </row>
    <row r="5756" spans="2:8" ht="13.5" customHeight="1">
      <c r="B5756" t="s">
        <v>9945</v>
      </c>
      <c r="D5756" t="s">
        <v>10348</v>
      </c>
      <c r="F5756" s="76">
        <v>2</v>
      </c>
      <c r="G5756" s="57" t="s">
        <v>13819</v>
      </c>
      <c r="H5756" s="57" t="s">
        <v>1117</v>
      </c>
    </row>
    <row r="5757" spans="2:8" ht="13.5" customHeight="1">
      <c r="B5757" t="s">
        <v>9945</v>
      </c>
      <c r="D5757" t="s">
        <v>10349</v>
      </c>
      <c r="F5757" s="76">
        <v>2</v>
      </c>
      <c r="G5757" s="57" t="s">
        <v>13819</v>
      </c>
      <c r="H5757" s="57" t="s">
        <v>1117</v>
      </c>
    </row>
    <row r="5758" spans="2:8" ht="13.5" customHeight="1">
      <c r="B5758" t="s">
        <v>10306</v>
      </c>
      <c r="D5758" t="s">
        <v>10350</v>
      </c>
      <c r="F5758" s="76">
        <v>3</v>
      </c>
      <c r="G5758" s="57" t="s">
        <v>13819</v>
      </c>
      <c r="H5758" s="57" t="s">
        <v>1117</v>
      </c>
    </row>
    <row r="5759" spans="2:8" ht="13.5" customHeight="1">
      <c r="B5759" t="s">
        <v>10307</v>
      </c>
      <c r="D5759" t="s">
        <v>10351</v>
      </c>
      <c r="F5759" s="76">
        <v>3</v>
      </c>
      <c r="G5759" s="57" t="s">
        <v>13819</v>
      </c>
      <c r="H5759" s="57" t="s">
        <v>1117</v>
      </c>
    </row>
    <row r="5760" spans="2:8" ht="13.5" customHeight="1">
      <c r="B5760" t="s">
        <v>10308</v>
      </c>
      <c r="D5760" t="s">
        <v>10352</v>
      </c>
      <c r="F5760" s="76">
        <v>3</v>
      </c>
      <c r="G5760" s="57" t="s">
        <v>13819</v>
      </c>
      <c r="H5760" s="57" t="s">
        <v>1117</v>
      </c>
    </row>
    <row r="5761" spans="2:8" ht="13.5" customHeight="1">
      <c r="B5761" t="s">
        <v>10309</v>
      </c>
      <c r="D5761" t="s">
        <v>10353</v>
      </c>
      <c r="F5761" s="76">
        <v>3</v>
      </c>
      <c r="G5761" s="57" t="s">
        <v>13819</v>
      </c>
      <c r="H5761" s="57" t="s">
        <v>1117</v>
      </c>
    </row>
    <row r="5762" spans="2:8" ht="13.5" customHeight="1">
      <c r="B5762" t="s">
        <v>10310</v>
      </c>
      <c r="D5762" t="s">
        <v>10354</v>
      </c>
      <c r="F5762" s="76">
        <v>3</v>
      </c>
      <c r="G5762" s="57" t="s">
        <v>13819</v>
      </c>
      <c r="H5762" s="57" t="s">
        <v>1117</v>
      </c>
    </row>
    <row r="5763" spans="2:8" ht="13.5" customHeight="1">
      <c r="B5763" t="s">
        <v>10311</v>
      </c>
      <c r="D5763" t="s">
        <v>10355</v>
      </c>
      <c r="F5763" s="76">
        <v>4</v>
      </c>
      <c r="G5763" s="57" t="s">
        <v>13819</v>
      </c>
      <c r="H5763" s="57" t="s">
        <v>1117</v>
      </c>
    </row>
    <row r="5764" spans="2:8" ht="13.5" customHeight="1">
      <c r="B5764" t="s">
        <v>10312</v>
      </c>
      <c r="D5764" t="s">
        <v>10356</v>
      </c>
      <c r="F5764" s="76">
        <v>4</v>
      </c>
      <c r="G5764" s="57" t="s">
        <v>13819</v>
      </c>
      <c r="H5764" s="57" t="s">
        <v>1117</v>
      </c>
    </row>
    <row r="5765" spans="2:8" ht="13.5" customHeight="1">
      <c r="B5765" t="s">
        <v>10313</v>
      </c>
      <c r="D5765" t="s">
        <v>10357</v>
      </c>
      <c r="F5765" s="76">
        <v>4</v>
      </c>
      <c r="G5765" s="57" t="s">
        <v>13819</v>
      </c>
      <c r="H5765" s="57" t="s">
        <v>1117</v>
      </c>
    </row>
    <row r="5766" spans="2:8" ht="13.5" customHeight="1">
      <c r="B5766" t="s">
        <v>10314</v>
      </c>
      <c r="D5766" t="s">
        <v>7103</v>
      </c>
      <c r="F5766" s="76">
        <v>4</v>
      </c>
      <c r="G5766" s="57" t="s">
        <v>13819</v>
      </c>
      <c r="H5766" s="57" t="s">
        <v>1117</v>
      </c>
    </row>
    <row r="5767" spans="2:8" ht="13.5" customHeight="1">
      <c r="B5767" t="s">
        <v>10315</v>
      </c>
      <c r="D5767" t="s">
        <v>10358</v>
      </c>
      <c r="F5767" s="76">
        <v>5</v>
      </c>
      <c r="G5767" s="57" t="s">
        <v>13819</v>
      </c>
      <c r="H5767" s="57" t="s">
        <v>1117</v>
      </c>
    </row>
    <row r="5768" spans="2:8" ht="13.5" customHeight="1">
      <c r="B5768" t="s">
        <v>10316</v>
      </c>
      <c r="D5768" t="s">
        <v>10359</v>
      </c>
      <c r="F5768" s="76">
        <v>5</v>
      </c>
      <c r="G5768" s="57" t="s">
        <v>13819</v>
      </c>
      <c r="H5768" s="57" t="s">
        <v>1117</v>
      </c>
    </row>
    <row r="5769" spans="2:8" ht="13.5" customHeight="1">
      <c r="B5769" t="s">
        <v>251</v>
      </c>
      <c r="D5769" t="s">
        <v>42</v>
      </c>
      <c r="F5769" s="76">
        <v>5</v>
      </c>
      <c r="G5769" s="57" t="s">
        <v>13819</v>
      </c>
      <c r="H5769" s="57" t="s">
        <v>1117</v>
      </c>
    </row>
    <row r="5770" spans="2:8" ht="13.5" customHeight="1">
      <c r="B5770" t="s">
        <v>10317</v>
      </c>
      <c r="D5770" t="s">
        <v>10360</v>
      </c>
      <c r="F5770" s="76">
        <v>6</v>
      </c>
      <c r="G5770" s="57" t="s">
        <v>13819</v>
      </c>
      <c r="H5770" s="57" t="s">
        <v>1117</v>
      </c>
    </row>
    <row r="5771" spans="2:8" ht="13.5" customHeight="1">
      <c r="B5771" t="s">
        <v>9694</v>
      </c>
      <c r="D5771" t="s">
        <v>10361</v>
      </c>
      <c r="F5771" s="76">
        <v>6</v>
      </c>
      <c r="G5771" s="57" t="s">
        <v>13819</v>
      </c>
      <c r="H5771" s="57" t="s">
        <v>1117</v>
      </c>
    </row>
    <row r="5772" spans="2:8" ht="13.5" customHeight="1">
      <c r="B5772" t="s">
        <v>10318</v>
      </c>
      <c r="D5772" t="s">
        <v>10362</v>
      </c>
      <c r="F5772" s="76">
        <v>6</v>
      </c>
      <c r="G5772" s="57" t="s">
        <v>13819</v>
      </c>
      <c r="H5772" s="57" t="s">
        <v>1117</v>
      </c>
    </row>
    <row r="5773" spans="2:8" ht="13.5" customHeight="1">
      <c r="B5773" t="s">
        <v>10319</v>
      </c>
      <c r="D5773" t="s">
        <v>10363</v>
      </c>
      <c r="F5773" s="76">
        <v>9</v>
      </c>
      <c r="G5773" s="57" t="s">
        <v>13819</v>
      </c>
      <c r="H5773" s="57" t="s">
        <v>1117</v>
      </c>
    </row>
    <row r="5774" spans="2:8" ht="13.5" customHeight="1">
      <c r="B5774" t="s">
        <v>10320</v>
      </c>
      <c r="D5774" t="s">
        <v>10364</v>
      </c>
      <c r="F5774" s="76">
        <v>10</v>
      </c>
      <c r="G5774" s="57" t="s">
        <v>13819</v>
      </c>
      <c r="H5774" s="57" t="s">
        <v>1117</v>
      </c>
    </row>
    <row r="5775" spans="2:8" ht="13.5" customHeight="1">
      <c r="B5775" t="s">
        <v>3191</v>
      </c>
      <c r="D5775" t="s">
        <v>10365</v>
      </c>
      <c r="F5775" s="76">
        <v>10</v>
      </c>
      <c r="G5775" s="57" t="s">
        <v>13819</v>
      </c>
      <c r="H5775" s="57" t="s">
        <v>1117</v>
      </c>
    </row>
    <row r="5776" spans="2:8" ht="13.5" customHeight="1">
      <c r="B5776" t="s">
        <v>10321</v>
      </c>
      <c r="D5776" t="s">
        <v>10366</v>
      </c>
      <c r="F5776" s="76">
        <v>10</v>
      </c>
      <c r="G5776" s="57" t="s">
        <v>13819</v>
      </c>
      <c r="H5776" s="57" t="s">
        <v>1117</v>
      </c>
    </row>
    <row r="5777" spans="2:8" ht="13.5" customHeight="1">
      <c r="B5777" t="s">
        <v>10322</v>
      </c>
      <c r="D5777" t="s">
        <v>10367</v>
      </c>
      <c r="F5777" s="76">
        <v>10</v>
      </c>
      <c r="G5777" s="57" t="s">
        <v>13819</v>
      </c>
      <c r="H5777" s="57" t="s">
        <v>1117</v>
      </c>
    </row>
    <row r="5778" spans="2:8" ht="13.5" customHeight="1">
      <c r="B5778" t="s">
        <v>10323</v>
      </c>
      <c r="D5778" t="s">
        <v>10368</v>
      </c>
      <c r="F5778" s="76">
        <v>10</v>
      </c>
      <c r="G5778" s="57" t="s">
        <v>13819</v>
      </c>
      <c r="H5778" s="57" t="s">
        <v>1117</v>
      </c>
    </row>
    <row r="5779" spans="2:8" ht="13.5" customHeight="1">
      <c r="B5779" t="s">
        <v>10324</v>
      </c>
      <c r="D5779" t="s">
        <v>10369</v>
      </c>
      <c r="F5779" s="76">
        <v>10</v>
      </c>
      <c r="G5779" s="57" t="s">
        <v>13819</v>
      </c>
      <c r="H5779" s="57" t="s">
        <v>1117</v>
      </c>
    </row>
    <row r="5780" spans="2:8" ht="13.5" customHeight="1">
      <c r="B5780" t="s">
        <v>10325</v>
      </c>
      <c r="D5780" t="s">
        <v>10370</v>
      </c>
      <c r="F5780" s="76">
        <v>10</v>
      </c>
      <c r="G5780" s="57" t="s">
        <v>13819</v>
      </c>
      <c r="H5780" s="57" t="s">
        <v>1117</v>
      </c>
    </row>
    <row r="5781" spans="2:8" ht="13.5" customHeight="1">
      <c r="B5781" t="s">
        <v>10326</v>
      </c>
      <c r="D5781" t="s">
        <v>10371</v>
      </c>
      <c r="F5781" s="76">
        <v>10</v>
      </c>
      <c r="G5781" s="57" t="s">
        <v>13819</v>
      </c>
      <c r="H5781" s="57" t="s">
        <v>1117</v>
      </c>
    </row>
    <row r="5782" spans="2:8" ht="13.5" customHeight="1">
      <c r="B5782" t="s">
        <v>10327</v>
      </c>
      <c r="D5782" t="s">
        <v>10372</v>
      </c>
      <c r="F5782" s="76">
        <v>10</v>
      </c>
      <c r="G5782" s="57" t="s">
        <v>13819</v>
      </c>
      <c r="H5782" s="57" t="s">
        <v>1117</v>
      </c>
    </row>
    <row r="5783" spans="2:8" ht="13.5" customHeight="1">
      <c r="B5783" t="s">
        <v>6113</v>
      </c>
      <c r="D5783" t="s">
        <v>10373</v>
      </c>
      <c r="F5783" s="76">
        <v>11</v>
      </c>
      <c r="G5783" s="57" t="s">
        <v>13819</v>
      </c>
      <c r="H5783" s="57" t="s">
        <v>1117</v>
      </c>
    </row>
    <row r="5784" spans="2:8" ht="13.5" customHeight="1">
      <c r="B5784" t="s">
        <v>10328</v>
      </c>
      <c r="D5784" t="s">
        <v>10374</v>
      </c>
      <c r="F5784" s="76">
        <v>12</v>
      </c>
      <c r="G5784" s="57" t="s">
        <v>13819</v>
      </c>
      <c r="H5784" s="57" t="s">
        <v>1117</v>
      </c>
    </row>
    <row r="5785" spans="2:8" ht="13.5" customHeight="1">
      <c r="B5785" t="s">
        <v>10329</v>
      </c>
      <c r="D5785" t="s">
        <v>10375</v>
      </c>
      <c r="F5785" s="76">
        <v>18</v>
      </c>
      <c r="G5785" s="57" t="s">
        <v>13819</v>
      </c>
      <c r="H5785" s="57" t="s">
        <v>1117</v>
      </c>
    </row>
    <row r="5786" spans="2:8" ht="13.5" customHeight="1">
      <c r="B5786" t="s">
        <v>10141</v>
      </c>
      <c r="D5786" t="s">
        <v>10376</v>
      </c>
      <c r="F5786" s="76">
        <v>20</v>
      </c>
      <c r="G5786" s="57" t="s">
        <v>13819</v>
      </c>
      <c r="H5786" s="57" t="s">
        <v>1117</v>
      </c>
    </row>
    <row r="5787" spans="2:8" ht="13.5" customHeight="1">
      <c r="B5787" t="s">
        <v>6041</v>
      </c>
      <c r="D5787" t="s">
        <v>10377</v>
      </c>
      <c r="F5787" s="76">
        <v>20</v>
      </c>
      <c r="G5787" s="57" t="s">
        <v>13819</v>
      </c>
      <c r="H5787" s="57" t="s">
        <v>1117</v>
      </c>
    </row>
    <row r="5788" spans="2:8" ht="13.5" customHeight="1">
      <c r="B5788" t="s">
        <v>10330</v>
      </c>
      <c r="D5788" t="s">
        <v>10378</v>
      </c>
      <c r="F5788" s="76">
        <v>20</v>
      </c>
      <c r="G5788" s="57" t="s">
        <v>13819</v>
      </c>
      <c r="H5788" s="57" t="s">
        <v>1117</v>
      </c>
    </row>
    <row r="5789" spans="2:8" ht="13.5" customHeight="1">
      <c r="B5789" t="s">
        <v>10331</v>
      </c>
      <c r="D5789" t="s">
        <v>10379</v>
      </c>
      <c r="F5789" s="76">
        <v>20</v>
      </c>
      <c r="G5789" s="57" t="s">
        <v>13819</v>
      </c>
      <c r="H5789" s="57" t="s">
        <v>1117</v>
      </c>
    </row>
    <row r="5790" spans="2:8" ht="13.5" customHeight="1">
      <c r="B5790" t="s">
        <v>10332</v>
      </c>
      <c r="D5790" t="s">
        <v>10380</v>
      </c>
      <c r="F5790" s="76">
        <v>20</v>
      </c>
      <c r="G5790" s="57" t="s">
        <v>13819</v>
      </c>
      <c r="H5790" s="57" t="s">
        <v>1117</v>
      </c>
    </row>
    <row r="5791" spans="2:8" ht="13.5" customHeight="1">
      <c r="B5791" t="s">
        <v>10333</v>
      </c>
      <c r="D5791" t="s">
        <v>10381</v>
      </c>
      <c r="F5791" s="76">
        <v>20</v>
      </c>
      <c r="G5791" s="57" t="s">
        <v>13819</v>
      </c>
      <c r="H5791" s="57" t="s">
        <v>1117</v>
      </c>
    </row>
    <row r="5792" spans="2:8" ht="13.5" customHeight="1">
      <c r="B5792" t="s">
        <v>10334</v>
      </c>
      <c r="D5792" t="s">
        <v>10382</v>
      </c>
      <c r="F5792" s="76">
        <v>26</v>
      </c>
      <c r="G5792" s="57" t="s">
        <v>13819</v>
      </c>
      <c r="H5792" s="57" t="s">
        <v>1117</v>
      </c>
    </row>
    <row r="5793" spans="2:8" ht="13.5" customHeight="1">
      <c r="B5793" t="s">
        <v>10335</v>
      </c>
      <c r="D5793" t="s">
        <v>10383</v>
      </c>
      <c r="F5793" s="76">
        <v>38</v>
      </c>
      <c r="G5793" s="57" t="s">
        <v>13819</v>
      </c>
      <c r="H5793" s="57" t="s">
        <v>1117</v>
      </c>
    </row>
    <row r="5794" spans="2:8" ht="13.5" customHeight="1">
      <c r="B5794" t="s">
        <v>10336</v>
      </c>
      <c r="D5794" t="s">
        <v>6221</v>
      </c>
      <c r="F5794" s="76">
        <v>40</v>
      </c>
      <c r="G5794" s="57" t="s">
        <v>13819</v>
      </c>
      <c r="H5794" s="57" t="s">
        <v>1117</v>
      </c>
    </row>
    <row r="5795" spans="2:8" ht="13.5" customHeight="1">
      <c r="B5795" t="s">
        <v>10337</v>
      </c>
      <c r="D5795" t="s">
        <v>10384</v>
      </c>
      <c r="F5795" s="76">
        <v>42</v>
      </c>
      <c r="G5795" s="57" t="s">
        <v>13819</v>
      </c>
      <c r="H5795" s="57" t="s">
        <v>1117</v>
      </c>
    </row>
    <row r="5796" spans="2:8" ht="13.5" customHeight="1">
      <c r="B5796" t="s">
        <v>10338</v>
      </c>
      <c r="D5796" t="s">
        <v>10385</v>
      </c>
      <c r="F5796" s="76">
        <v>45</v>
      </c>
      <c r="G5796" s="57" t="s">
        <v>13819</v>
      </c>
      <c r="H5796" s="57" t="s">
        <v>1117</v>
      </c>
    </row>
    <row r="5797" spans="2:8" ht="13.5" customHeight="1">
      <c r="B5797" t="s">
        <v>4753</v>
      </c>
      <c r="D5797" t="s">
        <v>10386</v>
      </c>
      <c r="F5797" s="76">
        <v>50</v>
      </c>
      <c r="G5797" s="57" t="s">
        <v>13819</v>
      </c>
      <c r="H5797" s="57" t="s">
        <v>1117</v>
      </c>
    </row>
    <row r="5798" spans="2:8" ht="13.5" customHeight="1">
      <c r="B5798" t="s">
        <v>10339</v>
      </c>
      <c r="D5798" t="s">
        <v>10387</v>
      </c>
      <c r="F5798" s="76">
        <v>50</v>
      </c>
      <c r="G5798" s="57" t="s">
        <v>13819</v>
      </c>
      <c r="H5798" s="57" t="s">
        <v>1117</v>
      </c>
    </row>
    <row r="5799" spans="2:8" ht="13.5" customHeight="1">
      <c r="B5799" t="s">
        <v>10058</v>
      </c>
      <c r="D5799" t="s">
        <v>10388</v>
      </c>
      <c r="F5799" s="76">
        <v>50</v>
      </c>
      <c r="G5799" s="57" t="s">
        <v>13819</v>
      </c>
      <c r="H5799" s="57" t="s">
        <v>1117</v>
      </c>
    </row>
    <row r="5800" spans="2:8" ht="13.5" customHeight="1">
      <c r="B5800" t="s">
        <v>10340</v>
      </c>
      <c r="D5800" t="s">
        <v>10389</v>
      </c>
      <c r="F5800" s="76">
        <v>50</v>
      </c>
      <c r="G5800" s="57" t="s">
        <v>13819</v>
      </c>
      <c r="H5800" s="57" t="s">
        <v>1117</v>
      </c>
    </row>
    <row r="5801" spans="2:8" ht="13.5" customHeight="1">
      <c r="B5801" t="s">
        <v>10341</v>
      </c>
      <c r="D5801" t="s">
        <v>10390</v>
      </c>
      <c r="F5801" s="76">
        <v>50</v>
      </c>
      <c r="G5801" s="57" t="s">
        <v>13819</v>
      </c>
      <c r="H5801" s="57" t="s">
        <v>1117</v>
      </c>
    </row>
    <row r="5802" spans="2:8" ht="13.5" customHeight="1">
      <c r="B5802" t="s">
        <v>10342</v>
      </c>
      <c r="D5802" t="s">
        <v>10391</v>
      </c>
      <c r="F5802" s="76">
        <v>61</v>
      </c>
      <c r="G5802" s="57" t="s">
        <v>13819</v>
      </c>
      <c r="H5802" s="57" t="s">
        <v>1117</v>
      </c>
    </row>
    <row r="5803" spans="2:8" ht="13.5" customHeight="1">
      <c r="B5803" t="s">
        <v>10343</v>
      </c>
      <c r="D5803" t="s">
        <v>10392</v>
      </c>
      <c r="F5803" s="76">
        <v>62</v>
      </c>
      <c r="G5803" s="57" t="s">
        <v>13819</v>
      </c>
      <c r="H5803" s="57" t="s">
        <v>1117</v>
      </c>
    </row>
    <row r="5804" spans="2:8" ht="13.5" customHeight="1">
      <c r="B5804" t="s">
        <v>7616</v>
      </c>
      <c r="D5804" t="s">
        <v>10425</v>
      </c>
      <c r="F5804" s="76">
        <v>1</v>
      </c>
      <c r="G5804" s="57" t="s">
        <v>13819</v>
      </c>
      <c r="H5804" s="57" t="s">
        <v>1347</v>
      </c>
    </row>
    <row r="5805" spans="2:8" ht="13.5" customHeight="1">
      <c r="B5805" t="s">
        <v>10393</v>
      </c>
      <c r="D5805" t="s">
        <v>10426</v>
      </c>
      <c r="F5805" s="76">
        <v>1</v>
      </c>
      <c r="G5805" s="57" t="s">
        <v>13819</v>
      </c>
      <c r="H5805" s="57" t="s">
        <v>1347</v>
      </c>
    </row>
    <row r="5806" spans="2:8" ht="13.5" customHeight="1">
      <c r="B5806" t="s">
        <v>10394</v>
      </c>
      <c r="D5806" t="s">
        <v>10427</v>
      </c>
      <c r="F5806" s="76">
        <v>1</v>
      </c>
      <c r="G5806" s="57" t="s">
        <v>13819</v>
      </c>
      <c r="H5806" s="57" t="s">
        <v>1347</v>
      </c>
    </row>
    <row r="5807" spans="2:8" ht="13.5" customHeight="1">
      <c r="B5807" t="s">
        <v>10395</v>
      </c>
      <c r="D5807" t="s">
        <v>10428</v>
      </c>
      <c r="F5807" s="76">
        <v>1</v>
      </c>
      <c r="G5807" s="57" t="s">
        <v>13819</v>
      </c>
      <c r="H5807" s="57" t="s">
        <v>1347</v>
      </c>
    </row>
    <row r="5808" spans="2:8" ht="13.5" customHeight="1">
      <c r="B5808" t="s">
        <v>10396</v>
      </c>
      <c r="D5808">
        <v>5025850470</v>
      </c>
      <c r="F5808" s="76">
        <v>1</v>
      </c>
      <c r="G5808" s="57" t="s">
        <v>13819</v>
      </c>
      <c r="H5808" s="57" t="s">
        <v>1347</v>
      </c>
    </row>
    <row r="5809" spans="2:8" ht="13.5" customHeight="1">
      <c r="B5809" t="s">
        <v>10397</v>
      </c>
      <c r="D5809" t="s">
        <v>10429</v>
      </c>
      <c r="F5809" s="76">
        <v>1</v>
      </c>
      <c r="G5809" s="57" t="s">
        <v>13819</v>
      </c>
      <c r="H5809" s="57" t="s">
        <v>1347</v>
      </c>
    </row>
    <row r="5810" spans="2:8" ht="13.5" customHeight="1">
      <c r="B5810" t="s">
        <v>10398</v>
      </c>
      <c r="D5810" t="s">
        <v>10430</v>
      </c>
      <c r="F5810" s="76">
        <v>2</v>
      </c>
      <c r="G5810" s="57" t="s">
        <v>13819</v>
      </c>
      <c r="H5810" s="57" t="s">
        <v>1347</v>
      </c>
    </row>
    <row r="5811" spans="2:8" ht="13.5" customHeight="1">
      <c r="B5811" t="s">
        <v>10399</v>
      </c>
      <c r="D5811" t="s">
        <v>10431</v>
      </c>
      <c r="F5811" s="76">
        <v>2</v>
      </c>
      <c r="G5811" s="57" t="s">
        <v>13819</v>
      </c>
      <c r="H5811" s="57" t="s">
        <v>1347</v>
      </c>
    </row>
    <row r="5812" spans="2:8" ht="13.5" customHeight="1">
      <c r="B5812" t="s">
        <v>10400</v>
      </c>
      <c r="D5812" t="s">
        <v>10432</v>
      </c>
      <c r="F5812" s="76">
        <v>2</v>
      </c>
      <c r="G5812" s="57" t="s">
        <v>13819</v>
      </c>
      <c r="H5812" s="57" t="s">
        <v>1347</v>
      </c>
    </row>
    <row r="5813" spans="2:8" ht="13.5" customHeight="1">
      <c r="B5813" t="s">
        <v>10401</v>
      </c>
      <c r="D5813" t="s">
        <v>10433</v>
      </c>
      <c r="F5813" s="76">
        <v>3</v>
      </c>
      <c r="G5813" s="57" t="s">
        <v>13819</v>
      </c>
      <c r="H5813" s="57" t="s">
        <v>1347</v>
      </c>
    </row>
    <row r="5814" spans="2:8" ht="13.5" customHeight="1">
      <c r="B5814" t="s">
        <v>10402</v>
      </c>
      <c r="D5814" t="s">
        <v>10434</v>
      </c>
      <c r="F5814" s="76">
        <v>3</v>
      </c>
      <c r="G5814" s="57" t="s">
        <v>13819</v>
      </c>
      <c r="H5814" s="57" t="s">
        <v>1347</v>
      </c>
    </row>
    <row r="5815" spans="2:8" ht="13.5" customHeight="1">
      <c r="B5815" t="s">
        <v>10403</v>
      </c>
      <c r="D5815" t="s">
        <v>10435</v>
      </c>
      <c r="F5815" s="76">
        <v>4</v>
      </c>
      <c r="G5815" s="57" t="s">
        <v>13819</v>
      </c>
      <c r="H5815" s="57" t="s">
        <v>1347</v>
      </c>
    </row>
    <row r="5816" spans="2:8" ht="13.5" customHeight="1">
      <c r="B5816" t="s">
        <v>10404</v>
      </c>
      <c r="D5816">
        <v>2132271470</v>
      </c>
      <c r="F5816" s="76">
        <v>4</v>
      </c>
      <c r="G5816" s="57" t="s">
        <v>13819</v>
      </c>
      <c r="H5816" s="57" t="s">
        <v>1347</v>
      </c>
    </row>
    <row r="5817" spans="2:8" ht="13.5" customHeight="1">
      <c r="B5817" t="s">
        <v>10405</v>
      </c>
      <c r="D5817" t="s">
        <v>10436</v>
      </c>
      <c r="F5817" s="76">
        <v>6</v>
      </c>
      <c r="G5817" s="57" t="s">
        <v>13819</v>
      </c>
      <c r="H5817" s="57" t="s">
        <v>1347</v>
      </c>
    </row>
    <row r="5818" spans="2:8" ht="13.5" customHeight="1">
      <c r="B5818" t="s">
        <v>10406</v>
      </c>
      <c r="D5818" t="s">
        <v>10437</v>
      </c>
      <c r="F5818" s="76">
        <v>6</v>
      </c>
      <c r="G5818" s="57" t="s">
        <v>13819</v>
      </c>
      <c r="H5818" s="57" t="s">
        <v>1347</v>
      </c>
    </row>
    <row r="5819" spans="2:8" ht="13.5" customHeight="1">
      <c r="B5819" t="s">
        <v>10407</v>
      </c>
      <c r="D5819" t="s">
        <v>10438</v>
      </c>
      <c r="F5819" s="76">
        <v>10</v>
      </c>
      <c r="G5819" s="57" t="s">
        <v>13819</v>
      </c>
      <c r="H5819" s="57" t="s">
        <v>1347</v>
      </c>
    </row>
    <row r="5820" spans="2:8" ht="13.5" customHeight="1">
      <c r="B5820" t="s">
        <v>10408</v>
      </c>
      <c r="D5820" t="s">
        <v>10439</v>
      </c>
      <c r="F5820" s="76">
        <v>10</v>
      </c>
      <c r="G5820" s="57" t="s">
        <v>13819</v>
      </c>
      <c r="H5820" s="57" t="s">
        <v>1347</v>
      </c>
    </row>
    <row r="5821" spans="2:8" ht="13.5" customHeight="1">
      <c r="B5821" t="s">
        <v>10409</v>
      </c>
      <c r="D5821" t="s">
        <v>10440</v>
      </c>
      <c r="F5821" s="76">
        <v>10</v>
      </c>
      <c r="G5821" s="57" t="s">
        <v>13819</v>
      </c>
      <c r="H5821" s="57" t="s">
        <v>1347</v>
      </c>
    </row>
    <row r="5822" spans="2:8" ht="13.5" customHeight="1">
      <c r="B5822" t="s">
        <v>10410</v>
      </c>
      <c r="D5822" t="s">
        <v>10441</v>
      </c>
      <c r="F5822" s="76">
        <v>10</v>
      </c>
      <c r="G5822" s="57" t="s">
        <v>13819</v>
      </c>
      <c r="H5822" s="57" t="s">
        <v>1347</v>
      </c>
    </row>
    <row r="5823" spans="2:8" ht="13.5" customHeight="1">
      <c r="B5823" t="s">
        <v>10411</v>
      </c>
      <c r="D5823" t="s">
        <v>10442</v>
      </c>
      <c r="F5823" s="76">
        <v>10</v>
      </c>
      <c r="G5823" s="57" t="s">
        <v>13819</v>
      </c>
      <c r="H5823" s="57" t="s">
        <v>1347</v>
      </c>
    </row>
    <row r="5824" spans="2:8" ht="13.5" customHeight="1">
      <c r="B5824" t="s">
        <v>10412</v>
      </c>
      <c r="D5824" t="s">
        <v>10443</v>
      </c>
      <c r="F5824" s="76">
        <v>11</v>
      </c>
      <c r="G5824" s="57" t="s">
        <v>13819</v>
      </c>
      <c r="H5824" s="57" t="s">
        <v>1347</v>
      </c>
    </row>
    <row r="5825" spans="2:8" ht="13.5" customHeight="1">
      <c r="B5825" t="s">
        <v>10413</v>
      </c>
      <c r="D5825" t="s">
        <v>10444</v>
      </c>
      <c r="F5825" s="76">
        <v>12</v>
      </c>
      <c r="G5825" s="57" t="s">
        <v>13819</v>
      </c>
      <c r="H5825" s="57" t="s">
        <v>1347</v>
      </c>
    </row>
    <row r="5826" spans="2:8" ht="13.5" customHeight="1">
      <c r="B5826" t="s">
        <v>10414</v>
      </c>
      <c r="D5826" t="s">
        <v>10445</v>
      </c>
      <c r="F5826" s="76">
        <v>15</v>
      </c>
      <c r="G5826" s="57" t="s">
        <v>13819</v>
      </c>
      <c r="H5826" s="57" t="s">
        <v>1347</v>
      </c>
    </row>
    <row r="5827" spans="2:8" ht="13.5" customHeight="1">
      <c r="B5827" t="s">
        <v>10415</v>
      </c>
      <c r="D5827" t="s">
        <v>10446</v>
      </c>
      <c r="F5827" s="76">
        <v>20</v>
      </c>
      <c r="G5827" s="57" t="s">
        <v>13819</v>
      </c>
      <c r="H5827" s="57" t="s">
        <v>1347</v>
      </c>
    </row>
    <row r="5828" spans="2:8" ht="13.5" customHeight="1">
      <c r="B5828" t="s">
        <v>10416</v>
      </c>
      <c r="D5828" t="s">
        <v>10447</v>
      </c>
      <c r="F5828" s="76">
        <v>20</v>
      </c>
      <c r="G5828" s="57" t="s">
        <v>13819</v>
      </c>
      <c r="H5828" s="57" t="s">
        <v>1347</v>
      </c>
    </row>
    <row r="5829" spans="2:8" ht="13.5" customHeight="1">
      <c r="B5829" t="s">
        <v>10417</v>
      </c>
      <c r="D5829" t="s">
        <v>10448</v>
      </c>
      <c r="F5829" s="76">
        <v>20</v>
      </c>
      <c r="G5829" s="57" t="s">
        <v>13819</v>
      </c>
      <c r="H5829" s="57" t="s">
        <v>1347</v>
      </c>
    </row>
    <row r="5830" spans="2:8" ht="13.5" customHeight="1">
      <c r="B5830" t="s">
        <v>10418</v>
      </c>
      <c r="D5830" t="s">
        <v>10449</v>
      </c>
      <c r="F5830" s="76">
        <v>20</v>
      </c>
      <c r="G5830" s="57" t="s">
        <v>13819</v>
      </c>
      <c r="H5830" s="57" t="s">
        <v>1347</v>
      </c>
    </row>
    <row r="5831" spans="2:8" ht="13.5" customHeight="1">
      <c r="B5831" t="s">
        <v>10419</v>
      </c>
      <c r="D5831" t="s">
        <v>10450</v>
      </c>
      <c r="F5831" s="76">
        <v>20</v>
      </c>
      <c r="G5831" s="57" t="s">
        <v>13819</v>
      </c>
      <c r="H5831" s="57" t="s">
        <v>1347</v>
      </c>
    </row>
    <row r="5832" spans="2:8" ht="13.5" customHeight="1">
      <c r="B5832" t="s">
        <v>10420</v>
      </c>
      <c r="D5832" t="s">
        <v>10451</v>
      </c>
      <c r="F5832" s="76">
        <v>36</v>
      </c>
      <c r="G5832" s="57" t="s">
        <v>13819</v>
      </c>
      <c r="H5832" s="57" t="s">
        <v>1347</v>
      </c>
    </row>
    <row r="5833" spans="2:8" ht="13.5" customHeight="1">
      <c r="B5833" t="s">
        <v>10421</v>
      </c>
      <c r="D5833" t="s">
        <v>10452</v>
      </c>
      <c r="F5833" s="76">
        <v>41</v>
      </c>
      <c r="G5833" s="57" t="s">
        <v>13819</v>
      </c>
      <c r="H5833" s="57" t="s">
        <v>1347</v>
      </c>
    </row>
    <row r="5834" spans="2:8" ht="13.5" customHeight="1">
      <c r="B5834" t="s">
        <v>10422</v>
      </c>
      <c r="D5834" t="s">
        <v>10453</v>
      </c>
      <c r="F5834" s="76">
        <v>50</v>
      </c>
      <c r="G5834" s="57" t="s">
        <v>13819</v>
      </c>
      <c r="H5834" s="57" t="s">
        <v>1347</v>
      </c>
    </row>
    <row r="5835" spans="2:8" ht="13.5" customHeight="1">
      <c r="B5835" t="s">
        <v>10423</v>
      </c>
      <c r="D5835" t="s">
        <v>10454</v>
      </c>
      <c r="F5835" s="76">
        <v>53</v>
      </c>
      <c r="G5835" s="57" t="s">
        <v>13819</v>
      </c>
      <c r="H5835" s="57" t="s">
        <v>1347</v>
      </c>
    </row>
    <row r="5836" spans="2:8" ht="13.5" customHeight="1">
      <c r="B5836" t="s">
        <v>10424</v>
      </c>
      <c r="D5836" t="s">
        <v>10455</v>
      </c>
      <c r="F5836" s="76">
        <v>465</v>
      </c>
      <c r="G5836" s="57" t="s">
        <v>13819</v>
      </c>
      <c r="H5836" s="57" t="s">
        <v>1347</v>
      </c>
    </row>
    <row r="5837" spans="2:8" ht="13.5" customHeight="1">
      <c r="B5837" t="s">
        <v>10456</v>
      </c>
      <c r="D5837" t="s">
        <v>10485</v>
      </c>
      <c r="F5837" s="76">
        <v>2</v>
      </c>
      <c r="G5837" s="57" t="s">
        <v>13819</v>
      </c>
      <c r="H5837" s="57" t="s">
        <v>1354</v>
      </c>
    </row>
    <row r="5838" spans="2:8" ht="13.5" customHeight="1">
      <c r="B5838" t="s">
        <v>10457</v>
      </c>
      <c r="D5838" t="s">
        <v>10486</v>
      </c>
      <c r="F5838" s="76">
        <v>2</v>
      </c>
      <c r="G5838" s="57" t="s">
        <v>13819</v>
      </c>
      <c r="H5838" s="57" t="s">
        <v>1354</v>
      </c>
    </row>
    <row r="5839" spans="2:8" ht="13.5" customHeight="1">
      <c r="B5839" t="s">
        <v>10458</v>
      </c>
      <c r="D5839" t="s">
        <v>10487</v>
      </c>
      <c r="F5839" s="76">
        <v>4</v>
      </c>
      <c r="G5839" s="57" t="s">
        <v>13819</v>
      </c>
      <c r="H5839" s="57" t="s">
        <v>1354</v>
      </c>
    </row>
    <row r="5840" spans="2:8" ht="13.5" customHeight="1">
      <c r="B5840" t="s">
        <v>10459</v>
      </c>
      <c r="D5840" t="s">
        <v>10488</v>
      </c>
      <c r="F5840" s="76">
        <v>4</v>
      </c>
      <c r="G5840" s="57" t="s">
        <v>13819</v>
      </c>
      <c r="H5840" s="57" t="s">
        <v>1354</v>
      </c>
    </row>
    <row r="5841" spans="2:8" ht="13.5" customHeight="1">
      <c r="B5841" t="s">
        <v>9786</v>
      </c>
      <c r="D5841" t="s">
        <v>10489</v>
      </c>
      <c r="F5841" s="76">
        <v>4</v>
      </c>
      <c r="G5841" s="57" t="s">
        <v>13819</v>
      </c>
      <c r="H5841" s="57" t="s">
        <v>1354</v>
      </c>
    </row>
    <row r="5842" spans="2:8" ht="13.5" customHeight="1">
      <c r="B5842" t="s">
        <v>10460</v>
      </c>
      <c r="D5842" t="s">
        <v>7221</v>
      </c>
      <c r="F5842" s="76">
        <v>6</v>
      </c>
      <c r="G5842" s="57" t="s">
        <v>13819</v>
      </c>
      <c r="H5842" s="57" t="s">
        <v>1354</v>
      </c>
    </row>
    <row r="5843" spans="2:8" ht="13.5" customHeight="1">
      <c r="B5843" t="s">
        <v>2771</v>
      </c>
      <c r="D5843" t="s">
        <v>10490</v>
      </c>
      <c r="F5843" s="76">
        <v>7</v>
      </c>
      <c r="G5843" s="57" t="s">
        <v>13819</v>
      </c>
      <c r="H5843" s="57" t="s">
        <v>1354</v>
      </c>
    </row>
    <row r="5844" spans="2:8" ht="13.5" customHeight="1">
      <c r="B5844" t="s">
        <v>10461</v>
      </c>
      <c r="D5844" t="s">
        <v>10491</v>
      </c>
      <c r="F5844" s="76">
        <v>9</v>
      </c>
      <c r="G5844" s="57" t="s">
        <v>13819</v>
      </c>
      <c r="H5844" s="57" t="s">
        <v>1354</v>
      </c>
    </row>
    <row r="5845" spans="2:8" ht="13.5" customHeight="1">
      <c r="B5845" t="s">
        <v>10462</v>
      </c>
      <c r="D5845" t="s">
        <v>7201</v>
      </c>
      <c r="F5845" s="76">
        <v>9</v>
      </c>
      <c r="G5845" s="57" t="s">
        <v>13819</v>
      </c>
      <c r="H5845" s="57" t="s">
        <v>1354</v>
      </c>
    </row>
    <row r="5846" spans="2:8" ht="13.5" customHeight="1">
      <c r="B5846" t="s">
        <v>7878</v>
      </c>
      <c r="D5846" t="s">
        <v>1103</v>
      </c>
      <c r="F5846" s="76">
        <v>10</v>
      </c>
      <c r="G5846" s="57" t="s">
        <v>13819</v>
      </c>
      <c r="H5846" s="57" t="s">
        <v>1354</v>
      </c>
    </row>
    <row r="5847" spans="2:8" ht="13.5" customHeight="1">
      <c r="B5847" t="s">
        <v>5218</v>
      </c>
      <c r="D5847" t="s">
        <v>10492</v>
      </c>
      <c r="F5847" s="76">
        <v>11</v>
      </c>
      <c r="G5847" s="57" t="s">
        <v>13819</v>
      </c>
      <c r="H5847" s="57" t="s">
        <v>1354</v>
      </c>
    </row>
    <row r="5848" spans="2:8" ht="13.5" customHeight="1">
      <c r="B5848" t="s">
        <v>10463</v>
      </c>
      <c r="D5848" t="s">
        <v>10493</v>
      </c>
      <c r="F5848" s="76">
        <v>12</v>
      </c>
      <c r="G5848" s="57" t="s">
        <v>13819</v>
      </c>
      <c r="H5848" s="57" t="s">
        <v>1354</v>
      </c>
    </row>
    <row r="5849" spans="2:8" ht="13.5" customHeight="1">
      <c r="B5849" t="s">
        <v>10464</v>
      </c>
      <c r="D5849" t="s">
        <v>10494</v>
      </c>
      <c r="F5849" s="76">
        <v>17</v>
      </c>
      <c r="G5849" s="57" t="s">
        <v>13819</v>
      </c>
      <c r="H5849" s="57" t="s">
        <v>1354</v>
      </c>
    </row>
    <row r="5850" spans="2:8" ht="13.5" customHeight="1">
      <c r="B5850" t="s">
        <v>10465</v>
      </c>
      <c r="D5850" t="s">
        <v>10495</v>
      </c>
      <c r="F5850" s="76">
        <v>20</v>
      </c>
      <c r="G5850" s="57" t="s">
        <v>13819</v>
      </c>
      <c r="H5850" s="57" t="s">
        <v>1354</v>
      </c>
    </row>
    <row r="5851" spans="2:8" ht="13.5" customHeight="1">
      <c r="B5851" t="s">
        <v>4905</v>
      </c>
      <c r="D5851" t="s">
        <v>10496</v>
      </c>
      <c r="F5851" s="76">
        <v>20</v>
      </c>
      <c r="G5851" s="57" t="s">
        <v>13819</v>
      </c>
      <c r="H5851" s="57" t="s">
        <v>1354</v>
      </c>
    </row>
    <row r="5852" spans="2:8" ht="13.5" customHeight="1">
      <c r="B5852" t="s">
        <v>10466</v>
      </c>
      <c r="D5852" t="s">
        <v>10497</v>
      </c>
      <c r="F5852" s="76">
        <v>33</v>
      </c>
      <c r="G5852" s="57" t="s">
        <v>13819</v>
      </c>
      <c r="H5852" s="57" t="s">
        <v>1354</v>
      </c>
    </row>
    <row r="5853" spans="2:8" ht="13.5" customHeight="1">
      <c r="B5853" t="s">
        <v>10467</v>
      </c>
      <c r="D5853" t="s">
        <v>10498</v>
      </c>
      <c r="F5853" s="76">
        <v>43</v>
      </c>
      <c r="G5853" s="57" t="s">
        <v>13819</v>
      </c>
      <c r="H5853" s="57" t="s">
        <v>1354</v>
      </c>
    </row>
    <row r="5854" spans="2:8" ht="13.5" customHeight="1">
      <c r="B5854" t="s">
        <v>10027</v>
      </c>
      <c r="D5854" t="s">
        <v>10499</v>
      </c>
      <c r="F5854" s="76">
        <v>50</v>
      </c>
      <c r="G5854" s="57" t="s">
        <v>13819</v>
      </c>
      <c r="H5854" s="57" t="s">
        <v>1354</v>
      </c>
    </row>
    <row r="5855" spans="2:8" ht="13.5" customHeight="1">
      <c r="B5855" t="s">
        <v>10468</v>
      </c>
      <c r="D5855" t="s">
        <v>10500</v>
      </c>
      <c r="F5855" s="76">
        <v>52</v>
      </c>
      <c r="G5855" s="57" t="s">
        <v>13819</v>
      </c>
      <c r="H5855" s="57" t="s">
        <v>1354</v>
      </c>
    </row>
    <row r="5856" spans="2:8" ht="13.5" customHeight="1">
      <c r="B5856" t="s">
        <v>10469</v>
      </c>
      <c r="D5856" t="s">
        <v>10501</v>
      </c>
      <c r="F5856" s="76">
        <v>55</v>
      </c>
      <c r="G5856" s="57" t="s">
        <v>13819</v>
      </c>
      <c r="H5856" s="57" t="s">
        <v>1354</v>
      </c>
    </row>
    <row r="5857" spans="2:8" ht="13.5" customHeight="1">
      <c r="B5857" t="s">
        <v>10470</v>
      </c>
      <c r="D5857" t="s">
        <v>10502</v>
      </c>
      <c r="F5857" s="76">
        <v>57</v>
      </c>
      <c r="G5857" s="57" t="s">
        <v>13819</v>
      </c>
      <c r="H5857" s="57" t="s">
        <v>1354</v>
      </c>
    </row>
    <row r="5858" spans="2:8" ht="13.5" customHeight="1">
      <c r="B5858" t="s">
        <v>10471</v>
      </c>
      <c r="D5858" t="s">
        <v>10503</v>
      </c>
      <c r="F5858" s="76">
        <v>69</v>
      </c>
      <c r="G5858" s="57" t="s">
        <v>13819</v>
      </c>
      <c r="H5858" s="57" t="s">
        <v>1354</v>
      </c>
    </row>
    <row r="5859" spans="2:8" ht="13.5" customHeight="1">
      <c r="B5859" t="s">
        <v>10472</v>
      </c>
      <c r="D5859" t="s">
        <v>10504</v>
      </c>
      <c r="F5859" s="76">
        <v>70</v>
      </c>
      <c r="G5859" s="57" t="s">
        <v>13819</v>
      </c>
      <c r="H5859" s="57" t="s">
        <v>1354</v>
      </c>
    </row>
    <row r="5860" spans="2:8" ht="13.5" customHeight="1">
      <c r="B5860" t="s">
        <v>10473</v>
      </c>
      <c r="D5860" t="s">
        <v>10505</v>
      </c>
      <c r="F5860" s="76">
        <v>70</v>
      </c>
      <c r="G5860" s="57" t="s">
        <v>13819</v>
      </c>
      <c r="H5860" s="57" t="s">
        <v>1354</v>
      </c>
    </row>
    <row r="5861" spans="2:8" ht="13.5" customHeight="1">
      <c r="B5861" t="s">
        <v>10474</v>
      </c>
      <c r="D5861" t="s">
        <v>10506</v>
      </c>
      <c r="F5861" s="76">
        <v>75</v>
      </c>
      <c r="G5861" s="57" t="s">
        <v>13819</v>
      </c>
      <c r="H5861" s="57" t="s">
        <v>1354</v>
      </c>
    </row>
    <row r="5862" spans="2:8" ht="13.5" customHeight="1">
      <c r="B5862" t="s">
        <v>10475</v>
      </c>
      <c r="D5862" t="s">
        <v>10507</v>
      </c>
      <c r="F5862" s="76">
        <v>76</v>
      </c>
      <c r="G5862" s="57" t="s">
        <v>13819</v>
      </c>
      <c r="H5862" s="57" t="s">
        <v>1354</v>
      </c>
    </row>
    <row r="5863" spans="2:8" ht="13.5" customHeight="1">
      <c r="B5863" t="s">
        <v>10476</v>
      </c>
      <c r="D5863" t="s">
        <v>10508</v>
      </c>
      <c r="F5863" s="76">
        <v>80</v>
      </c>
      <c r="G5863" s="57" t="s">
        <v>13819</v>
      </c>
      <c r="H5863" s="57" t="s">
        <v>1354</v>
      </c>
    </row>
    <row r="5864" spans="2:8" ht="13.5" customHeight="1">
      <c r="B5864" t="s">
        <v>10477</v>
      </c>
      <c r="D5864" t="s">
        <v>10509</v>
      </c>
      <c r="F5864" s="76">
        <v>80</v>
      </c>
      <c r="G5864" s="57" t="s">
        <v>13819</v>
      </c>
      <c r="H5864" s="57" t="s">
        <v>1354</v>
      </c>
    </row>
    <row r="5865" spans="2:8" ht="13.5" customHeight="1">
      <c r="B5865" t="s">
        <v>9960</v>
      </c>
      <c r="D5865" t="s">
        <v>10510</v>
      </c>
      <c r="F5865" s="76">
        <v>80</v>
      </c>
      <c r="G5865" s="57" t="s">
        <v>13819</v>
      </c>
      <c r="H5865" s="57" t="s">
        <v>1354</v>
      </c>
    </row>
    <row r="5866" spans="2:8" ht="13.5" customHeight="1">
      <c r="B5866" t="s">
        <v>10478</v>
      </c>
      <c r="D5866" t="s">
        <v>10511</v>
      </c>
      <c r="F5866" s="76">
        <v>80</v>
      </c>
      <c r="G5866" s="57" t="s">
        <v>13819</v>
      </c>
      <c r="H5866" s="57" t="s">
        <v>1354</v>
      </c>
    </row>
    <row r="5867" spans="2:8" ht="13.5" customHeight="1">
      <c r="B5867" t="s">
        <v>10479</v>
      </c>
      <c r="D5867" t="s">
        <v>10512</v>
      </c>
      <c r="F5867" s="76">
        <v>80</v>
      </c>
      <c r="G5867" s="57" t="s">
        <v>13819</v>
      </c>
      <c r="H5867" s="57" t="s">
        <v>1354</v>
      </c>
    </row>
    <row r="5868" spans="2:8" ht="13.5" customHeight="1">
      <c r="B5868" t="s">
        <v>10480</v>
      </c>
      <c r="D5868" t="s">
        <v>10513</v>
      </c>
      <c r="F5868" s="76">
        <v>80</v>
      </c>
      <c r="G5868" s="57" t="s">
        <v>13819</v>
      </c>
      <c r="H5868" s="57" t="s">
        <v>1354</v>
      </c>
    </row>
    <row r="5869" spans="2:8" ht="13.5" customHeight="1">
      <c r="B5869" t="s">
        <v>10481</v>
      </c>
      <c r="D5869" t="s">
        <v>10514</v>
      </c>
      <c r="F5869" s="76">
        <v>84</v>
      </c>
      <c r="G5869" s="57" t="s">
        <v>13819</v>
      </c>
      <c r="H5869" s="57" t="s">
        <v>1354</v>
      </c>
    </row>
    <row r="5870" spans="2:8" ht="13.5" customHeight="1">
      <c r="B5870" t="s">
        <v>10482</v>
      </c>
      <c r="D5870" t="s">
        <v>10515</v>
      </c>
      <c r="F5870" s="76">
        <v>90</v>
      </c>
      <c r="G5870" s="57" t="s">
        <v>13819</v>
      </c>
      <c r="H5870" s="57" t="s">
        <v>1354</v>
      </c>
    </row>
    <row r="5871" spans="2:8" ht="13.5" customHeight="1">
      <c r="B5871" t="s">
        <v>1744</v>
      </c>
      <c r="D5871" t="s">
        <v>10516</v>
      </c>
      <c r="F5871" s="76">
        <v>92</v>
      </c>
      <c r="G5871" s="57" t="s">
        <v>13819</v>
      </c>
      <c r="H5871" s="57" t="s">
        <v>1354</v>
      </c>
    </row>
    <row r="5872" spans="2:8" ht="13.5" customHeight="1">
      <c r="B5872" t="s">
        <v>494</v>
      </c>
      <c r="D5872" t="s">
        <v>10517</v>
      </c>
      <c r="F5872" s="76">
        <v>92</v>
      </c>
      <c r="G5872" s="57" t="s">
        <v>13819</v>
      </c>
      <c r="H5872" s="57" t="s">
        <v>1354</v>
      </c>
    </row>
    <row r="5873" spans="2:8" ht="13.5" customHeight="1">
      <c r="B5873" t="s">
        <v>10483</v>
      </c>
      <c r="D5873" t="s">
        <v>10518</v>
      </c>
      <c r="F5873" s="76">
        <v>122</v>
      </c>
      <c r="G5873" s="57" t="s">
        <v>13819</v>
      </c>
      <c r="H5873" s="57" t="s">
        <v>1354</v>
      </c>
    </row>
    <row r="5874" spans="2:8" ht="13.5" customHeight="1">
      <c r="B5874" t="s">
        <v>10484</v>
      </c>
      <c r="D5874" t="s">
        <v>10519</v>
      </c>
      <c r="F5874" s="76">
        <v>135</v>
      </c>
      <c r="G5874" s="57" t="s">
        <v>13819</v>
      </c>
      <c r="H5874" s="57" t="s">
        <v>1354</v>
      </c>
    </row>
    <row r="5875" spans="2:8" ht="13.5" customHeight="1">
      <c r="B5875" t="s">
        <v>494</v>
      </c>
      <c r="D5875" t="s">
        <v>10520</v>
      </c>
      <c r="F5875" s="76">
        <v>601</v>
      </c>
      <c r="G5875" s="57" t="s">
        <v>13819</v>
      </c>
      <c r="H5875" s="57" t="s">
        <v>1354</v>
      </c>
    </row>
    <row r="5876" spans="2:8" ht="13.5" customHeight="1">
      <c r="B5876" t="s">
        <v>2965</v>
      </c>
      <c r="D5876" t="s">
        <v>10521</v>
      </c>
      <c r="F5876" s="76">
        <v>1000</v>
      </c>
      <c r="G5876" s="57" t="s">
        <v>13819</v>
      </c>
      <c r="H5876" s="57" t="s">
        <v>1354</v>
      </c>
    </row>
    <row r="5877" spans="2:8" ht="13.5" customHeight="1">
      <c r="B5877" t="s">
        <v>10522</v>
      </c>
      <c r="D5877" t="s">
        <v>10550</v>
      </c>
      <c r="F5877" s="76">
        <v>1</v>
      </c>
      <c r="G5877" s="57" t="s">
        <v>13819</v>
      </c>
      <c r="H5877" s="57" t="s">
        <v>13769</v>
      </c>
    </row>
    <row r="5878" spans="2:8" ht="13.5" customHeight="1">
      <c r="B5878" t="s">
        <v>10523</v>
      </c>
      <c r="D5878" t="s">
        <v>10551</v>
      </c>
      <c r="F5878" s="76">
        <v>1</v>
      </c>
      <c r="G5878" s="57" t="s">
        <v>13819</v>
      </c>
      <c r="H5878" s="57" t="s">
        <v>13769</v>
      </c>
    </row>
    <row r="5879" spans="2:8" ht="13.5" customHeight="1">
      <c r="B5879" t="s">
        <v>811</v>
      </c>
      <c r="D5879" t="s">
        <v>10552</v>
      </c>
      <c r="F5879" s="76">
        <v>2</v>
      </c>
      <c r="G5879" s="57" t="s">
        <v>13819</v>
      </c>
      <c r="H5879" s="57" t="s">
        <v>13769</v>
      </c>
    </row>
    <row r="5880" spans="2:8" ht="13.5" customHeight="1">
      <c r="B5880" t="s">
        <v>10524</v>
      </c>
      <c r="D5880" t="s">
        <v>1821</v>
      </c>
      <c r="F5880" s="76">
        <v>2</v>
      </c>
      <c r="G5880" s="57" t="s">
        <v>13819</v>
      </c>
      <c r="H5880" s="57" t="s">
        <v>13769</v>
      </c>
    </row>
    <row r="5881" spans="2:8" ht="13.5" customHeight="1">
      <c r="B5881" t="s">
        <v>799</v>
      </c>
      <c r="D5881" t="s">
        <v>10553</v>
      </c>
      <c r="F5881" s="76">
        <v>2</v>
      </c>
      <c r="G5881" s="57" t="s">
        <v>13819</v>
      </c>
      <c r="H5881" s="57" t="s">
        <v>13769</v>
      </c>
    </row>
    <row r="5882" spans="2:8" ht="13.5" customHeight="1">
      <c r="B5882" t="s">
        <v>10525</v>
      </c>
      <c r="D5882" t="s">
        <v>10554</v>
      </c>
      <c r="F5882" s="76">
        <v>2</v>
      </c>
      <c r="G5882" s="57" t="s">
        <v>13819</v>
      </c>
      <c r="H5882" s="57" t="s">
        <v>13769</v>
      </c>
    </row>
    <row r="5883" spans="2:8" ht="13.5" customHeight="1">
      <c r="B5883" t="s">
        <v>10526</v>
      </c>
      <c r="D5883" t="s">
        <v>10555</v>
      </c>
      <c r="F5883" s="76">
        <v>2</v>
      </c>
      <c r="G5883" s="57" t="s">
        <v>13819</v>
      </c>
      <c r="H5883" s="57" t="s">
        <v>13769</v>
      </c>
    </row>
    <row r="5884" spans="2:8" ht="13.5" customHeight="1">
      <c r="B5884" t="s">
        <v>10527</v>
      </c>
      <c r="D5884" t="s">
        <v>10556</v>
      </c>
      <c r="F5884" s="76">
        <v>2</v>
      </c>
      <c r="G5884" s="57" t="s">
        <v>13819</v>
      </c>
      <c r="H5884" s="57" t="s">
        <v>13769</v>
      </c>
    </row>
    <row r="5885" spans="2:8" ht="13.5" customHeight="1">
      <c r="B5885" t="s">
        <v>10528</v>
      </c>
      <c r="D5885" t="s">
        <v>10557</v>
      </c>
      <c r="F5885" s="76">
        <v>2</v>
      </c>
      <c r="G5885" s="57" t="s">
        <v>13819</v>
      </c>
      <c r="H5885" s="57" t="s">
        <v>13769</v>
      </c>
    </row>
    <row r="5886" spans="2:8" ht="13.5" customHeight="1">
      <c r="B5886" t="s">
        <v>4970</v>
      </c>
      <c r="D5886" t="s">
        <v>10558</v>
      </c>
      <c r="F5886" s="76">
        <v>3</v>
      </c>
      <c r="G5886" s="57" t="s">
        <v>13819</v>
      </c>
      <c r="H5886" s="57" t="s">
        <v>13769</v>
      </c>
    </row>
    <row r="5887" spans="2:8" ht="13.5" customHeight="1">
      <c r="B5887" t="s">
        <v>10529</v>
      </c>
      <c r="D5887" t="s">
        <v>10559</v>
      </c>
      <c r="F5887" s="76">
        <v>4</v>
      </c>
      <c r="G5887" s="57" t="s">
        <v>13819</v>
      </c>
      <c r="H5887" s="57" t="s">
        <v>13769</v>
      </c>
    </row>
    <row r="5888" spans="2:8" ht="13.5" customHeight="1">
      <c r="B5888" t="s">
        <v>10530</v>
      </c>
      <c r="D5888" t="s">
        <v>10560</v>
      </c>
      <c r="F5888" s="76">
        <v>5</v>
      </c>
      <c r="G5888" s="57" t="s">
        <v>13819</v>
      </c>
      <c r="H5888" s="57" t="s">
        <v>13769</v>
      </c>
    </row>
    <row r="5889" spans="2:8" ht="13.5" customHeight="1">
      <c r="B5889" t="s">
        <v>10531</v>
      </c>
      <c r="D5889" t="s">
        <v>10561</v>
      </c>
      <c r="F5889" s="76">
        <v>5</v>
      </c>
      <c r="G5889" s="57" t="s">
        <v>13819</v>
      </c>
      <c r="H5889" s="57" t="s">
        <v>13769</v>
      </c>
    </row>
    <row r="5890" spans="2:8" ht="13.5" customHeight="1">
      <c r="B5890" t="s">
        <v>10532</v>
      </c>
      <c r="D5890" t="s">
        <v>10562</v>
      </c>
      <c r="F5890" s="76">
        <v>5</v>
      </c>
      <c r="G5890" s="57" t="s">
        <v>13819</v>
      </c>
      <c r="H5890" s="57" t="s">
        <v>13769</v>
      </c>
    </row>
    <row r="5891" spans="2:8" ht="13.5" customHeight="1">
      <c r="B5891" t="s">
        <v>10533</v>
      </c>
      <c r="D5891" t="s">
        <v>10563</v>
      </c>
      <c r="F5891" s="76">
        <v>5</v>
      </c>
      <c r="G5891" s="57" t="s">
        <v>13819</v>
      </c>
      <c r="H5891" s="57" t="s">
        <v>13769</v>
      </c>
    </row>
    <row r="5892" spans="2:8" ht="13.5" customHeight="1">
      <c r="B5892" t="s">
        <v>10534</v>
      </c>
      <c r="D5892" t="s">
        <v>10564</v>
      </c>
      <c r="F5892" s="76">
        <v>6</v>
      </c>
      <c r="G5892" s="57" t="s">
        <v>13819</v>
      </c>
      <c r="H5892" s="57" t="s">
        <v>13769</v>
      </c>
    </row>
    <row r="5893" spans="2:8" ht="13.5" customHeight="1">
      <c r="B5893" t="s">
        <v>10535</v>
      </c>
      <c r="D5893" t="s">
        <v>10565</v>
      </c>
      <c r="F5893" s="76">
        <v>6</v>
      </c>
      <c r="G5893" s="57" t="s">
        <v>13819</v>
      </c>
      <c r="H5893" s="57" t="s">
        <v>13769</v>
      </c>
    </row>
    <row r="5894" spans="2:8" ht="13.5" customHeight="1">
      <c r="B5894" t="s">
        <v>916</v>
      </c>
      <c r="D5894" t="s">
        <v>10566</v>
      </c>
      <c r="F5894" s="76">
        <v>6</v>
      </c>
      <c r="G5894" s="57" t="s">
        <v>13819</v>
      </c>
      <c r="H5894" s="57" t="s">
        <v>13769</v>
      </c>
    </row>
    <row r="5895" spans="2:8" ht="13.5" customHeight="1">
      <c r="B5895" t="s">
        <v>10536</v>
      </c>
      <c r="D5895" t="s">
        <v>10567</v>
      </c>
      <c r="F5895" s="76">
        <v>7</v>
      </c>
      <c r="G5895" s="57" t="s">
        <v>13819</v>
      </c>
      <c r="H5895" s="57" t="s">
        <v>13769</v>
      </c>
    </row>
    <row r="5896" spans="2:8" ht="13.5" customHeight="1">
      <c r="B5896" t="s">
        <v>10537</v>
      </c>
      <c r="D5896" t="s">
        <v>10568</v>
      </c>
      <c r="F5896" s="76">
        <v>8</v>
      </c>
      <c r="G5896" s="57" t="s">
        <v>13819</v>
      </c>
      <c r="H5896" s="57" t="s">
        <v>13769</v>
      </c>
    </row>
    <row r="5897" spans="2:8" ht="13.5" customHeight="1">
      <c r="B5897" t="s">
        <v>10538</v>
      </c>
      <c r="D5897" t="s">
        <v>10569</v>
      </c>
      <c r="F5897" s="76">
        <v>8</v>
      </c>
      <c r="G5897" s="57" t="s">
        <v>13819</v>
      </c>
      <c r="H5897" s="57" t="s">
        <v>13769</v>
      </c>
    </row>
    <row r="5898" spans="2:8" ht="13.5" customHeight="1">
      <c r="B5898" t="s">
        <v>10539</v>
      </c>
      <c r="D5898" t="s">
        <v>10570</v>
      </c>
      <c r="F5898" s="76">
        <v>9</v>
      </c>
      <c r="G5898" s="57" t="s">
        <v>13819</v>
      </c>
      <c r="H5898" s="57" t="s">
        <v>13769</v>
      </c>
    </row>
    <row r="5899" spans="2:8" ht="13.5" customHeight="1">
      <c r="B5899" t="s">
        <v>10540</v>
      </c>
      <c r="D5899" t="s">
        <v>10571</v>
      </c>
      <c r="F5899" s="76">
        <v>9</v>
      </c>
      <c r="G5899" s="57" t="s">
        <v>13819</v>
      </c>
      <c r="H5899" s="57" t="s">
        <v>13769</v>
      </c>
    </row>
    <row r="5900" spans="2:8" ht="13.5" customHeight="1">
      <c r="B5900" t="s">
        <v>10541</v>
      </c>
      <c r="D5900" t="s">
        <v>10572</v>
      </c>
      <c r="F5900" s="76">
        <v>10</v>
      </c>
      <c r="G5900" s="57" t="s">
        <v>13819</v>
      </c>
      <c r="H5900" s="57" t="s">
        <v>13769</v>
      </c>
    </row>
    <row r="5901" spans="2:8" ht="13.5" customHeight="1">
      <c r="B5901" t="s">
        <v>10542</v>
      </c>
      <c r="D5901" t="s">
        <v>10573</v>
      </c>
      <c r="F5901" s="76">
        <v>14</v>
      </c>
      <c r="G5901" s="57" t="s">
        <v>13819</v>
      </c>
      <c r="H5901" s="57" t="s">
        <v>13769</v>
      </c>
    </row>
    <row r="5902" spans="2:8" ht="13.5" customHeight="1">
      <c r="B5902" t="s">
        <v>10543</v>
      </c>
      <c r="D5902" t="s">
        <v>10574</v>
      </c>
      <c r="F5902" s="76">
        <v>16</v>
      </c>
      <c r="G5902" s="57" t="s">
        <v>13819</v>
      </c>
      <c r="H5902" s="57" t="s">
        <v>13769</v>
      </c>
    </row>
    <row r="5903" spans="2:8" ht="13.5" customHeight="1">
      <c r="B5903"/>
      <c r="D5903" t="s">
        <v>2108</v>
      </c>
      <c r="F5903" s="76">
        <v>21</v>
      </c>
      <c r="G5903" s="57" t="s">
        <v>13819</v>
      </c>
      <c r="H5903" s="57" t="s">
        <v>13769</v>
      </c>
    </row>
    <row r="5904" spans="2:8" ht="13.5" customHeight="1">
      <c r="B5904" t="s">
        <v>10544</v>
      </c>
      <c r="D5904" t="s">
        <v>10575</v>
      </c>
      <c r="F5904" s="76">
        <v>38</v>
      </c>
      <c r="G5904" s="57" t="s">
        <v>13819</v>
      </c>
      <c r="H5904" s="57" t="s">
        <v>13769</v>
      </c>
    </row>
    <row r="5905" spans="2:8" ht="13.5" customHeight="1">
      <c r="B5905" t="s">
        <v>10545</v>
      </c>
      <c r="D5905" t="s">
        <v>10576</v>
      </c>
      <c r="F5905" s="76">
        <v>58</v>
      </c>
      <c r="G5905" s="57" t="s">
        <v>13819</v>
      </c>
      <c r="H5905" s="57" t="s">
        <v>13769</v>
      </c>
    </row>
    <row r="5906" spans="2:8" ht="13.5" customHeight="1">
      <c r="B5906" t="s">
        <v>10546</v>
      </c>
      <c r="D5906" t="s">
        <v>10577</v>
      </c>
      <c r="F5906" s="76">
        <v>62</v>
      </c>
      <c r="G5906" s="57" t="s">
        <v>13819</v>
      </c>
      <c r="H5906" s="57" t="s">
        <v>13769</v>
      </c>
    </row>
    <row r="5907" spans="2:8" ht="13.5" customHeight="1">
      <c r="B5907" t="s">
        <v>10547</v>
      </c>
      <c r="D5907" t="s">
        <v>10578</v>
      </c>
      <c r="F5907" s="76">
        <v>75</v>
      </c>
      <c r="G5907" s="57" t="s">
        <v>13819</v>
      </c>
      <c r="H5907" s="57" t="s">
        <v>13769</v>
      </c>
    </row>
    <row r="5908" spans="2:8" ht="13.5" customHeight="1">
      <c r="B5908" t="s">
        <v>10548</v>
      </c>
      <c r="D5908" t="s">
        <v>10579</v>
      </c>
      <c r="F5908" s="76">
        <v>79</v>
      </c>
      <c r="G5908" s="57" t="s">
        <v>13819</v>
      </c>
      <c r="H5908" s="57" t="s">
        <v>13769</v>
      </c>
    </row>
    <row r="5909" spans="2:8" ht="13.5" customHeight="1">
      <c r="B5909" t="s">
        <v>10549</v>
      </c>
      <c r="D5909" t="s">
        <v>10580</v>
      </c>
      <c r="F5909" s="76">
        <v>235</v>
      </c>
      <c r="G5909" s="57" t="s">
        <v>13819</v>
      </c>
      <c r="H5909" s="57" t="s">
        <v>13769</v>
      </c>
    </row>
    <row r="5910" spans="2:8" ht="13.5" customHeight="1">
      <c r="B5910" t="s">
        <v>10581</v>
      </c>
      <c r="D5910" t="s">
        <v>10619</v>
      </c>
      <c r="F5910" s="76">
        <v>1</v>
      </c>
      <c r="G5910" s="57" t="s">
        <v>13819</v>
      </c>
      <c r="H5910" s="57" t="s">
        <v>13770</v>
      </c>
    </row>
    <row r="5911" spans="2:8" ht="13.5" customHeight="1">
      <c r="B5911" t="s">
        <v>10582</v>
      </c>
      <c r="D5911" t="s">
        <v>10620</v>
      </c>
      <c r="F5911" s="76">
        <v>2</v>
      </c>
      <c r="G5911" s="57" t="s">
        <v>13819</v>
      </c>
      <c r="H5911" s="57" t="s">
        <v>13770</v>
      </c>
    </row>
    <row r="5912" spans="2:8" ht="13.5" customHeight="1">
      <c r="B5912" t="s">
        <v>1447</v>
      </c>
      <c r="D5912" t="s">
        <v>10621</v>
      </c>
      <c r="F5912" s="76">
        <v>2</v>
      </c>
      <c r="G5912" s="57" t="s">
        <v>13819</v>
      </c>
      <c r="H5912" s="57" t="s">
        <v>13770</v>
      </c>
    </row>
    <row r="5913" spans="2:8" ht="13.5" customHeight="1">
      <c r="B5913" t="s">
        <v>10583</v>
      </c>
      <c r="D5913" t="s">
        <v>10622</v>
      </c>
      <c r="F5913" s="76">
        <v>2</v>
      </c>
      <c r="G5913" s="57" t="s">
        <v>13819</v>
      </c>
      <c r="H5913" s="57" t="s">
        <v>13770</v>
      </c>
    </row>
    <row r="5914" spans="2:8" ht="13.5" customHeight="1">
      <c r="B5914" t="s">
        <v>10584</v>
      </c>
      <c r="D5914" t="s">
        <v>10623</v>
      </c>
      <c r="F5914" s="76">
        <v>2</v>
      </c>
      <c r="G5914" s="57" t="s">
        <v>13819</v>
      </c>
      <c r="H5914" s="57" t="s">
        <v>13770</v>
      </c>
    </row>
    <row r="5915" spans="2:8" ht="13.5" customHeight="1">
      <c r="B5915" t="s">
        <v>10585</v>
      </c>
      <c r="D5915" t="s">
        <v>10624</v>
      </c>
      <c r="F5915" s="76">
        <v>2</v>
      </c>
      <c r="G5915" s="57" t="s">
        <v>13819</v>
      </c>
      <c r="H5915" s="57" t="s">
        <v>13770</v>
      </c>
    </row>
    <row r="5916" spans="2:8" ht="13.5" customHeight="1">
      <c r="B5916" t="s">
        <v>10586</v>
      </c>
      <c r="D5916" t="s">
        <v>10625</v>
      </c>
      <c r="F5916" s="76">
        <v>3</v>
      </c>
      <c r="G5916" s="57" t="s">
        <v>13819</v>
      </c>
      <c r="H5916" s="57" t="s">
        <v>13770</v>
      </c>
    </row>
    <row r="5917" spans="2:8" ht="13.5" customHeight="1">
      <c r="B5917" t="s">
        <v>494</v>
      </c>
      <c r="D5917" t="s">
        <v>10626</v>
      </c>
      <c r="F5917" s="76">
        <v>3</v>
      </c>
      <c r="G5917" s="57" t="s">
        <v>13819</v>
      </c>
      <c r="H5917" s="57" t="s">
        <v>13770</v>
      </c>
    </row>
    <row r="5918" spans="2:8" ht="13.5" customHeight="1">
      <c r="B5918" t="s">
        <v>10587</v>
      </c>
      <c r="D5918" t="s">
        <v>10627</v>
      </c>
      <c r="F5918" s="76">
        <v>4</v>
      </c>
      <c r="G5918" s="57" t="s">
        <v>13819</v>
      </c>
      <c r="H5918" s="57" t="s">
        <v>13770</v>
      </c>
    </row>
    <row r="5919" spans="2:8" ht="13.5" customHeight="1">
      <c r="B5919" t="s">
        <v>10588</v>
      </c>
      <c r="D5919" t="s">
        <v>10628</v>
      </c>
      <c r="F5919" s="76">
        <v>4</v>
      </c>
      <c r="G5919" s="57" t="s">
        <v>13819</v>
      </c>
      <c r="H5919" s="57" t="s">
        <v>13770</v>
      </c>
    </row>
    <row r="5920" spans="2:8" ht="13.5" customHeight="1">
      <c r="B5920" t="s">
        <v>10589</v>
      </c>
      <c r="D5920" t="s">
        <v>10629</v>
      </c>
      <c r="F5920" s="76">
        <v>6</v>
      </c>
      <c r="G5920" s="57" t="s">
        <v>13819</v>
      </c>
      <c r="H5920" s="57" t="s">
        <v>13770</v>
      </c>
    </row>
    <row r="5921" spans="2:8" ht="13.5" customHeight="1">
      <c r="B5921" t="s">
        <v>10590</v>
      </c>
      <c r="D5921" t="s">
        <v>10630</v>
      </c>
      <c r="F5921" s="76">
        <v>6</v>
      </c>
      <c r="G5921" s="57" t="s">
        <v>13819</v>
      </c>
      <c r="H5921" s="57" t="s">
        <v>13770</v>
      </c>
    </row>
    <row r="5922" spans="2:8" ht="13.5" customHeight="1">
      <c r="B5922" t="s">
        <v>10591</v>
      </c>
      <c r="D5922" t="s">
        <v>10631</v>
      </c>
      <c r="F5922" s="76">
        <v>6</v>
      </c>
      <c r="G5922" s="57" t="s">
        <v>13819</v>
      </c>
      <c r="H5922" s="57" t="s">
        <v>13770</v>
      </c>
    </row>
    <row r="5923" spans="2:8" ht="13.5" customHeight="1">
      <c r="B5923" t="s">
        <v>10592</v>
      </c>
      <c r="D5923" t="s">
        <v>10632</v>
      </c>
      <c r="F5923" s="76">
        <v>7</v>
      </c>
      <c r="G5923" s="57" t="s">
        <v>13819</v>
      </c>
      <c r="H5923" s="57" t="s">
        <v>13770</v>
      </c>
    </row>
    <row r="5924" spans="2:8" ht="13.5" customHeight="1">
      <c r="B5924" t="s">
        <v>10593</v>
      </c>
      <c r="D5924" t="s">
        <v>10633</v>
      </c>
      <c r="F5924" s="76">
        <v>8</v>
      </c>
      <c r="G5924" s="57" t="s">
        <v>13819</v>
      </c>
      <c r="H5924" s="57" t="s">
        <v>13770</v>
      </c>
    </row>
    <row r="5925" spans="2:8" ht="13.5" customHeight="1">
      <c r="B5925" t="s">
        <v>10594</v>
      </c>
      <c r="D5925" t="s">
        <v>2317</v>
      </c>
      <c r="F5925" s="76">
        <v>8</v>
      </c>
      <c r="G5925" s="57" t="s">
        <v>13819</v>
      </c>
      <c r="H5925" s="57" t="s">
        <v>13770</v>
      </c>
    </row>
    <row r="5926" spans="2:8" ht="13.5" customHeight="1">
      <c r="B5926" t="s">
        <v>10595</v>
      </c>
      <c r="D5926" t="s">
        <v>10634</v>
      </c>
      <c r="F5926" s="76">
        <v>8</v>
      </c>
      <c r="G5926" s="57" t="s">
        <v>13819</v>
      </c>
      <c r="H5926" s="57" t="s">
        <v>13770</v>
      </c>
    </row>
    <row r="5927" spans="2:8" ht="13.5" customHeight="1">
      <c r="B5927" t="s">
        <v>10596</v>
      </c>
      <c r="D5927" t="s">
        <v>10635</v>
      </c>
      <c r="F5927" s="76">
        <v>10</v>
      </c>
      <c r="G5927" s="57" t="s">
        <v>13819</v>
      </c>
      <c r="H5927" s="57" t="s">
        <v>13770</v>
      </c>
    </row>
    <row r="5928" spans="2:8" ht="13.5" customHeight="1">
      <c r="B5928" t="s">
        <v>10597</v>
      </c>
      <c r="D5928" t="s">
        <v>10636</v>
      </c>
      <c r="F5928" s="76">
        <v>12</v>
      </c>
      <c r="G5928" s="57" t="s">
        <v>13819</v>
      </c>
      <c r="H5928" s="57" t="s">
        <v>13770</v>
      </c>
    </row>
    <row r="5929" spans="2:8" ht="13.5" customHeight="1">
      <c r="B5929" t="s">
        <v>10598</v>
      </c>
      <c r="D5929" t="s">
        <v>10637</v>
      </c>
      <c r="F5929" s="76">
        <v>12</v>
      </c>
      <c r="G5929" s="57" t="s">
        <v>13819</v>
      </c>
      <c r="H5929" s="57" t="s">
        <v>13770</v>
      </c>
    </row>
    <row r="5930" spans="2:8" ht="13.5" customHeight="1">
      <c r="B5930" t="s">
        <v>10599</v>
      </c>
      <c r="D5930" t="s">
        <v>10638</v>
      </c>
      <c r="F5930" s="76">
        <v>13</v>
      </c>
      <c r="G5930" s="57" t="s">
        <v>13819</v>
      </c>
      <c r="H5930" s="57" t="s">
        <v>13770</v>
      </c>
    </row>
    <row r="5931" spans="2:8" ht="13.5" customHeight="1">
      <c r="B5931" t="s">
        <v>10600</v>
      </c>
      <c r="D5931" t="s">
        <v>10639</v>
      </c>
      <c r="F5931" s="76">
        <v>16</v>
      </c>
      <c r="G5931" s="57" t="s">
        <v>13819</v>
      </c>
      <c r="H5931" s="57" t="s">
        <v>13770</v>
      </c>
    </row>
    <row r="5932" spans="2:8" ht="13.5" customHeight="1">
      <c r="B5932" t="s">
        <v>10601</v>
      </c>
      <c r="D5932" t="s">
        <v>10640</v>
      </c>
      <c r="F5932" s="76">
        <v>24</v>
      </c>
      <c r="G5932" s="57" t="s">
        <v>13819</v>
      </c>
      <c r="H5932" s="57" t="s">
        <v>13770</v>
      </c>
    </row>
    <row r="5933" spans="2:8" ht="13.5" customHeight="1">
      <c r="B5933" t="s">
        <v>10602</v>
      </c>
      <c r="D5933" t="s">
        <v>10641</v>
      </c>
      <c r="F5933" s="76">
        <v>25</v>
      </c>
      <c r="G5933" s="57" t="s">
        <v>13819</v>
      </c>
      <c r="H5933" s="57" t="s">
        <v>13770</v>
      </c>
    </row>
    <row r="5934" spans="2:8" ht="13.5" customHeight="1">
      <c r="B5934" t="s">
        <v>10603</v>
      </c>
      <c r="D5934" t="s">
        <v>10642</v>
      </c>
      <c r="F5934" s="76">
        <v>34</v>
      </c>
      <c r="G5934" s="57" t="s">
        <v>13819</v>
      </c>
      <c r="H5934" s="57" t="s">
        <v>13770</v>
      </c>
    </row>
    <row r="5935" spans="2:8" ht="13.5" customHeight="1">
      <c r="B5935" t="s">
        <v>10604</v>
      </c>
      <c r="D5935" t="s">
        <v>10643</v>
      </c>
      <c r="F5935" s="76">
        <v>37</v>
      </c>
      <c r="G5935" s="57" t="s">
        <v>13819</v>
      </c>
      <c r="H5935" s="57" t="s">
        <v>13770</v>
      </c>
    </row>
    <row r="5936" spans="2:8" ht="13.5" customHeight="1">
      <c r="B5936" t="s">
        <v>10605</v>
      </c>
      <c r="D5936" t="s">
        <v>10644</v>
      </c>
      <c r="F5936" s="76">
        <v>40</v>
      </c>
      <c r="G5936" s="57" t="s">
        <v>13819</v>
      </c>
      <c r="H5936" s="57" t="s">
        <v>13770</v>
      </c>
    </row>
    <row r="5937" spans="2:8" ht="13.5" customHeight="1">
      <c r="B5937" t="s">
        <v>10606</v>
      </c>
      <c r="D5937" t="s">
        <v>10645</v>
      </c>
      <c r="F5937" s="76">
        <v>42</v>
      </c>
      <c r="G5937" s="57" t="s">
        <v>13819</v>
      </c>
      <c r="H5937" s="57" t="s">
        <v>13770</v>
      </c>
    </row>
    <row r="5938" spans="2:8" ht="13.5" customHeight="1">
      <c r="B5938" t="s">
        <v>10607</v>
      </c>
      <c r="D5938" t="s">
        <v>10646</v>
      </c>
      <c r="F5938" s="76">
        <v>42</v>
      </c>
      <c r="G5938" s="57" t="s">
        <v>13819</v>
      </c>
      <c r="H5938" s="57" t="s">
        <v>13770</v>
      </c>
    </row>
    <row r="5939" spans="2:8" ht="13.5" customHeight="1">
      <c r="B5939" t="s">
        <v>3499</v>
      </c>
      <c r="D5939" t="s">
        <v>10647</v>
      </c>
      <c r="F5939" s="76">
        <v>43</v>
      </c>
      <c r="G5939" s="57" t="s">
        <v>13819</v>
      </c>
      <c r="H5939" s="57" t="s">
        <v>13770</v>
      </c>
    </row>
    <row r="5940" spans="2:8" ht="13.5" customHeight="1">
      <c r="B5940" t="s">
        <v>10608</v>
      </c>
      <c r="D5940" t="s">
        <v>10648</v>
      </c>
      <c r="F5940" s="76">
        <v>43</v>
      </c>
      <c r="G5940" s="57" t="s">
        <v>13819</v>
      </c>
      <c r="H5940" s="57" t="s">
        <v>13770</v>
      </c>
    </row>
    <row r="5941" spans="2:8" ht="13.5" customHeight="1">
      <c r="B5941" t="s">
        <v>10609</v>
      </c>
      <c r="D5941" t="s">
        <v>10649</v>
      </c>
      <c r="F5941" s="76">
        <v>43</v>
      </c>
      <c r="G5941" s="57" t="s">
        <v>13819</v>
      </c>
      <c r="H5941" s="57" t="s">
        <v>13770</v>
      </c>
    </row>
    <row r="5942" spans="2:8" ht="13.5" customHeight="1">
      <c r="B5942" t="s">
        <v>10610</v>
      </c>
      <c r="D5942" t="s">
        <v>10650</v>
      </c>
      <c r="F5942" s="76">
        <v>45</v>
      </c>
      <c r="G5942" s="57" t="s">
        <v>13819</v>
      </c>
      <c r="H5942" s="57" t="s">
        <v>13770</v>
      </c>
    </row>
    <row r="5943" spans="2:8" ht="13.5" customHeight="1">
      <c r="B5943" t="s">
        <v>10611</v>
      </c>
      <c r="D5943" t="s">
        <v>10651</v>
      </c>
      <c r="F5943" s="76">
        <v>46</v>
      </c>
      <c r="G5943" s="57" t="s">
        <v>13819</v>
      </c>
      <c r="H5943" s="57" t="s">
        <v>13770</v>
      </c>
    </row>
    <row r="5944" spans="2:8" ht="13.5" customHeight="1">
      <c r="B5944" t="s">
        <v>7762</v>
      </c>
      <c r="D5944" t="s">
        <v>10652</v>
      </c>
      <c r="F5944" s="76">
        <v>50</v>
      </c>
      <c r="G5944" s="57" t="s">
        <v>13819</v>
      </c>
      <c r="H5944" s="57" t="s">
        <v>13770</v>
      </c>
    </row>
    <row r="5945" spans="2:8" ht="13.5" customHeight="1">
      <c r="B5945" t="s">
        <v>10612</v>
      </c>
      <c r="D5945" t="s">
        <v>10653</v>
      </c>
      <c r="F5945" s="76">
        <v>72</v>
      </c>
      <c r="G5945" s="57" t="s">
        <v>13819</v>
      </c>
      <c r="H5945" s="57" t="s">
        <v>13770</v>
      </c>
    </row>
    <row r="5946" spans="2:8" ht="13.5" customHeight="1">
      <c r="B5946" t="s">
        <v>10613</v>
      </c>
      <c r="D5946" t="s">
        <v>10654</v>
      </c>
      <c r="F5946" s="76">
        <v>84</v>
      </c>
      <c r="G5946" s="57" t="s">
        <v>13819</v>
      </c>
      <c r="H5946" s="57" t="s">
        <v>13770</v>
      </c>
    </row>
    <row r="5947" spans="2:8" ht="13.5" customHeight="1">
      <c r="B5947" t="s">
        <v>10614</v>
      </c>
      <c r="D5947" t="s">
        <v>10655</v>
      </c>
      <c r="F5947" s="76">
        <v>88</v>
      </c>
      <c r="G5947" s="57" t="s">
        <v>13819</v>
      </c>
      <c r="H5947" s="57" t="s">
        <v>13770</v>
      </c>
    </row>
    <row r="5948" spans="2:8" ht="13.5" customHeight="1">
      <c r="B5948" t="s">
        <v>10615</v>
      </c>
      <c r="D5948" t="s">
        <v>10656</v>
      </c>
      <c r="F5948" s="76">
        <v>153</v>
      </c>
      <c r="G5948" s="57" t="s">
        <v>13819</v>
      </c>
      <c r="H5948" s="57" t="s">
        <v>13770</v>
      </c>
    </row>
    <row r="5949" spans="2:8" ht="13.5" customHeight="1">
      <c r="B5949" t="s">
        <v>10616</v>
      </c>
      <c r="D5949" t="s">
        <v>10657</v>
      </c>
      <c r="F5949" s="76">
        <v>176</v>
      </c>
      <c r="G5949" s="57" t="s">
        <v>13819</v>
      </c>
      <c r="H5949" s="57" t="s">
        <v>13770</v>
      </c>
    </row>
    <row r="5950" spans="2:8" ht="13.5" customHeight="1">
      <c r="B5950" t="s">
        <v>10617</v>
      </c>
      <c r="D5950" t="s">
        <v>10658</v>
      </c>
      <c r="F5950" s="76">
        <v>270</v>
      </c>
      <c r="G5950" s="57" t="s">
        <v>13819</v>
      </c>
      <c r="H5950" s="57" t="s">
        <v>13770</v>
      </c>
    </row>
    <row r="5951" spans="2:8" ht="13.5" customHeight="1">
      <c r="B5951" t="s">
        <v>10271</v>
      </c>
      <c r="D5951" t="s">
        <v>10659</v>
      </c>
      <c r="F5951" s="76">
        <v>310</v>
      </c>
      <c r="G5951" s="57" t="s">
        <v>13819</v>
      </c>
      <c r="H5951" s="57" t="s">
        <v>13770</v>
      </c>
    </row>
    <row r="5952" spans="2:8" ht="13.5" customHeight="1">
      <c r="B5952" t="s">
        <v>10618</v>
      </c>
      <c r="D5952" t="s">
        <v>4493</v>
      </c>
      <c r="F5952" s="76">
        <v>687</v>
      </c>
      <c r="G5952" s="57" t="s">
        <v>13819</v>
      </c>
      <c r="H5952" s="57" t="s">
        <v>13770</v>
      </c>
    </row>
    <row r="5953" spans="2:8" ht="13.5" customHeight="1">
      <c r="B5953" t="s">
        <v>10660</v>
      </c>
      <c r="D5953" t="s">
        <v>10685</v>
      </c>
      <c r="F5953" s="76">
        <v>1</v>
      </c>
      <c r="G5953" s="57" t="s">
        <v>13819</v>
      </c>
      <c r="H5953" s="57" t="s">
        <v>13771</v>
      </c>
    </row>
    <row r="5954" spans="2:8" ht="13.5" customHeight="1">
      <c r="B5954" t="s">
        <v>10661</v>
      </c>
      <c r="D5954" t="s">
        <v>10686</v>
      </c>
      <c r="F5954" s="76">
        <v>1</v>
      </c>
      <c r="G5954" s="57" t="s">
        <v>13819</v>
      </c>
      <c r="H5954" s="57" t="s">
        <v>13771</v>
      </c>
    </row>
    <row r="5955" spans="2:8" ht="13.5" customHeight="1">
      <c r="B5955" t="s">
        <v>811</v>
      </c>
      <c r="D5955" t="s">
        <v>10687</v>
      </c>
      <c r="F5955" s="76">
        <v>1</v>
      </c>
      <c r="G5955" s="57" t="s">
        <v>13819</v>
      </c>
      <c r="H5955" s="57" t="s">
        <v>13771</v>
      </c>
    </row>
    <row r="5956" spans="2:8" ht="13.5" customHeight="1">
      <c r="B5956" t="s">
        <v>10662</v>
      </c>
      <c r="D5956" t="s">
        <v>10688</v>
      </c>
      <c r="F5956" s="76">
        <v>2</v>
      </c>
      <c r="G5956" s="57" t="s">
        <v>13819</v>
      </c>
      <c r="H5956" s="57" t="s">
        <v>13771</v>
      </c>
    </row>
    <row r="5957" spans="2:8" ht="13.5" customHeight="1">
      <c r="B5957" t="s">
        <v>10663</v>
      </c>
      <c r="D5957" t="s">
        <v>10689</v>
      </c>
      <c r="F5957" s="76">
        <v>2</v>
      </c>
      <c r="G5957" s="57" t="s">
        <v>13819</v>
      </c>
      <c r="H5957" s="57" t="s">
        <v>13771</v>
      </c>
    </row>
    <row r="5958" spans="2:8" ht="13.5" customHeight="1">
      <c r="B5958" t="s">
        <v>10664</v>
      </c>
      <c r="D5958" t="s">
        <v>10690</v>
      </c>
      <c r="F5958" s="76">
        <v>2</v>
      </c>
      <c r="G5958" s="57" t="s">
        <v>13819</v>
      </c>
      <c r="H5958" s="57" t="s">
        <v>13771</v>
      </c>
    </row>
    <row r="5959" spans="2:8" ht="13.5" customHeight="1">
      <c r="B5959" t="s">
        <v>3460</v>
      </c>
      <c r="D5959" t="s">
        <v>10691</v>
      </c>
      <c r="F5959" s="76">
        <v>3</v>
      </c>
      <c r="G5959" s="57" t="s">
        <v>13819</v>
      </c>
      <c r="H5959" s="57" t="s">
        <v>13771</v>
      </c>
    </row>
    <row r="5960" spans="2:8" ht="13.5" customHeight="1">
      <c r="B5960" t="s">
        <v>10169</v>
      </c>
      <c r="D5960" t="s">
        <v>10692</v>
      </c>
      <c r="F5960" s="76">
        <v>5</v>
      </c>
      <c r="G5960" s="57" t="s">
        <v>13819</v>
      </c>
      <c r="H5960" s="57" t="s">
        <v>13771</v>
      </c>
    </row>
    <row r="5961" spans="2:8" ht="13.5" customHeight="1">
      <c r="B5961" t="s">
        <v>10665</v>
      </c>
      <c r="D5961" t="s">
        <v>10693</v>
      </c>
      <c r="F5961" s="76">
        <v>5</v>
      </c>
      <c r="G5961" s="57" t="s">
        <v>13819</v>
      </c>
      <c r="H5961" s="57" t="s">
        <v>13771</v>
      </c>
    </row>
    <row r="5962" spans="2:8" ht="13.5" customHeight="1">
      <c r="B5962" t="s">
        <v>10666</v>
      </c>
      <c r="D5962" t="s">
        <v>10694</v>
      </c>
      <c r="F5962" s="76">
        <v>5</v>
      </c>
      <c r="G5962" s="57" t="s">
        <v>13819</v>
      </c>
      <c r="H5962" s="57" t="s">
        <v>13771</v>
      </c>
    </row>
    <row r="5963" spans="2:8" ht="13.5" customHeight="1">
      <c r="B5963" t="s">
        <v>10667</v>
      </c>
      <c r="D5963" t="s">
        <v>10695</v>
      </c>
      <c r="F5963" s="76">
        <v>5</v>
      </c>
      <c r="G5963" s="57" t="s">
        <v>13819</v>
      </c>
      <c r="H5963" s="57" t="s">
        <v>13771</v>
      </c>
    </row>
    <row r="5964" spans="2:8" ht="13.5" customHeight="1">
      <c r="B5964" t="s">
        <v>10668</v>
      </c>
      <c r="D5964" t="s">
        <v>10696</v>
      </c>
      <c r="F5964" s="76">
        <v>6</v>
      </c>
      <c r="G5964" s="57" t="s">
        <v>13819</v>
      </c>
      <c r="H5964" s="57" t="s">
        <v>13771</v>
      </c>
    </row>
    <row r="5965" spans="2:8" ht="13.5" customHeight="1">
      <c r="B5965" t="s">
        <v>10669</v>
      </c>
      <c r="D5965" t="s">
        <v>10697</v>
      </c>
      <c r="F5965" s="76">
        <v>8</v>
      </c>
      <c r="G5965" s="57" t="s">
        <v>13819</v>
      </c>
      <c r="H5965" s="57" t="s">
        <v>13771</v>
      </c>
    </row>
    <row r="5966" spans="2:8" ht="13.5" customHeight="1">
      <c r="B5966" t="s">
        <v>10670</v>
      </c>
      <c r="D5966" t="s">
        <v>10698</v>
      </c>
      <c r="F5966" s="76">
        <v>9</v>
      </c>
      <c r="G5966" s="57" t="s">
        <v>13819</v>
      </c>
      <c r="H5966" s="57" t="s">
        <v>13771</v>
      </c>
    </row>
    <row r="5967" spans="2:8" ht="13.5" customHeight="1">
      <c r="B5967" t="s">
        <v>10671</v>
      </c>
      <c r="D5967" t="s">
        <v>10699</v>
      </c>
      <c r="F5967" s="76">
        <v>12</v>
      </c>
      <c r="G5967" s="57" t="s">
        <v>13819</v>
      </c>
      <c r="H5967" s="57" t="s">
        <v>13771</v>
      </c>
    </row>
    <row r="5968" spans="2:8" ht="13.5" customHeight="1">
      <c r="B5968" t="s">
        <v>10672</v>
      </c>
      <c r="D5968" t="s">
        <v>10700</v>
      </c>
      <c r="F5968" s="76">
        <v>14</v>
      </c>
      <c r="G5968" s="57" t="s">
        <v>13819</v>
      </c>
      <c r="H5968" s="57" t="s">
        <v>13771</v>
      </c>
    </row>
    <row r="5969" spans="2:8" ht="13.5" customHeight="1">
      <c r="B5969"/>
      <c r="D5969" t="s">
        <v>10701</v>
      </c>
      <c r="F5969" s="76">
        <v>20</v>
      </c>
      <c r="G5969" s="57" t="s">
        <v>13819</v>
      </c>
      <c r="H5969" s="57" t="s">
        <v>13771</v>
      </c>
    </row>
    <row r="5970" spans="2:8" ht="13.5" customHeight="1">
      <c r="B5970" t="s">
        <v>10673</v>
      </c>
      <c r="D5970" t="s">
        <v>10702</v>
      </c>
      <c r="F5970" s="76">
        <v>22</v>
      </c>
      <c r="G5970" s="57" t="s">
        <v>13819</v>
      </c>
      <c r="H5970" s="57" t="s">
        <v>13771</v>
      </c>
    </row>
    <row r="5971" spans="2:8" ht="13.5" customHeight="1">
      <c r="B5971" t="s">
        <v>10674</v>
      </c>
      <c r="D5971" t="s">
        <v>10703</v>
      </c>
      <c r="F5971" s="76">
        <v>41</v>
      </c>
      <c r="G5971" s="57" t="s">
        <v>13819</v>
      </c>
      <c r="H5971" s="57" t="s">
        <v>13771</v>
      </c>
    </row>
    <row r="5972" spans="2:8" ht="13.5" customHeight="1">
      <c r="B5972" t="s">
        <v>10675</v>
      </c>
      <c r="D5972" t="s">
        <v>10704</v>
      </c>
      <c r="F5972" s="76">
        <v>50</v>
      </c>
      <c r="G5972" s="57" t="s">
        <v>13819</v>
      </c>
      <c r="H5972" s="57" t="s">
        <v>13771</v>
      </c>
    </row>
    <row r="5973" spans="2:8" ht="13.5" customHeight="1">
      <c r="B5973" t="s">
        <v>3718</v>
      </c>
      <c r="D5973" t="s">
        <v>10705</v>
      </c>
      <c r="F5973" s="76">
        <v>50</v>
      </c>
      <c r="G5973" s="57" t="s">
        <v>13819</v>
      </c>
      <c r="H5973" s="57" t="s">
        <v>13771</v>
      </c>
    </row>
    <row r="5974" spans="2:8" ht="13.5" customHeight="1">
      <c r="B5974" t="s">
        <v>10676</v>
      </c>
      <c r="D5974" t="s">
        <v>10706</v>
      </c>
      <c r="F5974" s="76">
        <v>60</v>
      </c>
      <c r="G5974" s="57" t="s">
        <v>13819</v>
      </c>
      <c r="H5974" s="57" t="s">
        <v>13771</v>
      </c>
    </row>
    <row r="5975" spans="2:8" ht="13.5" customHeight="1">
      <c r="B5975" t="s">
        <v>10677</v>
      </c>
      <c r="D5975" t="s">
        <v>10707</v>
      </c>
      <c r="F5975" s="76">
        <v>74</v>
      </c>
      <c r="G5975" s="57" t="s">
        <v>13819</v>
      </c>
      <c r="H5975" s="57" t="s">
        <v>13771</v>
      </c>
    </row>
    <row r="5976" spans="2:8" ht="13.5" customHeight="1">
      <c r="B5976" t="s">
        <v>10678</v>
      </c>
      <c r="D5976" t="s">
        <v>10708</v>
      </c>
      <c r="F5976" s="76">
        <v>77</v>
      </c>
      <c r="G5976" s="57" t="s">
        <v>13819</v>
      </c>
      <c r="H5976" s="57" t="s">
        <v>13771</v>
      </c>
    </row>
    <row r="5977" spans="2:8" ht="13.5" customHeight="1">
      <c r="B5977" t="s">
        <v>10679</v>
      </c>
      <c r="D5977" t="s">
        <v>10709</v>
      </c>
      <c r="F5977" s="76">
        <v>84</v>
      </c>
      <c r="G5977" s="57" t="s">
        <v>13819</v>
      </c>
      <c r="H5977" s="57" t="s">
        <v>13771</v>
      </c>
    </row>
    <row r="5978" spans="2:8" ht="13.5" customHeight="1">
      <c r="B5978" t="s">
        <v>10680</v>
      </c>
      <c r="D5978" t="s">
        <v>10710</v>
      </c>
      <c r="F5978" s="76">
        <v>97</v>
      </c>
      <c r="G5978" s="57" t="s">
        <v>13819</v>
      </c>
      <c r="H5978" s="57" t="s">
        <v>13771</v>
      </c>
    </row>
    <row r="5979" spans="2:8" ht="13.5" customHeight="1">
      <c r="B5979"/>
      <c r="D5979" t="s">
        <v>10711</v>
      </c>
      <c r="F5979" s="76">
        <v>101</v>
      </c>
      <c r="G5979" s="57" t="s">
        <v>13819</v>
      </c>
      <c r="H5979" s="57" t="s">
        <v>13771</v>
      </c>
    </row>
    <row r="5980" spans="2:8" ht="13.5" customHeight="1">
      <c r="B5980" t="s">
        <v>10681</v>
      </c>
      <c r="D5980" t="s">
        <v>10712</v>
      </c>
      <c r="F5980" s="76">
        <v>184</v>
      </c>
      <c r="G5980" s="57" t="s">
        <v>13819</v>
      </c>
      <c r="H5980" s="57" t="s">
        <v>13771</v>
      </c>
    </row>
    <row r="5981" spans="2:8" ht="13.5" customHeight="1">
      <c r="B5981" t="s">
        <v>10682</v>
      </c>
      <c r="D5981" t="s">
        <v>10713</v>
      </c>
      <c r="F5981" s="76">
        <v>472</v>
      </c>
      <c r="G5981" s="57" t="s">
        <v>13819</v>
      </c>
      <c r="H5981" s="57" t="s">
        <v>13771</v>
      </c>
    </row>
    <row r="5982" spans="2:8" ht="13.5" customHeight="1">
      <c r="B5982" t="s">
        <v>10683</v>
      </c>
      <c r="D5982" t="s">
        <v>1689</v>
      </c>
      <c r="F5982" s="76">
        <v>543</v>
      </c>
      <c r="G5982" s="57" t="s">
        <v>13819</v>
      </c>
      <c r="H5982" s="57" t="s">
        <v>13771</v>
      </c>
    </row>
    <row r="5983" spans="2:8" ht="13.5" customHeight="1">
      <c r="B5983" t="s">
        <v>10684</v>
      </c>
      <c r="D5983" t="s">
        <v>10714</v>
      </c>
      <c r="F5983" s="76">
        <v>980</v>
      </c>
      <c r="G5983" s="57" t="s">
        <v>13819</v>
      </c>
      <c r="H5983" s="57" t="s">
        <v>13771</v>
      </c>
    </row>
    <row r="5984" spans="2:8" ht="13.5" customHeight="1">
      <c r="B5984" t="s">
        <v>10715</v>
      </c>
      <c r="D5984" t="s">
        <v>10746</v>
      </c>
      <c r="F5984" s="76">
        <v>2</v>
      </c>
      <c r="G5984" s="57" t="s">
        <v>13819</v>
      </c>
      <c r="H5984" s="57" t="s">
        <v>1356</v>
      </c>
    </row>
    <row r="5985" spans="2:8" ht="13.5" customHeight="1">
      <c r="B5985" t="s">
        <v>10716</v>
      </c>
      <c r="D5985" t="s">
        <v>10747</v>
      </c>
      <c r="F5985" s="76">
        <v>3</v>
      </c>
      <c r="G5985" s="57" t="s">
        <v>13819</v>
      </c>
      <c r="H5985" s="57" t="s">
        <v>1356</v>
      </c>
    </row>
    <row r="5986" spans="2:8" ht="13.5" customHeight="1">
      <c r="B5986" t="s">
        <v>10717</v>
      </c>
      <c r="D5986" t="s">
        <v>10748</v>
      </c>
      <c r="F5986" s="76">
        <v>5</v>
      </c>
      <c r="G5986" s="57" t="s">
        <v>13819</v>
      </c>
      <c r="H5986" s="57" t="s">
        <v>1356</v>
      </c>
    </row>
    <row r="5987" spans="2:8" ht="13.5" customHeight="1">
      <c r="B5987" t="s">
        <v>10718</v>
      </c>
      <c r="D5987" t="s">
        <v>10749</v>
      </c>
      <c r="F5987" s="76">
        <v>5</v>
      </c>
      <c r="G5987" s="57" t="s">
        <v>13819</v>
      </c>
      <c r="H5987" s="57" t="s">
        <v>1356</v>
      </c>
    </row>
    <row r="5988" spans="2:8" ht="13.5" customHeight="1">
      <c r="B5988" t="s">
        <v>10719</v>
      </c>
      <c r="D5988" t="s">
        <v>10750</v>
      </c>
      <c r="F5988" s="76">
        <v>5</v>
      </c>
      <c r="G5988" s="57" t="s">
        <v>13819</v>
      </c>
      <c r="H5988" s="57" t="s">
        <v>1356</v>
      </c>
    </row>
    <row r="5989" spans="2:8" ht="13.5" customHeight="1">
      <c r="B5989" t="s">
        <v>10720</v>
      </c>
      <c r="D5989" t="s">
        <v>10751</v>
      </c>
      <c r="F5989" s="76">
        <v>5</v>
      </c>
      <c r="G5989" s="57" t="s">
        <v>13819</v>
      </c>
      <c r="H5989" s="57" t="s">
        <v>1356</v>
      </c>
    </row>
    <row r="5990" spans="2:8" ht="13.5" customHeight="1">
      <c r="B5990" t="s">
        <v>10721</v>
      </c>
      <c r="D5990" t="s">
        <v>10752</v>
      </c>
      <c r="F5990" s="76">
        <v>11</v>
      </c>
      <c r="G5990" s="57" t="s">
        <v>13819</v>
      </c>
      <c r="H5990" s="57" t="s">
        <v>1356</v>
      </c>
    </row>
    <row r="5991" spans="2:8" ht="13.5" customHeight="1">
      <c r="B5991" t="s">
        <v>7196</v>
      </c>
      <c r="D5991" t="s">
        <v>7197</v>
      </c>
      <c r="F5991" s="76">
        <v>12</v>
      </c>
      <c r="G5991" s="57" t="s">
        <v>13819</v>
      </c>
      <c r="H5991" s="57" t="s">
        <v>1356</v>
      </c>
    </row>
    <row r="5992" spans="2:8" ht="13.5" customHeight="1">
      <c r="B5992" t="s">
        <v>10722</v>
      </c>
      <c r="D5992" t="s">
        <v>10753</v>
      </c>
      <c r="F5992" s="76">
        <v>20</v>
      </c>
      <c r="G5992" s="57" t="s">
        <v>13819</v>
      </c>
      <c r="H5992" s="57" t="s">
        <v>1356</v>
      </c>
    </row>
    <row r="5993" spans="2:8" ht="13.5" customHeight="1">
      <c r="B5993" t="s">
        <v>10723</v>
      </c>
      <c r="D5993" t="s">
        <v>10754</v>
      </c>
      <c r="F5993" s="76">
        <v>25</v>
      </c>
      <c r="G5993" s="57" t="s">
        <v>13819</v>
      </c>
      <c r="H5993" s="57" t="s">
        <v>1356</v>
      </c>
    </row>
    <row r="5994" spans="2:8" ht="13.5" customHeight="1">
      <c r="B5994" t="s">
        <v>10724</v>
      </c>
      <c r="D5994" t="s">
        <v>10755</v>
      </c>
      <c r="F5994" s="76">
        <v>27</v>
      </c>
      <c r="G5994" s="57" t="s">
        <v>13819</v>
      </c>
      <c r="H5994" s="57" t="s">
        <v>1356</v>
      </c>
    </row>
    <row r="5995" spans="2:8" ht="13.5" customHeight="1">
      <c r="B5995" t="s">
        <v>10725</v>
      </c>
      <c r="D5995" t="s">
        <v>10756</v>
      </c>
      <c r="F5995" s="76">
        <v>38</v>
      </c>
      <c r="G5995" s="57" t="s">
        <v>13819</v>
      </c>
      <c r="H5995" s="57" t="s">
        <v>1356</v>
      </c>
    </row>
    <row r="5996" spans="2:8" ht="13.5" customHeight="1">
      <c r="B5996" t="s">
        <v>10726</v>
      </c>
      <c r="D5996" t="s">
        <v>10757</v>
      </c>
      <c r="F5996" s="76">
        <v>38</v>
      </c>
      <c r="G5996" s="57" t="s">
        <v>13819</v>
      </c>
      <c r="H5996" s="57" t="s">
        <v>1356</v>
      </c>
    </row>
    <row r="5997" spans="2:8" ht="13.5" customHeight="1">
      <c r="B5997" t="s">
        <v>10727</v>
      </c>
      <c r="D5997" t="s">
        <v>10758</v>
      </c>
      <c r="F5997" s="76">
        <v>39</v>
      </c>
      <c r="G5997" s="57" t="s">
        <v>13819</v>
      </c>
      <c r="H5997" s="57" t="s">
        <v>1356</v>
      </c>
    </row>
    <row r="5998" spans="2:8" ht="13.5" customHeight="1">
      <c r="B5998" t="s">
        <v>10728</v>
      </c>
      <c r="D5998" t="s">
        <v>10759</v>
      </c>
      <c r="F5998" s="76">
        <v>45</v>
      </c>
      <c r="G5998" s="57" t="s">
        <v>13819</v>
      </c>
      <c r="H5998" s="57" t="s">
        <v>1356</v>
      </c>
    </row>
    <row r="5999" spans="2:8" ht="13.5" customHeight="1">
      <c r="B5999" t="s">
        <v>10729</v>
      </c>
      <c r="D5999" t="s">
        <v>10760</v>
      </c>
      <c r="F5999" s="76">
        <v>55</v>
      </c>
      <c r="G5999" s="57" t="s">
        <v>13819</v>
      </c>
      <c r="H5999" s="57" t="s">
        <v>1356</v>
      </c>
    </row>
    <row r="6000" spans="2:8" ht="13.5" customHeight="1">
      <c r="B6000" t="s">
        <v>10730</v>
      </c>
      <c r="D6000" t="s">
        <v>10761</v>
      </c>
      <c r="F6000" s="76">
        <v>64</v>
      </c>
      <c r="G6000" s="57" t="s">
        <v>13819</v>
      </c>
      <c r="H6000" s="57" t="s">
        <v>1356</v>
      </c>
    </row>
    <row r="6001" spans="2:8" ht="13.5" customHeight="1">
      <c r="B6001" t="s">
        <v>1388</v>
      </c>
      <c r="D6001" t="s">
        <v>1389</v>
      </c>
      <c r="F6001" s="76">
        <v>73</v>
      </c>
      <c r="G6001" s="57" t="s">
        <v>13819</v>
      </c>
      <c r="H6001" s="57" t="s">
        <v>1356</v>
      </c>
    </row>
    <row r="6002" spans="2:8" ht="13.5" customHeight="1">
      <c r="B6002" t="s">
        <v>10731</v>
      </c>
      <c r="D6002" t="s">
        <v>10762</v>
      </c>
      <c r="F6002" s="76">
        <v>78</v>
      </c>
      <c r="G6002" s="57" t="s">
        <v>13819</v>
      </c>
      <c r="H6002" s="57" t="s">
        <v>1356</v>
      </c>
    </row>
    <row r="6003" spans="2:8" ht="13.5" customHeight="1">
      <c r="B6003" t="s">
        <v>10732</v>
      </c>
      <c r="D6003" t="s">
        <v>10763</v>
      </c>
      <c r="F6003" s="76">
        <v>83</v>
      </c>
      <c r="G6003" s="57" t="s">
        <v>13819</v>
      </c>
      <c r="H6003" s="57" t="s">
        <v>1356</v>
      </c>
    </row>
    <row r="6004" spans="2:8" ht="13.5" customHeight="1">
      <c r="B6004" t="s">
        <v>10733</v>
      </c>
      <c r="D6004" t="s">
        <v>10764</v>
      </c>
      <c r="F6004" s="76">
        <v>84</v>
      </c>
      <c r="G6004" s="57" t="s">
        <v>13819</v>
      </c>
      <c r="H6004" s="57" t="s">
        <v>1356</v>
      </c>
    </row>
    <row r="6005" spans="2:8" ht="13.5" customHeight="1">
      <c r="B6005" t="s">
        <v>10734</v>
      </c>
      <c r="D6005" t="s">
        <v>10765</v>
      </c>
      <c r="F6005" s="76">
        <v>85</v>
      </c>
      <c r="G6005" s="57" t="s">
        <v>13819</v>
      </c>
      <c r="H6005" s="57" t="s">
        <v>1356</v>
      </c>
    </row>
    <row r="6006" spans="2:8" ht="13.5" customHeight="1">
      <c r="B6006" t="s">
        <v>10735</v>
      </c>
      <c r="D6006" t="s">
        <v>10766</v>
      </c>
      <c r="F6006" s="76">
        <v>89</v>
      </c>
      <c r="G6006" s="57" t="s">
        <v>13819</v>
      </c>
      <c r="H6006" s="57" t="s">
        <v>1356</v>
      </c>
    </row>
    <row r="6007" spans="2:8" ht="13.5" customHeight="1">
      <c r="B6007" t="s">
        <v>10736</v>
      </c>
      <c r="D6007" t="s">
        <v>10767</v>
      </c>
      <c r="F6007" s="76">
        <v>90</v>
      </c>
      <c r="G6007" s="57" t="s">
        <v>13819</v>
      </c>
      <c r="H6007" s="57" t="s">
        <v>1356</v>
      </c>
    </row>
    <row r="6008" spans="2:8" ht="13.5" customHeight="1">
      <c r="B6008" t="s">
        <v>10737</v>
      </c>
      <c r="D6008" t="s">
        <v>10768</v>
      </c>
      <c r="F6008" s="76">
        <v>92</v>
      </c>
      <c r="G6008" s="57" t="s">
        <v>13819</v>
      </c>
      <c r="H6008" s="57" t="s">
        <v>1356</v>
      </c>
    </row>
    <row r="6009" spans="2:8" ht="13.5" customHeight="1">
      <c r="B6009" t="s">
        <v>10738</v>
      </c>
      <c r="D6009" t="s">
        <v>10769</v>
      </c>
      <c r="F6009" s="76">
        <v>93</v>
      </c>
      <c r="G6009" s="57" t="s">
        <v>13819</v>
      </c>
      <c r="H6009" s="57" t="s">
        <v>1356</v>
      </c>
    </row>
    <row r="6010" spans="2:8" ht="13.5" customHeight="1">
      <c r="B6010" t="s">
        <v>10739</v>
      </c>
      <c r="D6010" t="s">
        <v>10770</v>
      </c>
      <c r="F6010" s="76">
        <v>95</v>
      </c>
      <c r="G6010" s="57" t="s">
        <v>13819</v>
      </c>
      <c r="H6010" s="57" t="s">
        <v>1356</v>
      </c>
    </row>
    <row r="6011" spans="2:8" ht="13.5" customHeight="1">
      <c r="B6011" t="s">
        <v>10740</v>
      </c>
      <c r="D6011" t="s">
        <v>10771</v>
      </c>
      <c r="F6011" s="76">
        <v>100</v>
      </c>
      <c r="G6011" s="57" t="s">
        <v>13819</v>
      </c>
      <c r="H6011" s="57" t="s">
        <v>1356</v>
      </c>
    </row>
    <row r="6012" spans="2:8" ht="13.5" customHeight="1">
      <c r="B6012" t="s">
        <v>10741</v>
      </c>
      <c r="D6012" t="s">
        <v>10772</v>
      </c>
      <c r="F6012" s="76">
        <v>140</v>
      </c>
      <c r="G6012" s="57" t="s">
        <v>13819</v>
      </c>
      <c r="H6012" s="57" t="s">
        <v>1356</v>
      </c>
    </row>
    <row r="6013" spans="2:8" ht="13.5" customHeight="1">
      <c r="B6013" t="s">
        <v>10742</v>
      </c>
      <c r="D6013" t="s">
        <v>10773</v>
      </c>
      <c r="F6013" s="76">
        <v>153</v>
      </c>
      <c r="G6013" s="57" t="s">
        <v>13819</v>
      </c>
      <c r="H6013" s="57" t="s">
        <v>1356</v>
      </c>
    </row>
    <row r="6014" spans="2:8" ht="13.5" customHeight="1">
      <c r="B6014" t="s">
        <v>10743</v>
      </c>
      <c r="D6014" t="s">
        <v>10774</v>
      </c>
      <c r="F6014" s="76">
        <v>155</v>
      </c>
      <c r="G6014" s="57" t="s">
        <v>13819</v>
      </c>
      <c r="H6014" s="57" t="s">
        <v>1356</v>
      </c>
    </row>
    <row r="6015" spans="2:8" ht="13.5" customHeight="1">
      <c r="B6015" t="s">
        <v>10744</v>
      </c>
      <c r="D6015" t="s">
        <v>10775</v>
      </c>
      <c r="F6015" s="76">
        <v>164</v>
      </c>
      <c r="G6015" s="57" t="s">
        <v>13819</v>
      </c>
      <c r="H6015" s="57" t="s">
        <v>1356</v>
      </c>
    </row>
    <row r="6016" spans="2:8" ht="13.5" customHeight="1">
      <c r="B6016" t="s">
        <v>3505</v>
      </c>
      <c r="D6016" t="s">
        <v>7757</v>
      </c>
      <c r="F6016" s="76">
        <v>601</v>
      </c>
      <c r="G6016" s="57" t="s">
        <v>13819</v>
      </c>
      <c r="H6016" s="57" t="s">
        <v>1356</v>
      </c>
    </row>
    <row r="6017" spans="2:8" ht="13.5" customHeight="1">
      <c r="B6017" t="s">
        <v>10745</v>
      </c>
      <c r="D6017" t="s">
        <v>10776</v>
      </c>
      <c r="F6017" s="76">
        <v>850</v>
      </c>
      <c r="G6017" s="57" t="s">
        <v>13819</v>
      </c>
      <c r="H6017" s="57" t="s">
        <v>1356</v>
      </c>
    </row>
    <row r="6018" spans="2:8" ht="13.5" customHeight="1">
      <c r="B6018" s="201" t="s">
        <v>10777</v>
      </c>
      <c r="D6018" s="202" t="s">
        <v>10827</v>
      </c>
      <c r="F6018" s="76">
        <v>1</v>
      </c>
      <c r="G6018" s="57" t="s">
        <v>13819</v>
      </c>
      <c r="H6018" s="57" t="s">
        <v>2287</v>
      </c>
    </row>
    <row r="6019" spans="2:8" ht="13.5" customHeight="1">
      <c r="B6019" s="201" t="s">
        <v>10778</v>
      </c>
      <c r="D6019" s="202" t="s">
        <v>10828</v>
      </c>
      <c r="F6019" s="76">
        <v>1</v>
      </c>
      <c r="G6019" s="57" t="s">
        <v>13819</v>
      </c>
      <c r="H6019" s="57" t="s">
        <v>2287</v>
      </c>
    </row>
    <row r="6020" spans="2:8" ht="13.5" customHeight="1">
      <c r="B6020" t="s">
        <v>10779</v>
      </c>
      <c r="D6020" t="s">
        <v>10779</v>
      </c>
      <c r="F6020" s="76">
        <v>2</v>
      </c>
      <c r="G6020" s="57" t="s">
        <v>13819</v>
      </c>
      <c r="H6020" s="57" t="s">
        <v>2287</v>
      </c>
    </row>
    <row r="6021" spans="2:8" ht="13.5" customHeight="1">
      <c r="B6021" t="s">
        <v>10780</v>
      </c>
      <c r="D6021" t="s">
        <v>10829</v>
      </c>
      <c r="F6021" s="76">
        <v>2</v>
      </c>
      <c r="G6021" s="57" t="s">
        <v>13819</v>
      </c>
      <c r="H6021" s="57" t="s">
        <v>2287</v>
      </c>
    </row>
    <row r="6022" spans="2:8" ht="13.5" customHeight="1">
      <c r="B6022" t="s">
        <v>10781</v>
      </c>
      <c r="D6022" t="s">
        <v>10830</v>
      </c>
      <c r="F6022" s="76">
        <v>3</v>
      </c>
      <c r="G6022" s="57" t="s">
        <v>13819</v>
      </c>
      <c r="H6022" s="57" t="s">
        <v>2287</v>
      </c>
    </row>
    <row r="6023" spans="2:8" ht="13.5" customHeight="1">
      <c r="B6023" s="201" t="s">
        <v>10782</v>
      </c>
      <c r="D6023" s="202" t="s">
        <v>10831</v>
      </c>
      <c r="F6023" s="76">
        <v>3</v>
      </c>
      <c r="G6023" s="57" t="s">
        <v>13819</v>
      </c>
      <c r="H6023" s="57" t="s">
        <v>2287</v>
      </c>
    </row>
    <row r="6024" spans="2:8" ht="13.5" customHeight="1">
      <c r="B6024" t="s">
        <v>10783</v>
      </c>
      <c r="D6024" t="s">
        <v>10832</v>
      </c>
      <c r="F6024" s="76">
        <v>4</v>
      </c>
      <c r="G6024" s="57" t="s">
        <v>13819</v>
      </c>
      <c r="H6024" s="57" t="s">
        <v>2287</v>
      </c>
    </row>
    <row r="6025" spans="2:8" ht="13.5" customHeight="1">
      <c r="B6025" s="201" t="s">
        <v>10784</v>
      </c>
      <c r="D6025" s="202" t="s">
        <v>10833</v>
      </c>
      <c r="F6025" s="76">
        <v>4</v>
      </c>
      <c r="G6025" s="57" t="s">
        <v>13819</v>
      </c>
      <c r="H6025" s="57" t="s">
        <v>2287</v>
      </c>
    </row>
    <row r="6026" spans="2:8" ht="13.5" customHeight="1">
      <c r="B6026" t="s">
        <v>10785</v>
      </c>
      <c r="D6026" t="s">
        <v>10834</v>
      </c>
      <c r="F6026" s="76">
        <v>5</v>
      </c>
      <c r="G6026" s="57" t="s">
        <v>13819</v>
      </c>
      <c r="H6026" s="57" t="s">
        <v>2287</v>
      </c>
    </row>
    <row r="6027" spans="2:8" ht="13.5" customHeight="1">
      <c r="B6027" s="201" t="s">
        <v>10786</v>
      </c>
      <c r="D6027" s="202" t="s">
        <v>10835</v>
      </c>
      <c r="F6027" s="76">
        <v>5</v>
      </c>
      <c r="G6027" s="57" t="s">
        <v>13819</v>
      </c>
      <c r="H6027" s="57" t="s">
        <v>2287</v>
      </c>
    </row>
    <row r="6028" spans="2:8" ht="13.5" customHeight="1">
      <c r="B6028" s="201" t="s">
        <v>10787</v>
      </c>
      <c r="D6028" s="202" t="s">
        <v>10836</v>
      </c>
      <c r="F6028" s="76">
        <v>5</v>
      </c>
      <c r="G6028" s="57" t="s">
        <v>13819</v>
      </c>
      <c r="H6028" s="57" t="s">
        <v>2287</v>
      </c>
    </row>
    <row r="6029" spans="2:8" ht="13.5" customHeight="1">
      <c r="B6029" s="201" t="s">
        <v>10788</v>
      </c>
      <c r="D6029" s="202" t="s">
        <v>10837</v>
      </c>
      <c r="F6029" s="76">
        <v>5</v>
      </c>
      <c r="G6029" s="57" t="s">
        <v>13819</v>
      </c>
      <c r="H6029" s="57" t="s">
        <v>2287</v>
      </c>
    </row>
    <row r="6030" spans="2:8" ht="13.5" customHeight="1">
      <c r="B6030" s="201" t="s">
        <v>4471</v>
      </c>
      <c r="D6030" s="202" t="s">
        <v>10838</v>
      </c>
      <c r="F6030" s="76">
        <v>5</v>
      </c>
      <c r="G6030" s="57" t="s">
        <v>13819</v>
      </c>
      <c r="H6030" s="57" t="s">
        <v>2287</v>
      </c>
    </row>
    <row r="6031" spans="2:8" ht="13.5" customHeight="1">
      <c r="B6031" s="201" t="s">
        <v>10789</v>
      </c>
      <c r="D6031" s="202" t="s">
        <v>10839</v>
      </c>
      <c r="F6031" s="76">
        <v>6</v>
      </c>
      <c r="G6031" s="57" t="s">
        <v>13819</v>
      </c>
      <c r="H6031" s="57" t="s">
        <v>2287</v>
      </c>
    </row>
    <row r="6032" spans="2:8" ht="13.5" customHeight="1">
      <c r="B6032" s="201" t="s">
        <v>10790</v>
      </c>
      <c r="D6032" s="202" t="s">
        <v>10840</v>
      </c>
      <c r="F6032" s="76">
        <v>6</v>
      </c>
      <c r="G6032" s="57" t="s">
        <v>13819</v>
      </c>
      <c r="H6032" s="57" t="s">
        <v>2287</v>
      </c>
    </row>
    <row r="6033" spans="2:8" ht="13.5" customHeight="1">
      <c r="B6033" t="s">
        <v>10791</v>
      </c>
      <c r="D6033" t="s">
        <v>10841</v>
      </c>
      <c r="F6033" s="76">
        <v>7</v>
      </c>
      <c r="G6033" s="57" t="s">
        <v>13819</v>
      </c>
      <c r="H6033" s="57" t="s">
        <v>2287</v>
      </c>
    </row>
    <row r="6034" spans="2:8" ht="13.5" customHeight="1">
      <c r="B6034" t="s">
        <v>10792</v>
      </c>
      <c r="D6034" t="s">
        <v>333</v>
      </c>
      <c r="F6034" s="76">
        <v>7</v>
      </c>
      <c r="G6034" s="57" t="s">
        <v>13819</v>
      </c>
      <c r="H6034" s="57" t="s">
        <v>2287</v>
      </c>
    </row>
    <row r="6035" spans="2:8" ht="13.5" customHeight="1">
      <c r="B6035" s="201" t="s">
        <v>10793</v>
      </c>
      <c r="D6035" s="202" t="s">
        <v>10842</v>
      </c>
      <c r="F6035" s="76">
        <v>7</v>
      </c>
      <c r="G6035" s="57" t="s">
        <v>13819</v>
      </c>
      <c r="H6035" s="57" t="s">
        <v>2287</v>
      </c>
    </row>
    <row r="6036" spans="2:8" ht="13.5" customHeight="1">
      <c r="B6036" t="s">
        <v>10794</v>
      </c>
      <c r="D6036" t="s">
        <v>7862</v>
      </c>
      <c r="F6036" s="76">
        <v>8</v>
      </c>
      <c r="G6036" s="57" t="s">
        <v>13819</v>
      </c>
      <c r="H6036" s="57" t="s">
        <v>2287</v>
      </c>
    </row>
    <row r="6037" spans="2:8" ht="13.5" customHeight="1">
      <c r="B6037" s="201" t="s">
        <v>10795</v>
      </c>
      <c r="D6037" s="202" t="s">
        <v>10843</v>
      </c>
      <c r="F6037" s="76">
        <v>8</v>
      </c>
      <c r="G6037" s="57" t="s">
        <v>13819</v>
      </c>
      <c r="H6037" s="57" t="s">
        <v>2287</v>
      </c>
    </row>
    <row r="6038" spans="2:8" ht="13.5" customHeight="1">
      <c r="B6038" t="s">
        <v>10796</v>
      </c>
      <c r="D6038" t="s">
        <v>10844</v>
      </c>
      <c r="F6038" s="76">
        <v>9</v>
      </c>
      <c r="G6038" s="57" t="s">
        <v>13819</v>
      </c>
      <c r="H6038" s="57" t="s">
        <v>2287</v>
      </c>
    </row>
    <row r="6039" spans="2:8" ht="13.5" customHeight="1">
      <c r="B6039" t="s">
        <v>10797</v>
      </c>
      <c r="D6039" t="s">
        <v>10845</v>
      </c>
      <c r="F6039" s="76">
        <v>10</v>
      </c>
      <c r="G6039" s="57" t="s">
        <v>13819</v>
      </c>
      <c r="H6039" s="57" t="s">
        <v>2287</v>
      </c>
    </row>
    <row r="6040" spans="2:8" ht="13.5" customHeight="1">
      <c r="B6040" t="s">
        <v>10798</v>
      </c>
      <c r="D6040" t="s">
        <v>10846</v>
      </c>
      <c r="F6040" s="76">
        <v>10</v>
      </c>
      <c r="G6040" s="57" t="s">
        <v>13819</v>
      </c>
      <c r="H6040" s="57" t="s">
        <v>2287</v>
      </c>
    </row>
    <row r="6041" spans="2:8" ht="13.5" customHeight="1">
      <c r="B6041" s="201" t="s">
        <v>10799</v>
      </c>
      <c r="D6041" s="202" t="s">
        <v>10847</v>
      </c>
      <c r="F6041" s="76">
        <v>10</v>
      </c>
      <c r="G6041" s="57" t="s">
        <v>13819</v>
      </c>
      <c r="H6041" s="57" t="s">
        <v>2287</v>
      </c>
    </row>
    <row r="6042" spans="2:8" ht="13.5" customHeight="1">
      <c r="B6042" s="201" t="s">
        <v>10800</v>
      </c>
      <c r="D6042" s="202" t="s">
        <v>10848</v>
      </c>
      <c r="F6042" s="76">
        <v>10</v>
      </c>
      <c r="G6042" s="57" t="s">
        <v>13819</v>
      </c>
      <c r="H6042" s="57" t="s">
        <v>2287</v>
      </c>
    </row>
    <row r="6043" spans="2:8" ht="13.5" customHeight="1">
      <c r="B6043" s="201" t="s">
        <v>10801</v>
      </c>
      <c r="D6043" s="202" t="s">
        <v>10849</v>
      </c>
      <c r="F6043" s="76">
        <v>10</v>
      </c>
      <c r="G6043" s="57" t="s">
        <v>13819</v>
      </c>
      <c r="H6043" s="57" t="s">
        <v>2287</v>
      </c>
    </row>
    <row r="6044" spans="2:8" ht="13.5" customHeight="1">
      <c r="B6044" s="201" t="s">
        <v>3800</v>
      </c>
      <c r="D6044" s="202" t="s">
        <v>10850</v>
      </c>
      <c r="F6044" s="76">
        <v>10</v>
      </c>
      <c r="G6044" s="57" t="s">
        <v>13819</v>
      </c>
      <c r="H6044" s="57" t="s">
        <v>2287</v>
      </c>
    </row>
    <row r="6045" spans="2:8" ht="13.5" customHeight="1">
      <c r="B6045" s="201" t="s">
        <v>10802</v>
      </c>
      <c r="D6045" s="202" t="s">
        <v>10851</v>
      </c>
      <c r="F6045" s="76">
        <v>14</v>
      </c>
      <c r="G6045" s="57" t="s">
        <v>13819</v>
      </c>
      <c r="H6045" s="57" t="s">
        <v>2287</v>
      </c>
    </row>
    <row r="6046" spans="2:8" ht="13.5" customHeight="1">
      <c r="B6046" s="201" t="s">
        <v>7484</v>
      </c>
      <c r="D6046" s="202" t="s">
        <v>749</v>
      </c>
      <c r="F6046" s="76">
        <v>15</v>
      </c>
      <c r="G6046" s="57" t="s">
        <v>13819</v>
      </c>
      <c r="H6046" s="57" t="s">
        <v>2287</v>
      </c>
    </row>
    <row r="6047" spans="2:8" ht="13.5" customHeight="1">
      <c r="B6047" t="s">
        <v>10803</v>
      </c>
      <c r="D6047" t="s">
        <v>10852</v>
      </c>
      <c r="F6047" s="76">
        <v>20</v>
      </c>
      <c r="G6047" s="57" t="s">
        <v>13819</v>
      </c>
      <c r="H6047" s="57" t="s">
        <v>2287</v>
      </c>
    </row>
    <row r="6048" spans="2:8" ht="13.5" customHeight="1">
      <c r="B6048" t="s">
        <v>10804</v>
      </c>
      <c r="D6048" t="s">
        <v>10853</v>
      </c>
      <c r="F6048" s="76">
        <v>20</v>
      </c>
      <c r="G6048" s="57" t="s">
        <v>13819</v>
      </c>
      <c r="H6048" s="57" t="s">
        <v>2287</v>
      </c>
    </row>
    <row r="6049" spans="2:8" ht="13.5" customHeight="1">
      <c r="B6049" t="s">
        <v>10805</v>
      </c>
      <c r="D6049" t="s">
        <v>10854</v>
      </c>
      <c r="F6049" s="76">
        <v>21</v>
      </c>
      <c r="G6049" s="57" t="s">
        <v>13819</v>
      </c>
      <c r="H6049" s="57" t="s">
        <v>2287</v>
      </c>
    </row>
    <row r="6050" spans="2:8" ht="13.5" customHeight="1">
      <c r="B6050" t="s">
        <v>8608</v>
      </c>
      <c r="D6050" t="s">
        <v>10855</v>
      </c>
      <c r="F6050" s="76">
        <v>30</v>
      </c>
      <c r="G6050" s="57" t="s">
        <v>13819</v>
      </c>
      <c r="H6050" s="57" t="s">
        <v>2287</v>
      </c>
    </row>
    <row r="6051" spans="2:8" ht="13.5" customHeight="1">
      <c r="B6051" s="201" t="s">
        <v>10806</v>
      </c>
      <c r="D6051" s="202" t="s">
        <v>9041</v>
      </c>
      <c r="F6051" s="76">
        <v>30</v>
      </c>
      <c r="G6051" s="57" t="s">
        <v>13819</v>
      </c>
      <c r="H6051" s="57" t="s">
        <v>2287</v>
      </c>
    </row>
    <row r="6052" spans="2:8" ht="13.5" customHeight="1">
      <c r="B6052" t="s">
        <v>10807</v>
      </c>
      <c r="D6052" t="s">
        <v>5375</v>
      </c>
      <c r="F6052" s="76">
        <v>36</v>
      </c>
      <c r="G6052" s="57" t="s">
        <v>13819</v>
      </c>
      <c r="H6052" s="57" t="s">
        <v>2287</v>
      </c>
    </row>
    <row r="6053" spans="2:8" ht="13.5" customHeight="1">
      <c r="B6053" t="s">
        <v>10808</v>
      </c>
      <c r="D6053" t="s">
        <v>10856</v>
      </c>
      <c r="F6053" s="76">
        <v>45</v>
      </c>
      <c r="G6053" s="57" t="s">
        <v>13819</v>
      </c>
      <c r="H6053" s="57" t="s">
        <v>2287</v>
      </c>
    </row>
    <row r="6054" spans="2:8" ht="13.5" customHeight="1">
      <c r="B6054" t="s">
        <v>10809</v>
      </c>
      <c r="D6054" t="s">
        <v>10857</v>
      </c>
      <c r="F6054" s="76">
        <v>46</v>
      </c>
      <c r="G6054" s="57" t="s">
        <v>13819</v>
      </c>
      <c r="H6054" s="57" t="s">
        <v>2287</v>
      </c>
    </row>
    <row r="6055" spans="2:8" ht="13.5" customHeight="1">
      <c r="B6055" t="s">
        <v>10810</v>
      </c>
      <c r="D6055" t="s">
        <v>10858</v>
      </c>
      <c r="F6055" s="76">
        <v>47</v>
      </c>
      <c r="G6055" s="57" t="s">
        <v>13819</v>
      </c>
      <c r="H6055" s="57" t="s">
        <v>2287</v>
      </c>
    </row>
    <row r="6056" spans="2:8" ht="13.5" customHeight="1">
      <c r="B6056" t="s">
        <v>10811</v>
      </c>
      <c r="D6056" t="s">
        <v>10859</v>
      </c>
      <c r="F6056" s="76">
        <v>48</v>
      </c>
      <c r="G6056" s="57" t="s">
        <v>13819</v>
      </c>
      <c r="H6056" s="57" t="s">
        <v>2287</v>
      </c>
    </row>
    <row r="6057" spans="2:8" ht="13.5" customHeight="1">
      <c r="B6057" t="s">
        <v>10812</v>
      </c>
      <c r="D6057" t="s">
        <v>10860</v>
      </c>
      <c r="F6057" s="76">
        <v>48</v>
      </c>
      <c r="G6057" s="57" t="s">
        <v>13819</v>
      </c>
      <c r="H6057" s="57" t="s">
        <v>2287</v>
      </c>
    </row>
    <row r="6058" spans="2:8" ht="13.5" customHeight="1">
      <c r="B6058" t="s">
        <v>10813</v>
      </c>
      <c r="D6058" t="s">
        <v>10861</v>
      </c>
      <c r="F6058" s="76">
        <v>49</v>
      </c>
      <c r="G6058" s="57" t="s">
        <v>13819</v>
      </c>
      <c r="H6058" s="57" t="s">
        <v>2287</v>
      </c>
    </row>
    <row r="6059" spans="2:8" ht="13.5" customHeight="1">
      <c r="B6059" t="s">
        <v>10814</v>
      </c>
      <c r="D6059" t="s">
        <v>10862</v>
      </c>
      <c r="F6059" s="76">
        <v>51</v>
      </c>
      <c r="G6059" s="57" t="s">
        <v>13819</v>
      </c>
      <c r="H6059" s="57" t="s">
        <v>2287</v>
      </c>
    </row>
    <row r="6060" spans="2:8" ht="13.5" customHeight="1">
      <c r="B6060" t="s">
        <v>10815</v>
      </c>
      <c r="D6060" t="s">
        <v>10863</v>
      </c>
      <c r="F6060" s="76">
        <v>54</v>
      </c>
      <c r="G6060" s="57" t="s">
        <v>13819</v>
      </c>
      <c r="H6060" s="57" t="s">
        <v>2287</v>
      </c>
    </row>
    <row r="6061" spans="2:8" ht="13.5" customHeight="1">
      <c r="B6061" s="201" t="s">
        <v>10816</v>
      </c>
      <c r="D6061" s="202" t="s">
        <v>268</v>
      </c>
      <c r="F6061" s="76">
        <v>54</v>
      </c>
      <c r="G6061" s="57" t="s">
        <v>13819</v>
      </c>
      <c r="H6061" s="57" t="s">
        <v>2287</v>
      </c>
    </row>
    <row r="6062" spans="2:8" ht="13.5" customHeight="1">
      <c r="B6062" t="s">
        <v>10817</v>
      </c>
      <c r="D6062" t="s">
        <v>10864</v>
      </c>
      <c r="F6062" s="76">
        <v>55</v>
      </c>
      <c r="G6062" s="57" t="s">
        <v>13819</v>
      </c>
      <c r="H6062" s="57" t="s">
        <v>2287</v>
      </c>
    </row>
    <row r="6063" spans="2:8" ht="13.5" customHeight="1">
      <c r="B6063" t="s">
        <v>10818</v>
      </c>
      <c r="D6063" t="s">
        <v>10865</v>
      </c>
      <c r="F6063" s="76">
        <v>59</v>
      </c>
      <c r="G6063" s="57" t="s">
        <v>13819</v>
      </c>
      <c r="H6063" s="57" t="s">
        <v>2287</v>
      </c>
    </row>
    <row r="6064" spans="2:8" ht="13.5" customHeight="1">
      <c r="B6064" t="s">
        <v>10469</v>
      </c>
      <c r="D6064" t="s">
        <v>10866</v>
      </c>
      <c r="F6064" s="76">
        <v>63</v>
      </c>
      <c r="G6064" s="57" t="s">
        <v>13819</v>
      </c>
      <c r="H6064" s="57" t="s">
        <v>2287</v>
      </c>
    </row>
    <row r="6065" spans="2:8" ht="13.5" customHeight="1">
      <c r="B6065" t="s">
        <v>10819</v>
      </c>
      <c r="D6065" t="s">
        <v>10867</v>
      </c>
      <c r="F6065" s="76">
        <v>73</v>
      </c>
      <c r="G6065" s="57" t="s">
        <v>13819</v>
      </c>
      <c r="H6065" s="57" t="s">
        <v>2287</v>
      </c>
    </row>
    <row r="6066" spans="2:8" ht="13.5" customHeight="1">
      <c r="B6066" t="s">
        <v>10820</v>
      </c>
      <c r="D6066" t="s">
        <v>10868</v>
      </c>
      <c r="F6066" s="76">
        <v>73</v>
      </c>
      <c r="G6066" s="57" t="s">
        <v>13819</v>
      </c>
      <c r="H6066" s="57" t="s">
        <v>2287</v>
      </c>
    </row>
    <row r="6067" spans="2:8" ht="13.5" customHeight="1">
      <c r="B6067" t="s">
        <v>10821</v>
      </c>
      <c r="D6067" t="s">
        <v>10869</v>
      </c>
      <c r="F6067" s="76">
        <v>79</v>
      </c>
      <c r="G6067" s="57" t="s">
        <v>13819</v>
      </c>
      <c r="H6067" s="57" t="s">
        <v>2287</v>
      </c>
    </row>
    <row r="6068" spans="2:8" ht="13.5" customHeight="1">
      <c r="B6068" t="s">
        <v>10822</v>
      </c>
      <c r="D6068" t="s">
        <v>10870</v>
      </c>
      <c r="F6068" s="76">
        <v>80</v>
      </c>
      <c r="G6068" s="57" t="s">
        <v>13819</v>
      </c>
      <c r="H6068" s="57" t="s">
        <v>2287</v>
      </c>
    </row>
    <row r="6069" spans="2:8" ht="13.5" customHeight="1">
      <c r="B6069" t="s">
        <v>10823</v>
      </c>
      <c r="D6069" t="s">
        <v>10871</v>
      </c>
      <c r="F6069" s="76">
        <v>81</v>
      </c>
      <c r="G6069" s="57" t="s">
        <v>13819</v>
      </c>
      <c r="H6069" s="57" t="s">
        <v>2287</v>
      </c>
    </row>
    <row r="6070" spans="2:8" ht="13.5" customHeight="1">
      <c r="B6070" t="s">
        <v>10824</v>
      </c>
      <c r="D6070" t="s">
        <v>10872</v>
      </c>
      <c r="F6070" s="76">
        <v>90</v>
      </c>
      <c r="G6070" s="57" t="s">
        <v>13819</v>
      </c>
      <c r="H6070" s="57" t="s">
        <v>2287</v>
      </c>
    </row>
    <row r="6071" spans="2:8" ht="13.5" customHeight="1">
      <c r="B6071" t="s">
        <v>4797</v>
      </c>
      <c r="D6071" t="s">
        <v>10873</v>
      </c>
      <c r="F6071" s="76">
        <v>90</v>
      </c>
      <c r="G6071" s="57" t="s">
        <v>13819</v>
      </c>
      <c r="H6071" s="57" t="s">
        <v>2287</v>
      </c>
    </row>
    <row r="6072" spans="2:8" ht="13.5" customHeight="1">
      <c r="B6072" t="s">
        <v>10825</v>
      </c>
      <c r="D6072" t="s">
        <v>4284</v>
      </c>
      <c r="F6072" s="76">
        <v>93</v>
      </c>
      <c r="G6072" s="57" t="s">
        <v>13819</v>
      </c>
      <c r="H6072" s="57" t="s">
        <v>2287</v>
      </c>
    </row>
    <row r="6073" spans="2:8" ht="13.5" customHeight="1">
      <c r="B6073" s="201" t="s">
        <v>10826</v>
      </c>
      <c r="D6073" s="202" t="s">
        <v>5284</v>
      </c>
      <c r="F6073" s="76">
        <v>113</v>
      </c>
      <c r="G6073" s="57" t="s">
        <v>13819</v>
      </c>
      <c r="H6073" s="57" t="s">
        <v>2287</v>
      </c>
    </row>
    <row r="6074" spans="2:8" ht="13.5" customHeight="1">
      <c r="B6074" t="s">
        <v>10874</v>
      </c>
      <c r="D6074" t="s">
        <v>6967</v>
      </c>
      <c r="F6074" s="76">
        <v>1</v>
      </c>
      <c r="G6074" s="57" t="s">
        <v>13819</v>
      </c>
      <c r="H6074" s="57" t="s">
        <v>2288</v>
      </c>
    </row>
    <row r="6075" spans="2:8" ht="13.5" customHeight="1">
      <c r="B6075" t="s">
        <v>10875</v>
      </c>
      <c r="D6075" t="s">
        <v>10903</v>
      </c>
      <c r="F6075" s="76">
        <v>2</v>
      </c>
      <c r="G6075" s="57" t="s">
        <v>13819</v>
      </c>
      <c r="H6075" s="57" t="s">
        <v>2288</v>
      </c>
    </row>
    <row r="6076" spans="2:8" ht="13.5" customHeight="1">
      <c r="B6076" t="s">
        <v>10876</v>
      </c>
      <c r="D6076" t="s">
        <v>10904</v>
      </c>
      <c r="F6076" s="76">
        <v>2</v>
      </c>
      <c r="G6076" s="57" t="s">
        <v>13819</v>
      </c>
      <c r="H6076" s="57" t="s">
        <v>2288</v>
      </c>
    </row>
    <row r="6077" spans="2:8" ht="13.5" customHeight="1">
      <c r="B6077" t="s">
        <v>10877</v>
      </c>
      <c r="D6077" t="s">
        <v>10905</v>
      </c>
      <c r="F6077" s="76">
        <v>2</v>
      </c>
      <c r="G6077" s="57" t="s">
        <v>13819</v>
      </c>
      <c r="H6077" s="57" t="s">
        <v>2288</v>
      </c>
    </row>
    <row r="6078" spans="2:8" ht="13.5" customHeight="1">
      <c r="B6078" t="s">
        <v>10878</v>
      </c>
      <c r="D6078" t="s">
        <v>5914</v>
      </c>
      <c r="F6078" s="76">
        <v>2</v>
      </c>
      <c r="G6078" s="57" t="s">
        <v>13819</v>
      </c>
      <c r="H6078" s="57" t="s">
        <v>2288</v>
      </c>
    </row>
    <row r="6079" spans="2:8" ht="13.5" customHeight="1">
      <c r="B6079" t="s">
        <v>10879</v>
      </c>
      <c r="D6079" t="s">
        <v>10906</v>
      </c>
      <c r="F6079" s="76">
        <v>2</v>
      </c>
      <c r="G6079" s="57" t="s">
        <v>13819</v>
      </c>
      <c r="H6079" s="57" t="s">
        <v>2288</v>
      </c>
    </row>
    <row r="6080" spans="2:8" ht="13.5" customHeight="1">
      <c r="B6080" t="s">
        <v>10880</v>
      </c>
      <c r="D6080" t="s">
        <v>10907</v>
      </c>
      <c r="F6080" s="76">
        <v>5</v>
      </c>
      <c r="G6080" s="57" t="s">
        <v>13819</v>
      </c>
      <c r="H6080" s="57" t="s">
        <v>2288</v>
      </c>
    </row>
    <row r="6081" spans="2:8" ht="13.5" customHeight="1">
      <c r="B6081" t="s">
        <v>10881</v>
      </c>
      <c r="D6081" t="s">
        <v>10908</v>
      </c>
      <c r="F6081" s="76">
        <v>5</v>
      </c>
      <c r="G6081" s="57" t="s">
        <v>13819</v>
      </c>
      <c r="H6081" s="57" t="s">
        <v>2288</v>
      </c>
    </row>
    <row r="6082" spans="2:8" ht="13.5" customHeight="1">
      <c r="B6082" t="s">
        <v>10882</v>
      </c>
      <c r="D6082" t="s">
        <v>10909</v>
      </c>
      <c r="F6082" s="76">
        <v>6</v>
      </c>
      <c r="G6082" s="57" t="s">
        <v>13819</v>
      </c>
      <c r="H6082" s="57" t="s">
        <v>2288</v>
      </c>
    </row>
    <row r="6083" spans="2:8" ht="13.5" customHeight="1">
      <c r="B6083" t="s">
        <v>10883</v>
      </c>
      <c r="D6083" t="s">
        <v>10910</v>
      </c>
      <c r="F6083" s="76">
        <v>8</v>
      </c>
      <c r="G6083" s="57" t="s">
        <v>13819</v>
      </c>
      <c r="H6083" s="57" t="s">
        <v>2288</v>
      </c>
    </row>
    <row r="6084" spans="2:8" ht="13.5" customHeight="1">
      <c r="B6084" t="s">
        <v>10884</v>
      </c>
      <c r="D6084" t="s">
        <v>10911</v>
      </c>
      <c r="F6084" s="76">
        <v>8</v>
      </c>
      <c r="G6084" s="57" t="s">
        <v>13819</v>
      </c>
      <c r="H6084" s="57" t="s">
        <v>2288</v>
      </c>
    </row>
    <row r="6085" spans="2:8" ht="13.5" customHeight="1">
      <c r="B6085" t="s">
        <v>10885</v>
      </c>
      <c r="D6085" t="s">
        <v>10912</v>
      </c>
      <c r="F6085" s="76">
        <v>9</v>
      </c>
      <c r="G6085" s="57" t="s">
        <v>13819</v>
      </c>
      <c r="H6085" s="57" t="s">
        <v>2288</v>
      </c>
    </row>
    <row r="6086" spans="2:8" ht="13.5" customHeight="1">
      <c r="B6086" t="s">
        <v>10886</v>
      </c>
      <c r="D6086" t="s">
        <v>10913</v>
      </c>
      <c r="F6086" s="76">
        <v>10</v>
      </c>
      <c r="G6086" s="57" t="s">
        <v>13819</v>
      </c>
      <c r="H6086" s="57" t="s">
        <v>2288</v>
      </c>
    </row>
    <row r="6087" spans="2:8" ht="13.5" customHeight="1">
      <c r="B6087" t="s">
        <v>10887</v>
      </c>
      <c r="D6087" t="s">
        <v>10914</v>
      </c>
      <c r="F6087" s="76">
        <v>10</v>
      </c>
      <c r="G6087" s="57" t="s">
        <v>13819</v>
      </c>
      <c r="H6087" s="57" t="s">
        <v>2288</v>
      </c>
    </row>
    <row r="6088" spans="2:8" ht="13.5" customHeight="1">
      <c r="B6088" t="s">
        <v>10888</v>
      </c>
      <c r="D6088" t="s">
        <v>10915</v>
      </c>
      <c r="F6088" s="76">
        <v>12</v>
      </c>
      <c r="G6088" s="57" t="s">
        <v>13819</v>
      </c>
      <c r="H6088" s="57" t="s">
        <v>2288</v>
      </c>
    </row>
    <row r="6089" spans="2:8" ht="13.5" customHeight="1">
      <c r="B6089" t="s">
        <v>10889</v>
      </c>
      <c r="D6089" t="s">
        <v>10916</v>
      </c>
      <c r="F6089" s="76">
        <v>15</v>
      </c>
      <c r="G6089" s="57" t="s">
        <v>13819</v>
      </c>
      <c r="H6089" s="57" t="s">
        <v>2288</v>
      </c>
    </row>
    <row r="6090" spans="2:8" ht="13.5" customHeight="1">
      <c r="B6090" t="s">
        <v>10890</v>
      </c>
      <c r="D6090" t="s">
        <v>10917</v>
      </c>
      <c r="F6090" s="76">
        <v>18</v>
      </c>
      <c r="G6090" s="57" t="s">
        <v>13819</v>
      </c>
      <c r="H6090" s="57" t="s">
        <v>2288</v>
      </c>
    </row>
    <row r="6091" spans="2:8" ht="13.5" customHeight="1">
      <c r="B6091" t="s">
        <v>5342</v>
      </c>
      <c r="D6091" t="s">
        <v>5343</v>
      </c>
      <c r="F6091" s="76">
        <v>19</v>
      </c>
      <c r="G6091" s="57" t="s">
        <v>13819</v>
      </c>
      <c r="H6091" s="57" t="s">
        <v>2288</v>
      </c>
    </row>
    <row r="6092" spans="2:8" ht="13.5" customHeight="1">
      <c r="B6092" t="s">
        <v>10891</v>
      </c>
      <c r="D6092" t="s">
        <v>9068</v>
      </c>
      <c r="F6092" s="76">
        <v>20</v>
      </c>
      <c r="G6092" s="57" t="s">
        <v>13819</v>
      </c>
      <c r="H6092" s="57" t="s">
        <v>2288</v>
      </c>
    </row>
    <row r="6093" spans="2:8" ht="13.5" customHeight="1">
      <c r="B6093" t="s">
        <v>10892</v>
      </c>
      <c r="D6093" t="s">
        <v>10918</v>
      </c>
      <c r="F6093" s="76">
        <v>26</v>
      </c>
      <c r="G6093" s="57" t="s">
        <v>13819</v>
      </c>
      <c r="H6093" s="57" t="s">
        <v>2288</v>
      </c>
    </row>
    <row r="6094" spans="2:8" ht="13.5" customHeight="1">
      <c r="B6094" t="s">
        <v>10893</v>
      </c>
      <c r="D6094" t="s">
        <v>10919</v>
      </c>
      <c r="F6094" s="76">
        <v>26</v>
      </c>
      <c r="G6094" s="57" t="s">
        <v>13819</v>
      </c>
      <c r="H6094" s="57" t="s">
        <v>2288</v>
      </c>
    </row>
    <row r="6095" spans="2:8" ht="13.5" customHeight="1">
      <c r="B6095" t="s">
        <v>10894</v>
      </c>
      <c r="D6095" t="s">
        <v>10920</v>
      </c>
      <c r="F6095" s="76">
        <v>29</v>
      </c>
      <c r="G6095" s="57" t="s">
        <v>13819</v>
      </c>
      <c r="H6095" s="57" t="s">
        <v>2288</v>
      </c>
    </row>
    <row r="6096" spans="2:8" ht="13.5" customHeight="1">
      <c r="B6096" t="s">
        <v>10895</v>
      </c>
      <c r="D6096" t="s">
        <v>10921</v>
      </c>
      <c r="F6096" s="76">
        <v>34</v>
      </c>
      <c r="G6096" s="57" t="s">
        <v>13819</v>
      </c>
      <c r="H6096" s="57" t="s">
        <v>2288</v>
      </c>
    </row>
    <row r="6097" spans="2:8" ht="13.5" customHeight="1">
      <c r="B6097" t="s">
        <v>10896</v>
      </c>
      <c r="D6097" t="s">
        <v>10922</v>
      </c>
      <c r="F6097" s="76">
        <v>35</v>
      </c>
      <c r="G6097" s="57" t="s">
        <v>13819</v>
      </c>
      <c r="H6097" s="57" t="s">
        <v>2288</v>
      </c>
    </row>
    <row r="6098" spans="2:8" ht="13.5" customHeight="1">
      <c r="B6098" t="s">
        <v>10897</v>
      </c>
      <c r="D6098" t="s">
        <v>10923</v>
      </c>
      <c r="F6098" s="76">
        <v>39</v>
      </c>
      <c r="G6098" s="57" t="s">
        <v>13819</v>
      </c>
      <c r="H6098" s="57" t="s">
        <v>2288</v>
      </c>
    </row>
    <row r="6099" spans="2:8" ht="13.5" customHeight="1">
      <c r="B6099" t="s">
        <v>10898</v>
      </c>
      <c r="D6099" t="s">
        <v>10924</v>
      </c>
      <c r="F6099" s="76">
        <v>42</v>
      </c>
      <c r="G6099" s="57" t="s">
        <v>13819</v>
      </c>
      <c r="H6099" s="57" t="s">
        <v>2288</v>
      </c>
    </row>
    <row r="6100" spans="2:8" ht="13.5" customHeight="1">
      <c r="B6100" t="s">
        <v>5699</v>
      </c>
      <c r="D6100" t="s">
        <v>5700</v>
      </c>
      <c r="F6100" s="76">
        <v>44</v>
      </c>
      <c r="G6100" s="57" t="s">
        <v>13819</v>
      </c>
      <c r="H6100" s="57" t="s">
        <v>2288</v>
      </c>
    </row>
    <row r="6101" spans="2:8" ht="13.5" customHeight="1">
      <c r="B6101" t="s">
        <v>10899</v>
      </c>
      <c r="D6101" t="s">
        <v>10925</v>
      </c>
      <c r="F6101" s="76">
        <v>48</v>
      </c>
      <c r="G6101" s="57" t="s">
        <v>13819</v>
      </c>
      <c r="H6101" s="57" t="s">
        <v>2288</v>
      </c>
    </row>
    <row r="6102" spans="2:8" ht="13.5" customHeight="1">
      <c r="B6102" t="s">
        <v>10900</v>
      </c>
      <c r="D6102" t="s">
        <v>10926</v>
      </c>
      <c r="F6102" s="76">
        <v>55</v>
      </c>
      <c r="G6102" s="57" t="s">
        <v>13819</v>
      </c>
      <c r="H6102" s="57" t="s">
        <v>2288</v>
      </c>
    </row>
    <row r="6103" spans="2:8" ht="13.5" customHeight="1">
      <c r="B6103" t="s">
        <v>10901</v>
      </c>
      <c r="D6103" t="s">
        <v>10927</v>
      </c>
      <c r="F6103" s="76">
        <v>64</v>
      </c>
      <c r="G6103" s="57" t="s">
        <v>13819</v>
      </c>
      <c r="H6103" s="57" t="s">
        <v>2288</v>
      </c>
    </row>
    <row r="6104" spans="2:8" ht="13.5" customHeight="1">
      <c r="B6104" t="s">
        <v>10902</v>
      </c>
      <c r="D6104" t="s">
        <v>10928</v>
      </c>
      <c r="F6104" s="76">
        <v>69</v>
      </c>
      <c r="G6104" s="57" t="s">
        <v>13819</v>
      </c>
      <c r="H6104" s="57" t="s">
        <v>2288</v>
      </c>
    </row>
    <row r="6105" spans="2:8" ht="13.5" customHeight="1">
      <c r="B6105" t="s">
        <v>8652</v>
      </c>
      <c r="D6105" t="s">
        <v>8653</v>
      </c>
      <c r="F6105" s="76">
        <v>77</v>
      </c>
      <c r="G6105" s="57" t="s">
        <v>13819</v>
      </c>
      <c r="H6105" s="57" t="s">
        <v>2288</v>
      </c>
    </row>
    <row r="6106" spans="2:8" ht="13.5" customHeight="1">
      <c r="B6106" t="s">
        <v>285</v>
      </c>
      <c r="D6106" t="s">
        <v>286</v>
      </c>
      <c r="F6106" s="76">
        <v>100</v>
      </c>
      <c r="G6106" s="57" t="s">
        <v>13819</v>
      </c>
      <c r="H6106" s="57" t="s">
        <v>2288</v>
      </c>
    </row>
    <row r="6107" spans="2:8" ht="13.5" customHeight="1">
      <c r="B6107" t="s">
        <v>417</v>
      </c>
      <c r="D6107" t="s">
        <v>453</v>
      </c>
      <c r="F6107" s="76">
        <v>358</v>
      </c>
      <c r="G6107" s="57" t="s">
        <v>13819</v>
      </c>
      <c r="H6107" s="57" t="s">
        <v>2288</v>
      </c>
    </row>
    <row r="6108" spans="2:8" ht="13.5" customHeight="1">
      <c r="B6108" t="s">
        <v>5391</v>
      </c>
      <c r="D6108" t="s">
        <v>5392</v>
      </c>
      <c r="F6108" s="76">
        <v>1</v>
      </c>
      <c r="G6108" s="57" t="s">
        <v>13819</v>
      </c>
      <c r="H6108" s="57" t="s">
        <v>2289</v>
      </c>
    </row>
    <row r="6109" spans="2:8" ht="13.5" customHeight="1">
      <c r="B6109" t="s">
        <v>10929</v>
      </c>
      <c r="D6109" t="s">
        <v>10991</v>
      </c>
      <c r="F6109" s="76">
        <v>1</v>
      </c>
      <c r="G6109" s="57" t="s">
        <v>13819</v>
      </c>
      <c r="H6109" s="57" t="s">
        <v>2289</v>
      </c>
    </row>
    <row r="6110" spans="2:8" ht="13.5" customHeight="1">
      <c r="B6110" s="201" t="s">
        <v>10930</v>
      </c>
      <c r="D6110" s="202" t="s">
        <v>10992</v>
      </c>
      <c r="F6110" s="76">
        <v>1</v>
      </c>
      <c r="G6110" s="57" t="s">
        <v>13819</v>
      </c>
      <c r="H6110" s="57" t="s">
        <v>2289</v>
      </c>
    </row>
    <row r="6111" spans="2:8" ht="13.5" customHeight="1">
      <c r="B6111" t="s">
        <v>10931</v>
      </c>
      <c r="D6111" t="s">
        <v>10993</v>
      </c>
      <c r="F6111" s="76">
        <v>2</v>
      </c>
      <c r="G6111" s="57" t="s">
        <v>13819</v>
      </c>
      <c r="H6111" s="57" t="s">
        <v>2289</v>
      </c>
    </row>
    <row r="6112" spans="2:8" ht="13.5" customHeight="1">
      <c r="B6112" t="s">
        <v>10932</v>
      </c>
      <c r="D6112" t="s">
        <v>10994</v>
      </c>
      <c r="F6112" s="76">
        <v>2</v>
      </c>
      <c r="G6112" s="57" t="s">
        <v>13819</v>
      </c>
      <c r="H6112" s="57" t="s">
        <v>2289</v>
      </c>
    </row>
    <row r="6113" spans="2:8" ht="13.5" customHeight="1">
      <c r="B6113" t="s">
        <v>10933</v>
      </c>
      <c r="D6113" t="s">
        <v>10995</v>
      </c>
      <c r="F6113" s="76">
        <v>2</v>
      </c>
      <c r="G6113" s="57" t="s">
        <v>13819</v>
      </c>
      <c r="H6113" s="57" t="s">
        <v>2289</v>
      </c>
    </row>
    <row r="6114" spans="2:8" ht="13.5" customHeight="1">
      <c r="B6114" t="s">
        <v>10934</v>
      </c>
      <c r="D6114" t="s">
        <v>10996</v>
      </c>
      <c r="F6114" s="76">
        <v>2</v>
      </c>
      <c r="G6114" s="57" t="s">
        <v>13819</v>
      </c>
      <c r="H6114" s="57" t="s">
        <v>2289</v>
      </c>
    </row>
    <row r="6115" spans="2:8" ht="13.5" customHeight="1">
      <c r="B6115" t="s">
        <v>10935</v>
      </c>
      <c r="D6115" t="s">
        <v>10997</v>
      </c>
      <c r="F6115" s="76">
        <v>2</v>
      </c>
      <c r="G6115" s="57" t="s">
        <v>13819</v>
      </c>
      <c r="H6115" s="57" t="s">
        <v>2289</v>
      </c>
    </row>
    <row r="6116" spans="2:8" ht="13.5" customHeight="1">
      <c r="B6116" s="201" t="s">
        <v>10936</v>
      </c>
      <c r="D6116" s="202" t="s">
        <v>10998</v>
      </c>
      <c r="F6116" s="76">
        <v>3</v>
      </c>
      <c r="G6116" s="57" t="s">
        <v>13819</v>
      </c>
      <c r="H6116" s="57" t="s">
        <v>2289</v>
      </c>
    </row>
    <row r="6117" spans="2:8" ht="13.5" customHeight="1">
      <c r="B6117" t="s">
        <v>10937</v>
      </c>
      <c r="D6117" t="s">
        <v>10999</v>
      </c>
      <c r="F6117" s="76">
        <v>4</v>
      </c>
      <c r="G6117" s="57" t="s">
        <v>13819</v>
      </c>
      <c r="H6117" s="57" t="s">
        <v>2289</v>
      </c>
    </row>
    <row r="6118" spans="2:8" ht="13.5" customHeight="1">
      <c r="B6118" t="s">
        <v>10938</v>
      </c>
      <c r="D6118" t="s">
        <v>11000</v>
      </c>
      <c r="F6118" s="76">
        <v>4</v>
      </c>
      <c r="G6118" s="57" t="s">
        <v>13819</v>
      </c>
      <c r="H6118" s="57" t="s">
        <v>2289</v>
      </c>
    </row>
    <row r="6119" spans="2:8" ht="13.5" customHeight="1">
      <c r="B6119" s="201" t="s">
        <v>10939</v>
      </c>
      <c r="D6119" s="64" t="s">
        <v>11001</v>
      </c>
      <c r="F6119" s="76">
        <v>4</v>
      </c>
      <c r="G6119" s="57" t="s">
        <v>13819</v>
      </c>
      <c r="H6119" s="57" t="s">
        <v>2289</v>
      </c>
    </row>
    <row r="6120" spans="2:8" ht="13.5" customHeight="1">
      <c r="B6120" s="201" t="s">
        <v>10940</v>
      </c>
      <c r="D6120" s="202" t="s">
        <v>11002</v>
      </c>
      <c r="F6120" s="76">
        <v>5</v>
      </c>
      <c r="G6120" s="57" t="s">
        <v>13819</v>
      </c>
      <c r="H6120" s="57" t="s">
        <v>2289</v>
      </c>
    </row>
    <row r="6121" spans="2:8" ht="13.5" customHeight="1">
      <c r="B6121" s="201" t="s">
        <v>239</v>
      </c>
      <c r="D6121" s="202" t="s">
        <v>11003</v>
      </c>
      <c r="F6121" s="76">
        <v>5</v>
      </c>
      <c r="G6121" s="57" t="s">
        <v>13819</v>
      </c>
      <c r="H6121" s="57" t="s">
        <v>2289</v>
      </c>
    </row>
    <row r="6122" spans="2:8" ht="13.5" customHeight="1">
      <c r="B6122" t="s">
        <v>10941</v>
      </c>
      <c r="D6122" t="s">
        <v>11004</v>
      </c>
      <c r="F6122" s="76">
        <v>6</v>
      </c>
      <c r="G6122" s="57" t="s">
        <v>13819</v>
      </c>
      <c r="H6122" s="57" t="s">
        <v>2289</v>
      </c>
    </row>
    <row r="6123" spans="2:8" ht="13.5" customHeight="1">
      <c r="B6123" s="201" t="s">
        <v>10942</v>
      </c>
      <c r="D6123" s="202" t="s">
        <v>11005</v>
      </c>
      <c r="F6123" s="76">
        <v>7</v>
      </c>
      <c r="G6123" s="57" t="s">
        <v>13819</v>
      </c>
      <c r="H6123" s="57" t="s">
        <v>2289</v>
      </c>
    </row>
    <row r="6124" spans="2:8" ht="13.5" customHeight="1">
      <c r="B6124" t="s">
        <v>10943</v>
      </c>
      <c r="D6124" t="s">
        <v>11006</v>
      </c>
      <c r="F6124" s="76">
        <v>8</v>
      </c>
      <c r="G6124" s="57" t="s">
        <v>13819</v>
      </c>
      <c r="H6124" s="57" t="s">
        <v>2289</v>
      </c>
    </row>
    <row r="6125" spans="2:8" ht="13.5" customHeight="1">
      <c r="B6125" s="201" t="s">
        <v>10944</v>
      </c>
      <c r="D6125" s="64" t="s">
        <v>11007</v>
      </c>
      <c r="F6125" s="76">
        <v>8</v>
      </c>
      <c r="G6125" s="57" t="s">
        <v>13819</v>
      </c>
      <c r="H6125" s="57" t="s">
        <v>2289</v>
      </c>
    </row>
    <row r="6126" spans="2:8" ht="13.5" customHeight="1">
      <c r="B6126" s="201" t="s">
        <v>10945</v>
      </c>
      <c r="D6126" s="202" t="s">
        <v>278</v>
      </c>
      <c r="F6126" s="76">
        <v>9</v>
      </c>
      <c r="G6126" s="57" t="s">
        <v>13819</v>
      </c>
      <c r="H6126" s="57" t="s">
        <v>2289</v>
      </c>
    </row>
    <row r="6127" spans="2:8" ht="13.5" customHeight="1">
      <c r="B6127" s="201" t="s">
        <v>10946</v>
      </c>
      <c r="D6127" s="202" t="s">
        <v>6779</v>
      </c>
      <c r="F6127" s="76">
        <v>9</v>
      </c>
      <c r="G6127" s="57" t="s">
        <v>13819</v>
      </c>
      <c r="H6127" s="57" t="s">
        <v>2289</v>
      </c>
    </row>
    <row r="6128" spans="2:8" ht="13.5" customHeight="1">
      <c r="B6128" s="201" t="s">
        <v>10947</v>
      </c>
      <c r="D6128" s="202" t="s">
        <v>11008</v>
      </c>
      <c r="F6128" s="76">
        <v>10</v>
      </c>
      <c r="G6128" s="57" t="s">
        <v>13819</v>
      </c>
      <c r="H6128" s="57" t="s">
        <v>2289</v>
      </c>
    </row>
    <row r="6129" spans="2:8" ht="13.5" customHeight="1">
      <c r="B6129" s="201" t="s">
        <v>10948</v>
      </c>
      <c r="D6129" s="202" t="s">
        <v>11009</v>
      </c>
      <c r="F6129" s="76">
        <v>10</v>
      </c>
      <c r="G6129" s="57" t="s">
        <v>13819</v>
      </c>
      <c r="H6129" s="57" t="s">
        <v>2289</v>
      </c>
    </row>
    <row r="6130" spans="2:8" ht="13.5" customHeight="1">
      <c r="B6130" s="201" t="s">
        <v>10949</v>
      </c>
      <c r="D6130" s="202" t="s">
        <v>9010</v>
      </c>
      <c r="F6130" s="76">
        <v>10</v>
      </c>
      <c r="G6130" s="57" t="s">
        <v>13819</v>
      </c>
      <c r="H6130" s="57" t="s">
        <v>2289</v>
      </c>
    </row>
    <row r="6131" spans="2:8" ht="13.5" customHeight="1">
      <c r="B6131" s="201" t="s">
        <v>10950</v>
      </c>
      <c r="D6131" s="202" t="s">
        <v>11010</v>
      </c>
      <c r="F6131" s="76">
        <v>10</v>
      </c>
      <c r="G6131" s="57" t="s">
        <v>13819</v>
      </c>
      <c r="H6131" s="57" t="s">
        <v>2289</v>
      </c>
    </row>
    <row r="6132" spans="2:8" ht="13.5" customHeight="1">
      <c r="B6132" s="201" t="s">
        <v>10951</v>
      </c>
      <c r="D6132" s="202" t="s">
        <v>11011</v>
      </c>
      <c r="F6132" s="76">
        <v>10</v>
      </c>
      <c r="G6132" s="57" t="s">
        <v>13819</v>
      </c>
      <c r="H6132" s="57" t="s">
        <v>2289</v>
      </c>
    </row>
    <row r="6133" spans="2:8" ht="13.5" customHeight="1">
      <c r="B6133" s="201" t="s">
        <v>10952</v>
      </c>
      <c r="D6133" s="202" t="s">
        <v>11012</v>
      </c>
      <c r="F6133" s="76">
        <v>10</v>
      </c>
      <c r="G6133" s="57" t="s">
        <v>13819</v>
      </c>
      <c r="H6133" s="57" t="s">
        <v>2289</v>
      </c>
    </row>
    <row r="6134" spans="2:8" ht="13.5" customHeight="1">
      <c r="B6134" t="s">
        <v>10953</v>
      </c>
      <c r="D6134">
        <v>7687779102</v>
      </c>
      <c r="F6134" s="76">
        <v>11</v>
      </c>
      <c r="G6134" s="57" t="s">
        <v>13819</v>
      </c>
      <c r="H6134" s="57" t="s">
        <v>2289</v>
      </c>
    </row>
    <row r="6135" spans="2:8" ht="13.5" customHeight="1">
      <c r="B6135" t="s">
        <v>10954</v>
      </c>
      <c r="D6135" t="s">
        <v>11013</v>
      </c>
      <c r="F6135" s="76">
        <v>12</v>
      </c>
      <c r="G6135" s="57" t="s">
        <v>13819</v>
      </c>
      <c r="H6135" s="57" t="s">
        <v>2289</v>
      </c>
    </row>
    <row r="6136" spans="2:8" ht="13.5" customHeight="1">
      <c r="B6136" t="s">
        <v>10955</v>
      </c>
      <c r="D6136" t="s">
        <v>11014</v>
      </c>
      <c r="F6136" s="76">
        <v>14</v>
      </c>
      <c r="G6136" s="57" t="s">
        <v>13819</v>
      </c>
      <c r="H6136" s="57" t="s">
        <v>2289</v>
      </c>
    </row>
    <row r="6137" spans="2:8" ht="13.5" customHeight="1">
      <c r="B6137" t="s">
        <v>10956</v>
      </c>
      <c r="D6137" t="s">
        <v>11015</v>
      </c>
      <c r="F6137" s="76">
        <v>16</v>
      </c>
      <c r="G6137" s="57" t="s">
        <v>13819</v>
      </c>
      <c r="H6137" s="57" t="s">
        <v>2289</v>
      </c>
    </row>
    <row r="6138" spans="2:8" ht="13.5" customHeight="1">
      <c r="B6138" s="201" t="s">
        <v>10957</v>
      </c>
      <c r="D6138" s="202" t="s">
        <v>11016</v>
      </c>
      <c r="F6138" s="76">
        <v>16</v>
      </c>
      <c r="G6138" s="57" t="s">
        <v>13819</v>
      </c>
      <c r="H6138" s="57" t="s">
        <v>2289</v>
      </c>
    </row>
    <row r="6139" spans="2:8" ht="13.5" customHeight="1">
      <c r="B6139" t="s">
        <v>10958</v>
      </c>
      <c r="D6139" t="s">
        <v>4755</v>
      </c>
      <c r="F6139" s="76">
        <v>17</v>
      </c>
      <c r="G6139" s="57" t="s">
        <v>13819</v>
      </c>
      <c r="H6139" s="57" t="s">
        <v>2289</v>
      </c>
    </row>
    <row r="6140" spans="2:8" ht="13.5" customHeight="1">
      <c r="B6140" t="s">
        <v>10959</v>
      </c>
      <c r="D6140" t="s">
        <v>11017</v>
      </c>
      <c r="F6140" s="76">
        <v>20</v>
      </c>
      <c r="G6140" s="57" t="s">
        <v>13819</v>
      </c>
      <c r="H6140" s="57" t="s">
        <v>2289</v>
      </c>
    </row>
    <row r="6141" spans="2:8" ht="13.5" customHeight="1">
      <c r="B6141" t="s">
        <v>10960</v>
      </c>
      <c r="D6141" t="s">
        <v>11018</v>
      </c>
      <c r="F6141" s="76">
        <v>20</v>
      </c>
      <c r="G6141" s="57" t="s">
        <v>13819</v>
      </c>
      <c r="H6141" s="57" t="s">
        <v>2289</v>
      </c>
    </row>
    <row r="6142" spans="2:8" ht="13.5" customHeight="1">
      <c r="B6142" t="s">
        <v>10961</v>
      </c>
      <c r="D6142" t="s">
        <v>11019</v>
      </c>
      <c r="F6142" s="76">
        <v>25</v>
      </c>
      <c r="G6142" s="57" t="s">
        <v>13819</v>
      </c>
      <c r="H6142" s="57" t="s">
        <v>2289</v>
      </c>
    </row>
    <row r="6143" spans="2:8" ht="13.5" customHeight="1">
      <c r="B6143" t="s">
        <v>10900</v>
      </c>
      <c r="D6143" t="s">
        <v>11020</v>
      </c>
      <c r="F6143" s="76">
        <v>27</v>
      </c>
      <c r="G6143" s="57" t="s">
        <v>13819</v>
      </c>
      <c r="H6143" s="57" t="s">
        <v>2289</v>
      </c>
    </row>
    <row r="6144" spans="2:8" ht="13.5" customHeight="1">
      <c r="B6144" t="s">
        <v>10962</v>
      </c>
      <c r="D6144" t="s">
        <v>11021</v>
      </c>
      <c r="F6144" s="76">
        <v>27</v>
      </c>
      <c r="G6144" s="57" t="s">
        <v>13819</v>
      </c>
      <c r="H6144" s="57" t="s">
        <v>2289</v>
      </c>
    </row>
    <row r="6145" spans="2:8" ht="13.5" customHeight="1">
      <c r="B6145" t="s">
        <v>10963</v>
      </c>
      <c r="D6145" t="s">
        <v>11022</v>
      </c>
      <c r="F6145" s="76">
        <v>29</v>
      </c>
      <c r="G6145" s="57" t="s">
        <v>13819</v>
      </c>
      <c r="H6145" s="57" t="s">
        <v>2289</v>
      </c>
    </row>
    <row r="6146" spans="2:8" ht="13.5" customHeight="1">
      <c r="B6146" t="s">
        <v>10964</v>
      </c>
      <c r="D6146" t="s">
        <v>11023</v>
      </c>
      <c r="F6146" s="76">
        <v>50</v>
      </c>
      <c r="G6146" s="57" t="s">
        <v>13819</v>
      </c>
      <c r="H6146" s="57" t="s">
        <v>2289</v>
      </c>
    </row>
    <row r="6147" spans="2:8" ht="13.5" customHeight="1">
      <c r="B6147" t="s">
        <v>10965</v>
      </c>
      <c r="D6147" t="s">
        <v>11024</v>
      </c>
      <c r="F6147" s="76">
        <v>59</v>
      </c>
      <c r="G6147" s="57" t="s">
        <v>13819</v>
      </c>
      <c r="H6147" s="57" t="s">
        <v>2289</v>
      </c>
    </row>
    <row r="6148" spans="2:8" ht="13.5" customHeight="1">
      <c r="B6148" t="s">
        <v>4778</v>
      </c>
      <c r="D6148" t="s">
        <v>11025</v>
      </c>
      <c r="F6148" s="76">
        <v>74</v>
      </c>
      <c r="G6148" s="57" t="s">
        <v>13819</v>
      </c>
      <c r="H6148" s="57" t="s">
        <v>2289</v>
      </c>
    </row>
    <row r="6149" spans="2:8" ht="13.5" customHeight="1">
      <c r="B6149" s="201" t="s">
        <v>10966</v>
      </c>
      <c r="D6149" s="202" t="s">
        <v>11026</v>
      </c>
      <c r="F6149" s="76">
        <v>87</v>
      </c>
      <c r="G6149" s="57" t="s">
        <v>13819</v>
      </c>
      <c r="H6149" s="57" t="s">
        <v>2289</v>
      </c>
    </row>
    <row r="6150" spans="2:8" ht="13.5" customHeight="1">
      <c r="B6150" s="201" t="s">
        <v>10967</v>
      </c>
      <c r="D6150" s="202" t="s">
        <v>11027</v>
      </c>
      <c r="F6150" s="76">
        <v>98</v>
      </c>
      <c r="G6150" s="57" t="s">
        <v>13819</v>
      </c>
      <c r="H6150" s="57" t="s">
        <v>2289</v>
      </c>
    </row>
    <row r="6151" spans="2:8" ht="13.5" customHeight="1">
      <c r="B6151" s="201" t="s">
        <v>10968</v>
      </c>
      <c r="D6151" s="202" t="s">
        <v>11028</v>
      </c>
      <c r="F6151" s="76">
        <v>998</v>
      </c>
      <c r="G6151" s="57" t="s">
        <v>13819</v>
      </c>
      <c r="H6151" s="57" t="s">
        <v>2289</v>
      </c>
    </row>
    <row r="6152" spans="2:8" ht="13.5" customHeight="1">
      <c r="B6152" t="s">
        <v>10969</v>
      </c>
      <c r="D6152" t="s">
        <v>8641</v>
      </c>
      <c r="F6152" s="76">
        <v>6544</v>
      </c>
      <c r="G6152" s="57" t="s">
        <v>13819</v>
      </c>
      <c r="H6152" s="57" t="s">
        <v>2289</v>
      </c>
    </row>
    <row r="6153" spans="2:8" ht="13.5" customHeight="1">
      <c r="B6153" t="s">
        <v>10970</v>
      </c>
      <c r="D6153" t="s">
        <v>11029</v>
      </c>
      <c r="F6153" s="76">
        <v>1</v>
      </c>
      <c r="G6153" s="57" t="s">
        <v>13819</v>
      </c>
      <c r="H6153" s="57" t="s">
        <v>2981</v>
      </c>
    </row>
    <row r="6154" spans="2:8" ht="13.5" customHeight="1">
      <c r="B6154" t="s">
        <v>10971</v>
      </c>
      <c r="D6154" t="s">
        <v>11030</v>
      </c>
      <c r="F6154" s="76">
        <v>1</v>
      </c>
      <c r="G6154" s="57" t="s">
        <v>13819</v>
      </c>
      <c r="H6154" s="57" t="s">
        <v>2981</v>
      </c>
    </row>
    <row r="6155" spans="2:8" ht="13.5" customHeight="1">
      <c r="B6155" t="s">
        <v>10972</v>
      </c>
      <c r="D6155" t="s">
        <v>11031</v>
      </c>
      <c r="F6155" s="76">
        <v>1</v>
      </c>
      <c r="G6155" s="57" t="s">
        <v>13819</v>
      </c>
      <c r="H6155" s="57" t="s">
        <v>2981</v>
      </c>
    </row>
    <row r="6156" spans="2:8" ht="13.5" customHeight="1">
      <c r="B6156" t="s">
        <v>10973</v>
      </c>
      <c r="D6156" t="s">
        <v>11032</v>
      </c>
      <c r="F6156" s="76">
        <v>2</v>
      </c>
      <c r="G6156" s="57" t="s">
        <v>13819</v>
      </c>
      <c r="H6156" s="57" t="s">
        <v>2981</v>
      </c>
    </row>
    <row r="6157" spans="2:8" ht="13.5" customHeight="1">
      <c r="B6157" t="s">
        <v>10974</v>
      </c>
      <c r="D6157" t="s">
        <v>11033</v>
      </c>
      <c r="F6157" s="76">
        <v>2</v>
      </c>
      <c r="G6157" s="57" t="s">
        <v>13819</v>
      </c>
      <c r="H6157" s="57" t="s">
        <v>2981</v>
      </c>
    </row>
    <row r="6158" spans="2:8" ht="13.5" customHeight="1">
      <c r="B6158" t="s">
        <v>10975</v>
      </c>
      <c r="D6158" t="s">
        <v>11034</v>
      </c>
      <c r="F6158" s="76">
        <v>4</v>
      </c>
      <c r="G6158" s="57" t="s">
        <v>13819</v>
      </c>
      <c r="H6158" s="57" t="s">
        <v>2981</v>
      </c>
    </row>
    <row r="6159" spans="2:8" ht="13.5" customHeight="1">
      <c r="B6159" t="s">
        <v>413</v>
      </c>
      <c r="D6159" t="s">
        <v>11035</v>
      </c>
      <c r="F6159" s="76">
        <v>10</v>
      </c>
      <c r="G6159" s="57" t="s">
        <v>13819</v>
      </c>
      <c r="H6159" s="57" t="s">
        <v>2981</v>
      </c>
    </row>
    <row r="6160" spans="2:8" ht="13.5" customHeight="1">
      <c r="B6160" t="s">
        <v>10976</v>
      </c>
      <c r="D6160" t="s">
        <v>8093</v>
      </c>
      <c r="F6160" s="76">
        <v>17</v>
      </c>
      <c r="G6160" s="57" t="s">
        <v>13819</v>
      </c>
      <c r="H6160" s="57" t="s">
        <v>2981</v>
      </c>
    </row>
    <row r="6161" spans="2:8" ht="13.5" customHeight="1">
      <c r="B6161" t="s">
        <v>10977</v>
      </c>
      <c r="D6161" t="s">
        <v>11036</v>
      </c>
      <c r="F6161" s="76">
        <v>18</v>
      </c>
      <c r="G6161" s="57" t="s">
        <v>13819</v>
      </c>
      <c r="H6161" s="57" t="s">
        <v>2981</v>
      </c>
    </row>
    <row r="6162" spans="2:8" ht="13.5" customHeight="1">
      <c r="B6162" t="s">
        <v>10978</v>
      </c>
      <c r="D6162" t="s">
        <v>11037</v>
      </c>
      <c r="F6162" s="76">
        <v>26</v>
      </c>
      <c r="G6162" s="57" t="s">
        <v>13819</v>
      </c>
      <c r="H6162" s="57" t="s">
        <v>2981</v>
      </c>
    </row>
    <row r="6163" spans="2:8" ht="13.5" customHeight="1">
      <c r="B6163" t="s">
        <v>10979</v>
      </c>
      <c r="D6163" t="s">
        <v>11038</v>
      </c>
      <c r="F6163" s="76">
        <v>27</v>
      </c>
      <c r="G6163" s="57" t="s">
        <v>13819</v>
      </c>
      <c r="H6163" s="57" t="s">
        <v>2981</v>
      </c>
    </row>
    <row r="6164" spans="2:8" ht="13.5" customHeight="1">
      <c r="B6164" t="s">
        <v>8202</v>
      </c>
      <c r="D6164" t="s">
        <v>9176</v>
      </c>
      <c r="F6164" s="76">
        <v>28</v>
      </c>
      <c r="G6164" s="57" t="s">
        <v>13819</v>
      </c>
      <c r="H6164" s="57" t="s">
        <v>2981</v>
      </c>
    </row>
    <row r="6165" spans="2:8" ht="13.5" customHeight="1">
      <c r="B6165" t="s">
        <v>10980</v>
      </c>
      <c r="D6165" t="s">
        <v>11039</v>
      </c>
      <c r="F6165" s="76">
        <v>32</v>
      </c>
      <c r="G6165" s="57" t="s">
        <v>13819</v>
      </c>
      <c r="H6165" s="57" t="s">
        <v>2981</v>
      </c>
    </row>
    <row r="6166" spans="2:8" ht="13.5" customHeight="1">
      <c r="B6166" t="s">
        <v>10981</v>
      </c>
      <c r="D6166" t="s">
        <v>11040</v>
      </c>
      <c r="F6166" s="76">
        <v>33</v>
      </c>
      <c r="G6166" s="57" t="s">
        <v>13819</v>
      </c>
      <c r="H6166" s="57" t="s">
        <v>2981</v>
      </c>
    </row>
    <row r="6167" spans="2:8" ht="13.5" customHeight="1">
      <c r="B6167" t="s">
        <v>10982</v>
      </c>
      <c r="D6167" t="s">
        <v>3885</v>
      </c>
      <c r="F6167" s="76">
        <v>35</v>
      </c>
      <c r="G6167" s="57" t="s">
        <v>13819</v>
      </c>
      <c r="H6167" s="57" t="s">
        <v>2981</v>
      </c>
    </row>
    <row r="6168" spans="2:8" ht="13.5" customHeight="1">
      <c r="B6168" t="s">
        <v>10983</v>
      </c>
      <c r="D6168" t="s">
        <v>11041</v>
      </c>
      <c r="F6168" s="76">
        <v>41</v>
      </c>
      <c r="G6168" s="57" t="s">
        <v>13819</v>
      </c>
      <c r="H6168" s="57" t="s">
        <v>2981</v>
      </c>
    </row>
    <row r="6169" spans="2:8" ht="13.5" customHeight="1">
      <c r="B6169" t="s">
        <v>10984</v>
      </c>
      <c r="D6169" t="s">
        <v>11042</v>
      </c>
      <c r="F6169" s="76">
        <v>43</v>
      </c>
      <c r="G6169" s="57" t="s">
        <v>13819</v>
      </c>
      <c r="H6169" s="57" t="s">
        <v>2981</v>
      </c>
    </row>
    <row r="6170" spans="2:8" ht="13.5" customHeight="1">
      <c r="B6170" t="s">
        <v>10985</v>
      </c>
      <c r="D6170" t="s">
        <v>6199</v>
      </c>
      <c r="F6170" s="76">
        <v>72</v>
      </c>
      <c r="G6170" s="57" t="s">
        <v>13819</v>
      </c>
      <c r="H6170" s="57" t="s">
        <v>2981</v>
      </c>
    </row>
    <row r="6171" spans="2:8" ht="13.5" customHeight="1">
      <c r="B6171" t="s">
        <v>10986</v>
      </c>
      <c r="D6171" t="s">
        <v>11043</v>
      </c>
      <c r="F6171" s="76">
        <v>77</v>
      </c>
      <c r="G6171" s="57" t="s">
        <v>13819</v>
      </c>
      <c r="H6171" s="57" t="s">
        <v>2981</v>
      </c>
    </row>
    <row r="6172" spans="2:8" ht="13.5" customHeight="1">
      <c r="B6172" t="s">
        <v>10987</v>
      </c>
      <c r="D6172" t="s">
        <v>11044</v>
      </c>
      <c r="F6172" s="76">
        <v>77</v>
      </c>
      <c r="G6172" s="57" t="s">
        <v>13819</v>
      </c>
      <c r="H6172" s="57" t="s">
        <v>2981</v>
      </c>
    </row>
    <row r="6173" spans="2:8" ht="13.5" customHeight="1">
      <c r="B6173" t="s">
        <v>10988</v>
      </c>
      <c r="D6173" t="s">
        <v>11045</v>
      </c>
      <c r="F6173" s="76">
        <v>87</v>
      </c>
      <c r="G6173" s="57" t="s">
        <v>13819</v>
      </c>
      <c r="H6173" s="57" t="s">
        <v>2981</v>
      </c>
    </row>
    <row r="6174" spans="2:8" ht="13.5" customHeight="1">
      <c r="B6174" t="s">
        <v>10989</v>
      </c>
      <c r="D6174" t="s">
        <v>11046</v>
      </c>
      <c r="F6174" s="76">
        <v>89</v>
      </c>
      <c r="G6174" s="57" t="s">
        <v>13819</v>
      </c>
      <c r="H6174" s="57" t="s">
        <v>2981</v>
      </c>
    </row>
    <row r="6175" spans="2:8" ht="13.5" customHeight="1">
      <c r="B6175" t="s">
        <v>10990</v>
      </c>
      <c r="D6175" t="s">
        <v>385</v>
      </c>
      <c r="F6175" s="76">
        <v>92</v>
      </c>
      <c r="G6175" s="57" t="s">
        <v>13819</v>
      </c>
      <c r="H6175" s="57" t="s">
        <v>2981</v>
      </c>
    </row>
    <row r="6176" spans="2:8" ht="13.5" customHeight="1">
      <c r="B6176" t="s">
        <v>269</v>
      </c>
      <c r="D6176" t="s">
        <v>2223</v>
      </c>
      <c r="F6176" s="76">
        <v>2890</v>
      </c>
      <c r="G6176" s="57" t="s">
        <v>13819</v>
      </c>
      <c r="H6176" s="57" t="s">
        <v>2981</v>
      </c>
    </row>
    <row r="6177" spans="2:8" ht="13.5" customHeight="1">
      <c r="B6177" t="s">
        <v>11047</v>
      </c>
      <c r="D6177" t="s">
        <v>11082</v>
      </c>
      <c r="F6177" s="76">
        <v>1</v>
      </c>
      <c r="G6177" s="57" t="s">
        <v>13819</v>
      </c>
      <c r="H6177" s="57" t="s">
        <v>2982</v>
      </c>
    </row>
    <row r="6178" spans="2:8" ht="13.5" customHeight="1">
      <c r="B6178" t="s">
        <v>11048</v>
      </c>
      <c r="D6178" t="s">
        <v>11083</v>
      </c>
      <c r="F6178" s="76">
        <v>1</v>
      </c>
      <c r="G6178" s="57" t="s">
        <v>13819</v>
      </c>
      <c r="H6178" s="57" t="s">
        <v>2982</v>
      </c>
    </row>
    <row r="6179" spans="2:8" ht="13.5" customHeight="1">
      <c r="B6179" t="s">
        <v>11049</v>
      </c>
      <c r="D6179" t="s">
        <v>11084</v>
      </c>
      <c r="F6179" s="76">
        <v>1</v>
      </c>
      <c r="G6179" s="57" t="s">
        <v>13819</v>
      </c>
      <c r="H6179" s="57" t="s">
        <v>2982</v>
      </c>
    </row>
    <row r="6180" spans="2:8" ht="13.5" customHeight="1">
      <c r="B6180" t="s">
        <v>624</v>
      </c>
      <c r="D6180" t="s">
        <v>11085</v>
      </c>
      <c r="F6180" s="76">
        <v>1</v>
      </c>
      <c r="G6180" s="57" t="s">
        <v>13819</v>
      </c>
      <c r="H6180" s="57" t="s">
        <v>2982</v>
      </c>
    </row>
    <row r="6181" spans="2:8" ht="13.5" customHeight="1">
      <c r="B6181" t="s">
        <v>10400</v>
      </c>
      <c r="D6181" t="s">
        <v>11086</v>
      </c>
      <c r="F6181" s="76">
        <v>1</v>
      </c>
      <c r="G6181" s="57" t="s">
        <v>13819</v>
      </c>
      <c r="H6181" s="57" t="s">
        <v>2982</v>
      </c>
    </row>
    <row r="6182" spans="2:8" ht="13.5" customHeight="1">
      <c r="B6182" t="s">
        <v>11050</v>
      </c>
      <c r="D6182" t="s">
        <v>11087</v>
      </c>
      <c r="F6182" s="76">
        <v>2</v>
      </c>
      <c r="G6182" s="57" t="s">
        <v>13819</v>
      </c>
      <c r="H6182" s="57" t="s">
        <v>2982</v>
      </c>
    </row>
    <row r="6183" spans="2:8" ht="13.5" customHeight="1">
      <c r="B6183" t="s">
        <v>11051</v>
      </c>
      <c r="D6183" t="s">
        <v>11088</v>
      </c>
      <c r="F6183" s="76">
        <v>3</v>
      </c>
      <c r="G6183" s="57" t="s">
        <v>13819</v>
      </c>
      <c r="H6183" s="57" t="s">
        <v>2982</v>
      </c>
    </row>
    <row r="6184" spans="2:8" ht="13.5" customHeight="1">
      <c r="B6184" t="s">
        <v>11052</v>
      </c>
      <c r="D6184" t="s">
        <v>11089</v>
      </c>
      <c r="F6184" s="76">
        <v>3</v>
      </c>
      <c r="G6184" s="57" t="s">
        <v>13819</v>
      </c>
      <c r="H6184" s="57" t="s">
        <v>2982</v>
      </c>
    </row>
    <row r="6185" spans="2:8" ht="13.5" customHeight="1">
      <c r="B6185" t="s">
        <v>11053</v>
      </c>
      <c r="D6185" t="s">
        <v>11090</v>
      </c>
      <c r="F6185" s="76">
        <v>4</v>
      </c>
      <c r="G6185" s="57" t="s">
        <v>13819</v>
      </c>
      <c r="H6185" s="57" t="s">
        <v>2982</v>
      </c>
    </row>
    <row r="6186" spans="2:8" ht="13.5" customHeight="1">
      <c r="B6186" t="s">
        <v>11054</v>
      </c>
      <c r="D6186" t="s">
        <v>658</v>
      </c>
      <c r="F6186" s="76">
        <v>4</v>
      </c>
      <c r="G6186" s="57" t="s">
        <v>13819</v>
      </c>
      <c r="H6186" s="57" t="s">
        <v>2982</v>
      </c>
    </row>
    <row r="6187" spans="2:8" ht="13.5" customHeight="1">
      <c r="B6187" t="s">
        <v>11055</v>
      </c>
      <c r="D6187" t="s">
        <v>11091</v>
      </c>
      <c r="F6187" s="76">
        <v>5</v>
      </c>
      <c r="G6187" s="57" t="s">
        <v>13819</v>
      </c>
      <c r="H6187" s="57" t="s">
        <v>2982</v>
      </c>
    </row>
    <row r="6188" spans="2:8" ht="13.5" customHeight="1">
      <c r="B6188" t="s">
        <v>9965</v>
      </c>
      <c r="D6188" t="s">
        <v>11092</v>
      </c>
      <c r="F6188" s="76">
        <v>5</v>
      </c>
      <c r="G6188" s="57" t="s">
        <v>13819</v>
      </c>
      <c r="H6188" s="57" t="s">
        <v>2982</v>
      </c>
    </row>
    <row r="6189" spans="2:8" ht="13.5" customHeight="1">
      <c r="B6189" t="s">
        <v>5744</v>
      </c>
      <c r="D6189" t="s">
        <v>11093</v>
      </c>
      <c r="F6189" s="76">
        <v>5</v>
      </c>
      <c r="G6189" s="57" t="s">
        <v>13819</v>
      </c>
      <c r="H6189" s="57" t="s">
        <v>2982</v>
      </c>
    </row>
    <row r="6190" spans="2:8" ht="13.5" customHeight="1">
      <c r="B6190" t="s">
        <v>11056</v>
      </c>
      <c r="D6190" t="s">
        <v>11094</v>
      </c>
      <c r="F6190" s="76">
        <v>7</v>
      </c>
      <c r="G6190" s="57" t="s">
        <v>13819</v>
      </c>
      <c r="H6190" s="57" t="s">
        <v>2982</v>
      </c>
    </row>
    <row r="6191" spans="2:8" ht="13.5" customHeight="1">
      <c r="B6191" t="s">
        <v>11057</v>
      </c>
      <c r="D6191" t="s">
        <v>11095</v>
      </c>
      <c r="F6191" s="76">
        <v>7</v>
      </c>
      <c r="G6191" s="57" t="s">
        <v>13819</v>
      </c>
      <c r="H6191" s="57" t="s">
        <v>2982</v>
      </c>
    </row>
    <row r="6192" spans="2:8" ht="13.5" customHeight="1">
      <c r="B6192" t="s">
        <v>11058</v>
      </c>
      <c r="D6192" t="s">
        <v>6710</v>
      </c>
      <c r="F6192" s="76">
        <v>9</v>
      </c>
      <c r="G6192" s="57" t="s">
        <v>13819</v>
      </c>
      <c r="H6192" s="57" t="s">
        <v>2982</v>
      </c>
    </row>
    <row r="6193" spans="2:8" ht="13.5" customHeight="1">
      <c r="B6193" t="s">
        <v>11059</v>
      </c>
      <c r="D6193" t="s">
        <v>11096</v>
      </c>
      <c r="F6193" s="76">
        <v>14</v>
      </c>
      <c r="G6193" s="57" t="s">
        <v>13819</v>
      </c>
      <c r="H6193" s="57" t="s">
        <v>2982</v>
      </c>
    </row>
    <row r="6194" spans="2:8" ht="13.5" customHeight="1">
      <c r="B6194" t="s">
        <v>11060</v>
      </c>
      <c r="D6194" t="s">
        <v>11097</v>
      </c>
      <c r="F6194" s="76">
        <v>14</v>
      </c>
      <c r="G6194" s="57" t="s">
        <v>13819</v>
      </c>
      <c r="H6194" s="57" t="s">
        <v>2982</v>
      </c>
    </row>
    <row r="6195" spans="2:8" ht="13.5" customHeight="1">
      <c r="B6195" t="s">
        <v>11061</v>
      </c>
      <c r="D6195" t="s">
        <v>11098</v>
      </c>
      <c r="F6195" s="76">
        <v>16</v>
      </c>
      <c r="G6195" s="57" t="s">
        <v>13819</v>
      </c>
      <c r="H6195" s="57" t="s">
        <v>2982</v>
      </c>
    </row>
    <row r="6196" spans="2:8" ht="13.5" customHeight="1">
      <c r="B6196" t="s">
        <v>11062</v>
      </c>
      <c r="D6196" t="s">
        <v>11099</v>
      </c>
      <c r="F6196" s="76">
        <v>20</v>
      </c>
      <c r="G6196" s="57" t="s">
        <v>13819</v>
      </c>
      <c r="H6196" s="57" t="s">
        <v>2982</v>
      </c>
    </row>
    <row r="6197" spans="2:8" ht="13.5" customHeight="1">
      <c r="B6197" t="s">
        <v>3560</v>
      </c>
      <c r="D6197" t="s">
        <v>11100</v>
      </c>
      <c r="F6197" s="76">
        <v>20</v>
      </c>
      <c r="G6197" s="57" t="s">
        <v>13819</v>
      </c>
      <c r="H6197" s="57" t="s">
        <v>2982</v>
      </c>
    </row>
    <row r="6198" spans="2:8" ht="13.5" customHeight="1">
      <c r="B6198" t="s">
        <v>3718</v>
      </c>
      <c r="D6198" t="s">
        <v>3881</v>
      </c>
      <c r="F6198" s="76">
        <v>20</v>
      </c>
      <c r="G6198" s="57" t="s">
        <v>13819</v>
      </c>
      <c r="H6198" s="57" t="s">
        <v>2982</v>
      </c>
    </row>
    <row r="6199" spans="2:8" ht="13.5" customHeight="1">
      <c r="B6199" t="s">
        <v>11063</v>
      </c>
      <c r="D6199" t="s">
        <v>11101</v>
      </c>
      <c r="F6199" s="76">
        <v>21</v>
      </c>
      <c r="G6199" s="57" t="s">
        <v>13819</v>
      </c>
      <c r="H6199" s="57" t="s">
        <v>2982</v>
      </c>
    </row>
    <row r="6200" spans="2:8" ht="13.5" customHeight="1">
      <c r="B6200" t="s">
        <v>11064</v>
      </c>
      <c r="D6200" t="s">
        <v>11102</v>
      </c>
      <c r="F6200" s="76">
        <v>30</v>
      </c>
      <c r="G6200" s="57" t="s">
        <v>13819</v>
      </c>
      <c r="H6200" s="57" t="s">
        <v>2982</v>
      </c>
    </row>
    <row r="6201" spans="2:8" ht="13.5" customHeight="1">
      <c r="B6201" t="s">
        <v>11065</v>
      </c>
      <c r="D6201" t="s">
        <v>11103</v>
      </c>
      <c r="F6201" s="76">
        <v>38</v>
      </c>
      <c r="G6201" s="57" t="s">
        <v>13819</v>
      </c>
      <c r="H6201" s="57" t="s">
        <v>2982</v>
      </c>
    </row>
    <row r="6202" spans="2:8" ht="13.5" customHeight="1">
      <c r="B6202" t="s">
        <v>11066</v>
      </c>
      <c r="D6202" t="s">
        <v>11104</v>
      </c>
      <c r="F6202" s="76">
        <v>40</v>
      </c>
      <c r="G6202" s="57" t="s">
        <v>13819</v>
      </c>
      <c r="H6202" s="57" t="s">
        <v>2982</v>
      </c>
    </row>
    <row r="6203" spans="2:8" ht="13.5" customHeight="1">
      <c r="B6203" t="s">
        <v>5420</v>
      </c>
      <c r="D6203" t="s">
        <v>11105</v>
      </c>
      <c r="F6203" s="76">
        <v>46</v>
      </c>
      <c r="G6203" s="57" t="s">
        <v>13819</v>
      </c>
      <c r="H6203" s="57" t="s">
        <v>2982</v>
      </c>
    </row>
    <row r="6204" spans="2:8" ht="13.5" customHeight="1">
      <c r="B6204" t="s">
        <v>11067</v>
      </c>
      <c r="D6204" t="s">
        <v>11106</v>
      </c>
      <c r="F6204" s="76">
        <v>47</v>
      </c>
      <c r="G6204" s="57" t="s">
        <v>13819</v>
      </c>
      <c r="H6204" s="57" t="s">
        <v>2982</v>
      </c>
    </row>
    <row r="6205" spans="2:8" ht="13.5" customHeight="1">
      <c r="B6205" t="s">
        <v>11068</v>
      </c>
      <c r="D6205" t="s">
        <v>11107</v>
      </c>
      <c r="F6205" s="76">
        <v>48</v>
      </c>
      <c r="G6205" s="57" t="s">
        <v>13819</v>
      </c>
      <c r="H6205" s="57" t="s">
        <v>2982</v>
      </c>
    </row>
    <row r="6206" spans="2:8" ht="13.5" customHeight="1">
      <c r="B6206" t="s">
        <v>11069</v>
      </c>
      <c r="D6206" t="s">
        <v>11108</v>
      </c>
      <c r="F6206" s="76">
        <v>48</v>
      </c>
      <c r="G6206" s="57" t="s">
        <v>13819</v>
      </c>
      <c r="H6206" s="57" t="s">
        <v>2982</v>
      </c>
    </row>
    <row r="6207" spans="2:8" ht="13.5" customHeight="1">
      <c r="B6207" t="s">
        <v>11070</v>
      </c>
      <c r="D6207" t="s">
        <v>11109</v>
      </c>
      <c r="F6207" s="76">
        <v>50</v>
      </c>
      <c r="G6207" s="57" t="s">
        <v>13819</v>
      </c>
      <c r="H6207" s="57" t="s">
        <v>2982</v>
      </c>
    </row>
    <row r="6208" spans="2:8" ht="13.5" customHeight="1">
      <c r="B6208" t="s">
        <v>11071</v>
      </c>
      <c r="D6208" t="s">
        <v>11110</v>
      </c>
      <c r="F6208" s="76">
        <v>50</v>
      </c>
      <c r="G6208" s="57" t="s">
        <v>13819</v>
      </c>
      <c r="H6208" s="57" t="s">
        <v>2982</v>
      </c>
    </row>
    <row r="6209" spans="2:8" ht="13.5" customHeight="1">
      <c r="B6209" t="s">
        <v>11072</v>
      </c>
      <c r="D6209" t="s">
        <v>11111</v>
      </c>
      <c r="F6209" s="76">
        <v>51</v>
      </c>
      <c r="G6209" s="57" t="s">
        <v>13819</v>
      </c>
      <c r="H6209" s="57" t="s">
        <v>2982</v>
      </c>
    </row>
    <row r="6210" spans="2:8" ht="13.5" customHeight="1">
      <c r="B6210" t="s">
        <v>11073</v>
      </c>
      <c r="D6210" t="s">
        <v>11112</v>
      </c>
      <c r="F6210" s="76">
        <v>69</v>
      </c>
      <c r="G6210" s="57" t="s">
        <v>13819</v>
      </c>
      <c r="H6210" s="57" t="s">
        <v>2982</v>
      </c>
    </row>
    <row r="6211" spans="2:8" ht="13.5" customHeight="1">
      <c r="B6211" t="s">
        <v>11074</v>
      </c>
      <c r="D6211" t="s">
        <v>11113</v>
      </c>
      <c r="F6211" s="76">
        <v>78</v>
      </c>
      <c r="G6211" s="57" t="s">
        <v>13819</v>
      </c>
      <c r="H6211" s="57" t="s">
        <v>2982</v>
      </c>
    </row>
    <row r="6212" spans="2:8" ht="13.5" customHeight="1">
      <c r="B6212" t="s">
        <v>11075</v>
      </c>
      <c r="D6212" t="s">
        <v>11114</v>
      </c>
      <c r="F6212" s="76">
        <v>82</v>
      </c>
      <c r="G6212" s="57" t="s">
        <v>13819</v>
      </c>
      <c r="H6212" s="57" t="s">
        <v>2982</v>
      </c>
    </row>
    <row r="6213" spans="2:8" ht="13.5" customHeight="1">
      <c r="B6213" t="s">
        <v>11076</v>
      </c>
      <c r="D6213" t="s">
        <v>11115</v>
      </c>
      <c r="F6213" s="76">
        <v>167</v>
      </c>
      <c r="G6213" s="57" t="s">
        <v>13819</v>
      </c>
      <c r="H6213" s="57" t="s">
        <v>2982</v>
      </c>
    </row>
    <row r="6214" spans="2:8" ht="13.5" customHeight="1">
      <c r="B6214" t="s">
        <v>11077</v>
      </c>
      <c r="D6214" t="s">
        <v>11116</v>
      </c>
      <c r="F6214" s="76">
        <v>216</v>
      </c>
      <c r="G6214" s="57" t="s">
        <v>13819</v>
      </c>
      <c r="H6214" s="57" t="s">
        <v>2982</v>
      </c>
    </row>
    <row r="6215" spans="2:8" ht="13.5" customHeight="1">
      <c r="B6215" t="s">
        <v>11078</v>
      </c>
      <c r="D6215" t="s">
        <v>11117</v>
      </c>
      <c r="F6215" s="76">
        <v>267</v>
      </c>
      <c r="G6215" s="57" t="s">
        <v>13819</v>
      </c>
      <c r="H6215" s="57" t="s">
        <v>2982</v>
      </c>
    </row>
    <row r="6216" spans="2:8" ht="13.5" customHeight="1">
      <c r="B6216" t="s">
        <v>11079</v>
      </c>
      <c r="D6216" t="s">
        <v>11118</v>
      </c>
      <c r="F6216" s="76">
        <v>394</v>
      </c>
      <c r="G6216" s="57" t="s">
        <v>13819</v>
      </c>
      <c r="H6216" s="57" t="s">
        <v>2982</v>
      </c>
    </row>
    <row r="6217" spans="2:8" ht="13.5" customHeight="1">
      <c r="B6217" t="s">
        <v>11080</v>
      </c>
      <c r="D6217" t="s">
        <v>11119</v>
      </c>
      <c r="F6217" s="76">
        <v>414</v>
      </c>
      <c r="G6217" s="57" t="s">
        <v>13819</v>
      </c>
      <c r="H6217" s="57" t="s">
        <v>2982</v>
      </c>
    </row>
    <row r="6218" spans="2:8" ht="13.5" customHeight="1">
      <c r="B6218" t="s">
        <v>11081</v>
      </c>
      <c r="D6218" t="s">
        <v>11120</v>
      </c>
      <c r="F6218" s="76">
        <v>79</v>
      </c>
      <c r="G6218" s="57" t="s">
        <v>13819</v>
      </c>
      <c r="H6218" s="57" t="s">
        <v>13772</v>
      </c>
    </row>
    <row r="6219" spans="2:8" ht="13.5" customHeight="1">
      <c r="B6219" t="s">
        <v>11121</v>
      </c>
      <c r="D6219" t="s">
        <v>11159</v>
      </c>
      <c r="F6219" s="76">
        <v>2</v>
      </c>
      <c r="G6219" s="57" t="s">
        <v>13819</v>
      </c>
      <c r="H6219" s="57" t="s">
        <v>2987</v>
      </c>
    </row>
    <row r="6220" spans="2:8" ht="13.5" customHeight="1">
      <c r="B6220" t="s">
        <v>11122</v>
      </c>
      <c r="D6220" t="s">
        <v>11160</v>
      </c>
      <c r="F6220" s="76">
        <v>2</v>
      </c>
      <c r="G6220" s="57" t="s">
        <v>13819</v>
      </c>
      <c r="H6220" s="57" t="s">
        <v>2987</v>
      </c>
    </row>
    <row r="6221" spans="2:8" ht="13.5" customHeight="1">
      <c r="B6221" t="s">
        <v>11123</v>
      </c>
      <c r="D6221" t="s">
        <v>11161</v>
      </c>
      <c r="F6221" s="76">
        <v>3</v>
      </c>
      <c r="G6221" s="57" t="s">
        <v>13819</v>
      </c>
      <c r="H6221" s="57" t="s">
        <v>2987</v>
      </c>
    </row>
    <row r="6222" spans="2:8" ht="13.5" customHeight="1">
      <c r="B6222" t="s">
        <v>11124</v>
      </c>
      <c r="D6222" t="s">
        <v>11162</v>
      </c>
      <c r="F6222" s="76">
        <v>4</v>
      </c>
      <c r="G6222" s="57" t="s">
        <v>13819</v>
      </c>
      <c r="H6222" s="57" t="s">
        <v>2987</v>
      </c>
    </row>
    <row r="6223" spans="2:8" ht="13.5" customHeight="1">
      <c r="B6223" t="s">
        <v>11125</v>
      </c>
      <c r="D6223" t="s">
        <v>11163</v>
      </c>
      <c r="F6223" s="76">
        <v>4</v>
      </c>
      <c r="G6223" s="57" t="s">
        <v>13819</v>
      </c>
      <c r="H6223" s="57" t="s">
        <v>2987</v>
      </c>
    </row>
    <row r="6224" spans="2:8" ht="13.5" customHeight="1">
      <c r="B6224" t="s">
        <v>11126</v>
      </c>
      <c r="D6224" t="s">
        <v>11164</v>
      </c>
      <c r="F6224" s="76">
        <v>4</v>
      </c>
      <c r="G6224" s="57" t="s">
        <v>13819</v>
      </c>
      <c r="H6224" s="57" t="s">
        <v>2987</v>
      </c>
    </row>
    <row r="6225" spans="2:8" ht="13.5" customHeight="1">
      <c r="B6225" t="s">
        <v>11127</v>
      </c>
      <c r="D6225" t="s">
        <v>11165</v>
      </c>
      <c r="F6225" s="76">
        <v>5</v>
      </c>
      <c r="G6225" s="57" t="s">
        <v>13819</v>
      </c>
      <c r="H6225" s="57" t="s">
        <v>2987</v>
      </c>
    </row>
    <row r="6226" spans="2:8" ht="13.5" customHeight="1">
      <c r="B6226" t="s">
        <v>11128</v>
      </c>
      <c r="D6226" t="s">
        <v>11166</v>
      </c>
      <c r="F6226" s="76">
        <v>6</v>
      </c>
      <c r="G6226" s="57" t="s">
        <v>13819</v>
      </c>
      <c r="H6226" s="57" t="s">
        <v>2987</v>
      </c>
    </row>
    <row r="6227" spans="2:8" ht="13.5" customHeight="1">
      <c r="B6227" t="s">
        <v>1394</v>
      </c>
      <c r="D6227" t="s">
        <v>11167</v>
      </c>
      <c r="F6227" s="76">
        <v>6</v>
      </c>
      <c r="G6227" s="57" t="s">
        <v>13819</v>
      </c>
      <c r="H6227" s="57" t="s">
        <v>2987</v>
      </c>
    </row>
    <row r="6228" spans="2:8" ht="13.5" customHeight="1">
      <c r="B6228" t="s">
        <v>11129</v>
      </c>
      <c r="D6228" t="s">
        <v>11168</v>
      </c>
      <c r="F6228" s="76">
        <v>6</v>
      </c>
      <c r="G6228" s="57" t="s">
        <v>13819</v>
      </c>
      <c r="H6228" s="57" t="s">
        <v>2987</v>
      </c>
    </row>
    <row r="6229" spans="2:8" ht="13.5" customHeight="1">
      <c r="B6229" t="s">
        <v>11130</v>
      </c>
      <c r="D6229" t="s">
        <v>11169</v>
      </c>
      <c r="F6229" s="76">
        <v>7</v>
      </c>
      <c r="G6229" s="57" t="s">
        <v>13819</v>
      </c>
      <c r="H6229" s="57" t="s">
        <v>2987</v>
      </c>
    </row>
    <row r="6230" spans="2:8" ht="13.5" customHeight="1">
      <c r="B6230" t="s">
        <v>11131</v>
      </c>
      <c r="D6230" t="s">
        <v>11170</v>
      </c>
      <c r="F6230" s="76">
        <v>8</v>
      </c>
      <c r="G6230" s="57" t="s">
        <v>13819</v>
      </c>
      <c r="H6230" s="57" t="s">
        <v>2987</v>
      </c>
    </row>
    <row r="6231" spans="2:8" ht="13.5" customHeight="1">
      <c r="B6231" t="s">
        <v>11132</v>
      </c>
      <c r="D6231" t="s">
        <v>11171</v>
      </c>
      <c r="F6231" s="76">
        <v>8</v>
      </c>
      <c r="G6231" s="57" t="s">
        <v>13819</v>
      </c>
      <c r="H6231" s="57" t="s">
        <v>2987</v>
      </c>
    </row>
    <row r="6232" spans="2:8" ht="13.5" customHeight="1">
      <c r="B6232" t="s">
        <v>11133</v>
      </c>
      <c r="D6232" t="s">
        <v>11172</v>
      </c>
      <c r="F6232" s="76">
        <v>8</v>
      </c>
      <c r="G6232" s="57" t="s">
        <v>13819</v>
      </c>
      <c r="H6232" s="57" t="s">
        <v>2987</v>
      </c>
    </row>
    <row r="6233" spans="2:8" ht="13.5" customHeight="1">
      <c r="B6233" t="s">
        <v>11134</v>
      </c>
      <c r="D6233" t="s">
        <v>11173</v>
      </c>
      <c r="F6233" s="76">
        <v>8</v>
      </c>
      <c r="G6233" s="57" t="s">
        <v>13819</v>
      </c>
      <c r="H6233" s="57" t="s">
        <v>2987</v>
      </c>
    </row>
    <row r="6234" spans="2:8" ht="13.5" customHeight="1">
      <c r="B6234" t="s">
        <v>11135</v>
      </c>
      <c r="D6234" t="s">
        <v>11174</v>
      </c>
      <c r="F6234" s="76">
        <v>8</v>
      </c>
      <c r="G6234" s="57" t="s">
        <v>13819</v>
      </c>
      <c r="H6234" s="57" t="s">
        <v>2987</v>
      </c>
    </row>
    <row r="6235" spans="2:8" ht="13.5" customHeight="1">
      <c r="B6235" t="s">
        <v>11136</v>
      </c>
      <c r="D6235" t="s">
        <v>11175</v>
      </c>
      <c r="F6235" s="76">
        <v>9</v>
      </c>
      <c r="G6235" s="57" t="s">
        <v>13819</v>
      </c>
      <c r="H6235" s="57" t="s">
        <v>2987</v>
      </c>
    </row>
    <row r="6236" spans="2:8" ht="13.5" customHeight="1">
      <c r="B6236" t="s">
        <v>4080</v>
      </c>
      <c r="D6236" t="s">
        <v>11176</v>
      </c>
      <c r="F6236" s="76">
        <v>10</v>
      </c>
      <c r="G6236" s="57" t="s">
        <v>13819</v>
      </c>
      <c r="H6236" s="57" t="s">
        <v>2987</v>
      </c>
    </row>
    <row r="6237" spans="2:8" ht="13.5" customHeight="1">
      <c r="B6237" t="s">
        <v>11137</v>
      </c>
      <c r="D6237" t="s">
        <v>11177</v>
      </c>
      <c r="F6237" s="76">
        <v>14</v>
      </c>
      <c r="G6237" s="57" t="s">
        <v>13819</v>
      </c>
      <c r="H6237" s="57" t="s">
        <v>2987</v>
      </c>
    </row>
    <row r="6238" spans="2:8" ht="13.5" customHeight="1">
      <c r="B6238" t="s">
        <v>11138</v>
      </c>
      <c r="D6238" t="s">
        <v>9061</v>
      </c>
      <c r="F6238" s="76">
        <v>14</v>
      </c>
      <c r="G6238" s="57" t="s">
        <v>13819</v>
      </c>
      <c r="H6238" s="57" t="s">
        <v>2987</v>
      </c>
    </row>
    <row r="6239" spans="2:8" ht="13.5" customHeight="1">
      <c r="B6239" t="s">
        <v>11139</v>
      </c>
      <c r="D6239" t="s">
        <v>11178</v>
      </c>
      <c r="F6239" s="76">
        <v>18</v>
      </c>
      <c r="G6239" s="57" t="s">
        <v>13819</v>
      </c>
      <c r="H6239" s="57" t="s">
        <v>2987</v>
      </c>
    </row>
    <row r="6240" spans="2:8" ht="13.5" customHeight="1">
      <c r="B6240" t="s">
        <v>11140</v>
      </c>
      <c r="D6240" t="s">
        <v>11179</v>
      </c>
      <c r="F6240" s="76">
        <v>18</v>
      </c>
      <c r="G6240" s="57" t="s">
        <v>13819</v>
      </c>
      <c r="H6240" s="57" t="s">
        <v>2987</v>
      </c>
    </row>
    <row r="6241" spans="2:8" ht="13.5" customHeight="1">
      <c r="B6241" t="s">
        <v>376</v>
      </c>
      <c r="D6241" t="s">
        <v>11180</v>
      </c>
      <c r="F6241" s="76">
        <v>18</v>
      </c>
      <c r="G6241" s="57" t="s">
        <v>13819</v>
      </c>
      <c r="H6241" s="57" t="s">
        <v>2987</v>
      </c>
    </row>
    <row r="6242" spans="2:8" ht="13.5" customHeight="1">
      <c r="B6242" t="s">
        <v>1059</v>
      </c>
      <c r="D6242" t="s">
        <v>1060</v>
      </c>
      <c r="F6242" s="76">
        <v>18</v>
      </c>
      <c r="G6242" s="57" t="s">
        <v>13819</v>
      </c>
      <c r="H6242" s="57" t="s">
        <v>2987</v>
      </c>
    </row>
    <row r="6243" spans="2:8" ht="13.5" customHeight="1">
      <c r="B6243" t="s">
        <v>11141</v>
      </c>
      <c r="D6243" t="s">
        <v>11181</v>
      </c>
      <c r="F6243" s="76">
        <v>20</v>
      </c>
      <c r="G6243" s="57" t="s">
        <v>13819</v>
      </c>
      <c r="H6243" s="57" t="s">
        <v>2987</v>
      </c>
    </row>
    <row r="6244" spans="2:8" ht="13.5" customHeight="1">
      <c r="B6244" t="s">
        <v>11142</v>
      </c>
      <c r="D6244" t="s">
        <v>11182</v>
      </c>
      <c r="F6244" s="76">
        <v>23</v>
      </c>
      <c r="G6244" s="57" t="s">
        <v>13819</v>
      </c>
      <c r="H6244" s="57" t="s">
        <v>2987</v>
      </c>
    </row>
    <row r="6245" spans="2:8" ht="13.5" customHeight="1">
      <c r="B6245" t="s">
        <v>11143</v>
      </c>
      <c r="D6245" t="s">
        <v>11183</v>
      </c>
      <c r="F6245" s="76">
        <v>39</v>
      </c>
      <c r="G6245" s="57" t="s">
        <v>13819</v>
      </c>
      <c r="H6245" s="57" t="s">
        <v>2987</v>
      </c>
    </row>
    <row r="6246" spans="2:8" ht="13.5" customHeight="1">
      <c r="B6246" t="s">
        <v>11144</v>
      </c>
      <c r="D6246" t="s">
        <v>11184</v>
      </c>
      <c r="F6246" s="76">
        <v>45</v>
      </c>
      <c r="G6246" s="57" t="s">
        <v>13819</v>
      </c>
      <c r="H6246" s="57" t="s">
        <v>2987</v>
      </c>
    </row>
    <row r="6247" spans="2:8" ht="13.5" customHeight="1">
      <c r="B6247" t="s">
        <v>11145</v>
      </c>
      <c r="D6247" t="s">
        <v>11185</v>
      </c>
      <c r="F6247" s="76">
        <v>47</v>
      </c>
      <c r="G6247" s="57" t="s">
        <v>13819</v>
      </c>
      <c r="H6247" s="57" t="s">
        <v>2987</v>
      </c>
    </row>
    <row r="6248" spans="2:8" ht="13.5" customHeight="1">
      <c r="B6248" t="s">
        <v>11146</v>
      </c>
      <c r="D6248" t="s">
        <v>11186</v>
      </c>
      <c r="F6248" s="76">
        <v>48</v>
      </c>
      <c r="G6248" s="57" t="s">
        <v>13819</v>
      </c>
      <c r="H6248" s="57" t="s">
        <v>2987</v>
      </c>
    </row>
    <row r="6249" spans="2:8" ht="13.5" customHeight="1">
      <c r="B6249" t="s">
        <v>11147</v>
      </c>
      <c r="D6249" t="s">
        <v>11187</v>
      </c>
      <c r="F6249" s="76">
        <v>52</v>
      </c>
      <c r="G6249" s="57" t="s">
        <v>13819</v>
      </c>
      <c r="H6249" s="57" t="s">
        <v>2987</v>
      </c>
    </row>
    <row r="6250" spans="2:8" ht="13.5" customHeight="1">
      <c r="B6250" t="s">
        <v>11148</v>
      </c>
      <c r="D6250" t="s">
        <v>11188</v>
      </c>
      <c r="F6250" s="76">
        <v>54</v>
      </c>
      <c r="G6250" s="57" t="s">
        <v>13819</v>
      </c>
      <c r="H6250" s="57" t="s">
        <v>2987</v>
      </c>
    </row>
    <row r="6251" spans="2:8" ht="13.5" customHeight="1">
      <c r="B6251" t="s">
        <v>11149</v>
      </c>
      <c r="D6251" t="s">
        <v>11189</v>
      </c>
      <c r="F6251" s="76">
        <v>55</v>
      </c>
      <c r="G6251" s="57" t="s">
        <v>13819</v>
      </c>
      <c r="H6251" s="57" t="s">
        <v>2987</v>
      </c>
    </row>
    <row r="6252" spans="2:8" ht="13.5" customHeight="1">
      <c r="B6252" t="s">
        <v>11150</v>
      </c>
      <c r="D6252" t="s">
        <v>11190</v>
      </c>
      <c r="F6252" s="76">
        <v>90</v>
      </c>
      <c r="G6252" s="57" t="s">
        <v>13819</v>
      </c>
      <c r="H6252" s="57" t="s">
        <v>2987</v>
      </c>
    </row>
    <row r="6253" spans="2:8" ht="13.5" customHeight="1">
      <c r="B6253" t="s">
        <v>11151</v>
      </c>
      <c r="D6253" t="s">
        <v>11191</v>
      </c>
      <c r="F6253" s="76">
        <v>91</v>
      </c>
      <c r="G6253" s="57" t="s">
        <v>13819</v>
      </c>
      <c r="H6253" s="57" t="s">
        <v>2987</v>
      </c>
    </row>
    <row r="6254" spans="2:8" ht="13.5" customHeight="1">
      <c r="B6254" t="s">
        <v>11152</v>
      </c>
      <c r="D6254" t="s">
        <v>11192</v>
      </c>
      <c r="F6254" s="76">
        <v>92</v>
      </c>
      <c r="G6254" s="57" t="s">
        <v>13819</v>
      </c>
      <c r="H6254" s="57" t="s">
        <v>2987</v>
      </c>
    </row>
    <row r="6255" spans="2:8" ht="13.5" customHeight="1">
      <c r="B6255" t="s">
        <v>11153</v>
      </c>
      <c r="D6255" t="s">
        <v>11193</v>
      </c>
      <c r="F6255" s="76">
        <v>110</v>
      </c>
      <c r="G6255" s="57" t="s">
        <v>13819</v>
      </c>
      <c r="H6255" s="57" t="s">
        <v>2987</v>
      </c>
    </row>
    <row r="6256" spans="2:8" ht="13.5" customHeight="1">
      <c r="B6256" t="s">
        <v>11154</v>
      </c>
      <c r="D6256" t="s">
        <v>11194</v>
      </c>
      <c r="F6256" s="76">
        <v>247</v>
      </c>
      <c r="G6256" s="57" t="s">
        <v>13819</v>
      </c>
      <c r="H6256" s="57" t="s">
        <v>2987</v>
      </c>
    </row>
    <row r="6257" spans="2:8" ht="13.5" customHeight="1">
      <c r="B6257" t="s">
        <v>11155</v>
      </c>
      <c r="D6257" t="s">
        <v>11195</v>
      </c>
      <c r="F6257" s="76">
        <v>363</v>
      </c>
      <c r="G6257" s="57" t="s">
        <v>13819</v>
      </c>
      <c r="H6257" s="57" t="s">
        <v>2987</v>
      </c>
    </row>
    <row r="6258" spans="2:8" ht="13.5" customHeight="1">
      <c r="B6258" t="s">
        <v>11156</v>
      </c>
      <c r="D6258" t="s">
        <v>11196</v>
      </c>
      <c r="F6258" s="76">
        <v>410</v>
      </c>
      <c r="G6258" s="57" t="s">
        <v>13819</v>
      </c>
      <c r="H6258" s="57" t="s">
        <v>2987</v>
      </c>
    </row>
    <row r="6259" spans="2:8" ht="13.5" customHeight="1">
      <c r="B6259" t="s">
        <v>11157</v>
      </c>
      <c r="D6259" t="s">
        <v>11197</v>
      </c>
      <c r="F6259" s="76">
        <v>500</v>
      </c>
      <c r="G6259" s="57" t="s">
        <v>13819</v>
      </c>
      <c r="H6259" s="57" t="s">
        <v>2987</v>
      </c>
    </row>
    <row r="6260" spans="2:8" ht="13.5" customHeight="1">
      <c r="B6260" t="s">
        <v>11158</v>
      </c>
      <c r="D6260" t="s">
        <v>11198</v>
      </c>
      <c r="F6260" s="76">
        <v>583</v>
      </c>
      <c r="G6260" s="57" t="s">
        <v>13819</v>
      </c>
      <c r="H6260" s="57" t="s">
        <v>2987</v>
      </c>
    </row>
    <row r="6261" spans="2:8" ht="13.5" customHeight="1">
      <c r="B6261" t="s">
        <v>11199</v>
      </c>
      <c r="D6261" t="s">
        <v>11234</v>
      </c>
      <c r="F6261" s="76">
        <v>1</v>
      </c>
      <c r="G6261" s="57" t="s">
        <v>13819</v>
      </c>
      <c r="H6261" s="57" t="s">
        <v>13773</v>
      </c>
    </row>
    <row r="6262" spans="2:8" ht="13.5" customHeight="1">
      <c r="B6262" t="s">
        <v>10394</v>
      </c>
      <c r="D6262" t="s">
        <v>11235</v>
      </c>
      <c r="F6262" s="76">
        <v>1</v>
      </c>
      <c r="G6262" s="57" t="s">
        <v>13819</v>
      </c>
      <c r="H6262" s="57" t="s">
        <v>13773</v>
      </c>
    </row>
    <row r="6263" spans="2:8" ht="13.5" customHeight="1">
      <c r="B6263" t="s">
        <v>11200</v>
      </c>
      <c r="D6263" t="s">
        <v>11236</v>
      </c>
      <c r="F6263" s="76">
        <v>1</v>
      </c>
      <c r="G6263" s="57" t="s">
        <v>13819</v>
      </c>
      <c r="H6263" s="57" t="s">
        <v>13773</v>
      </c>
    </row>
    <row r="6264" spans="2:8" ht="13.5" customHeight="1">
      <c r="B6264" t="s">
        <v>856</v>
      </c>
      <c r="D6264" t="s">
        <v>11237</v>
      </c>
      <c r="F6264" s="76">
        <v>2</v>
      </c>
      <c r="G6264" s="57" t="s">
        <v>13819</v>
      </c>
      <c r="H6264" s="57" t="s">
        <v>13773</v>
      </c>
    </row>
    <row r="6265" spans="2:8" ht="13.5" customHeight="1">
      <c r="B6265" t="s">
        <v>11201</v>
      </c>
      <c r="D6265" t="s">
        <v>11238</v>
      </c>
      <c r="F6265" s="76">
        <v>2</v>
      </c>
      <c r="G6265" s="57" t="s">
        <v>13819</v>
      </c>
      <c r="H6265" s="57" t="s">
        <v>13773</v>
      </c>
    </row>
    <row r="6266" spans="2:8" ht="13.5" customHeight="1">
      <c r="B6266" t="s">
        <v>11202</v>
      </c>
      <c r="D6266" t="s">
        <v>11239</v>
      </c>
      <c r="F6266" s="76">
        <v>2</v>
      </c>
      <c r="G6266" s="57" t="s">
        <v>13819</v>
      </c>
      <c r="H6266" s="57" t="s">
        <v>13773</v>
      </c>
    </row>
    <row r="6267" spans="2:8" ht="13.5" customHeight="1">
      <c r="B6267" t="s">
        <v>11203</v>
      </c>
      <c r="D6267" t="s">
        <v>11240</v>
      </c>
      <c r="F6267" s="76">
        <v>2</v>
      </c>
      <c r="G6267" s="57" t="s">
        <v>13819</v>
      </c>
      <c r="H6267" s="57" t="s">
        <v>13773</v>
      </c>
    </row>
    <row r="6268" spans="2:8" ht="13.5" customHeight="1">
      <c r="B6268" t="s">
        <v>11204</v>
      </c>
      <c r="D6268" t="s">
        <v>7213</v>
      </c>
      <c r="F6268" s="76">
        <v>2</v>
      </c>
      <c r="G6268" s="57" t="s">
        <v>13819</v>
      </c>
      <c r="H6268" s="57" t="s">
        <v>13773</v>
      </c>
    </row>
    <row r="6269" spans="2:8" ht="13.5" customHeight="1">
      <c r="B6269" t="s">
        <v>11205</v>
      </c>
      <c r="D6269" t="s">
        <v>11241</v>
      </c>
      <c r="F6269" s="76">
        <v>3</v>
      </c>
      <c r="G6269" s="57" t="s">
        <v>13819</v>
      </c>
      <c r="H6269" s="57" t="s">
        <v>13773</v>
      </c>
    </row>
    <row r="6270" spans="2:8" ht="13.5" customHeight="1">
      <c r="B6270" t="s">
        <v>11206</v>
      </c>
      <c r="D6270" t="s">
        <v>11242</v>
      </c>
      <c r="F6270" s="76">
        <v>3</v>
      </c>
      <c r="G6270" s="57" t="s">
        <v>13819</v>
      </c>
      <c r="H6270" s="57" t="s">
        <v>13773</v>
      </c>
    </row>
    <row r="6271" spans="2:8" ht="13.5" customHeight="1">
      <c r="B6271" t="s">
        <v>11122</v>
      </c>
      <c r="D6271" t="s">
        <v>11243</v>
      </c>
      <c r="F6271" s="76">
        <v>3</v>
      </c>
      <c r="G6271" s="57" t="s">
        <v>13819</v>
      </c>
      <c r="H6271" s="57" t="s">
        <v>13773</v>
      </c>
    </row>
    <row r="6272" spans="2:8" ht="13.5" customHeight="1">
      <c r="B6272" t="s">
        <v>11207</v>
      </c>
      <c r="D6272" t="s">
        <v>11244</v>
      </c>
      <c r="F6272" s="76">
        <v>3</v>
      </c>
      <c r="G6272" s="57" t="s">
        <v>13819</v>
      </c>
      <c r="H6272" s="57" t="s">
        <v>13773</v>
      </c>
    </row>
    <row r="6273" spans="2:8" ht="13.5" customHeight="1">
      <c r="B6273" t="s">
        <v>11208</v>
      </c>
      <c r="D6273" t="s">
        <v>11245</v>
      </c>
      <c r="F6273" s="76">
        <v>4</v>
      </c>
      <c r="G6273" s="57" t="s">
        <v>13819</v>
      </c>
      <c r="H6273" s="57" t="s">
        <v>13773</v>
      </c>
    </row>
    <row r="6274" spans="2:8" ht="13.5" customHeight="1">
      <c r="B6274" t="s">
        <v>11209</v>
      </c>
      <c r="D6274" t="s">
        <v>11246</v>
      </c>
      <c r="F6274" s="76">
        <v>4</v>
      </c>
      <c r="G6274" s="57" t="s">
        <v>13819</v>
      </c>
      <c r="H6274" s="57" t="s">
        <v>13773</v>
      </c>
    </row>
    <row r="6275" spans="2:8" ht="13.5" customHeight="1">
      <c r="B6275" t="s">
        <v>3970</v>
      </c>
      <c r="D6275" t="s">
        <v>11247</v>
      </c>
      <c r="F6275" s="76">
        <v>4</v>
      </c>
      <c r="G6275" s="57" t="s">
        <v>13819</v>
      </c>
      <c r="H6275" s="57" t="s">
        <v>13773</v>
      </c>
    </row>
    <row r="6276" spans="2:8" ht="13.5" customHeight="1">
      <c r="B6276" t="s">
        <v>11210</v>
      </c>
      <c r="D6276" t="s">
        <v>11248</v>
      </c>
      <c r="F6276" s="76">
        <v>5</v>
      </c>
      <c r="G6276" s="57" t="s">
        <v>13819</v>
      </c>
      <c r="H6276" s="57" t="s">
        <v>13773</v>
      </c>
    </row>
    <row r="6277" spans="2:8" ht="13.5" customHeight="1">
      <c r="B6277" t="s">
        <v>11211</v>
      </c>
      <c r="D6277" t="s">
        <v>11249</v>
      </c>
      <c r="F6277" s="76">
        <v>5</v>
      </c>
      <c r="G6277" s="57" t="s">
        <v>13819</v>
      </c>
      <c r="H6277" s="57" t="s">
        <v>13773</v>
      </c>
    </row>
    <row r="6278" spans="2:8" ht="13.5" customHeight="1">
      <c r="B6278" t="s">
        <v>11212</v>
      </c>
      <c r="D6278" t="s">
        <v>11250</v>
      </c>
      <c r="F6278" s="76">
        <v>8</v>
      </c>
      <c r="G6278" s="57" t="s">
        <v>13819</v>
      </c>
      <c r="H6278" s="57" t="s">
        <v>13773</v>
      </c>
    </row>
    <row r="6279" spans="2:8" ht="13.5" customHeight="1">
      <c r="B6279" t="s">
        <v>11213</v>
      </c>
      <c r="D6279" t="s">
        <v>11251</v>
      </c>
      <c r="F6279" s="76">
        <v>8</v>
      </c>
      <c r="G6279" s="57" t="s">
        <v>13819</v>
      </c>
      <c r="H6279" s="57" t="s">
        <v>13773</v>
      </c>
    </row>
    <row r="6280" spans="2:8" ht="13.5" customHeight="1">
      <c r="B6280" t="s">
        <v>9737</v>
      </c>
      <c r="D6280" t="s">
        <v>11252</v>
      </c>
      <c r="F6280" s="76">
        <v>9</v>
      </c>
      <c r="G6280" s="57" t="s">
        <v>13819</v>
      </c>
      <c r="H6280" s="57" t="s">
        <v>13773</v>
      </c>
    </row>
    <row r="6281" spans="2:8" ht="13.5" customHeight="1">
      <c r="B6281" t="s">
        <v>11214</v>
      </c>
      <c r="D6281" t="s">
        <v>11253</v>
      </c>
      <c r="F6281" s="76">
        <v>9</v>
      </c>
      <c r="G6281" s="57" t="s">
        <v>13819</v>
      </c>
      <c r="H6281" s="57" t="s">
        <v>13773</v>
      </c>
    </row>
    <row r="6282" spans="2:8" ht="13.5" customHeight="1">
      <c r="B6282" t="s">
        <v>11215</v>
      </c>
      <c r="D6282" t="s">
        <v>11254</v>
      </c>
      <c r="F6282" s="76">
        <v>10</v>
      </c>
      <c r="G6282" s="57" t="s">
        <v>13819</v>
      </c>
      <c r="H6282" s="57" t="s">
        <v>13773</v>
      </c>
    </row>
    <row r="6283" spans="2:8" ht="13.5" customHeight="1">
      <c r="B6283" t="s">
        <v>11216</v>
      </c>
      <c r="D6283" t="s">
        <v>7224</v>
      </c>
      <c r="F6283" s="76">
        <v>10</v>
      </c>
      <c r="G6283" s="57" t="s">
        <v>13819</v>
      </c>
      <c r="H6283" s="57" t="s">
        <v>13773</v>
      </c>
    </row>
    <row r="6284" spans="2:8" ht="13.5" customHeight="1">
      <c r="B6284" t="s">
        <v>10461</v>
      </c>
      <c r="D6284" t="s">
        <v>11255</v>
      </c>
      <c r="F6284" s="76">
        <v>11</v>
      </c>
      <c r="G6284" s="57" t="s">
        <v>13819</v>
      </c>
      <c r="H6284" s="57" t="s">
        <v>13773</v>
      </c>
    </row>
    <row r="6285" spans="2:8" ht="13.5" customHeight="1">
      <c r="B6285" t="s">
        <v>11217</v>
      </c>
      <c r="D6285" t="s">
        <v>11256</v>
      </c>
      <c r="F6285" s="76">
        <v>14</v>
      </c>
      <c r="G6285" s="57" t="s">
        <v>13819</v>
      </c>
      <c r="H6285" s="57" t="s">
        <v>13773</v>
      </c>
    </row>
    <row r="6286" spans="2:8" ht="13.5" customHeight="1">
      <c r="B6286" t="s">
        <v>11218</v>
      </c>
      <c r="D6286" t="s">
        <v>11257</v>
      </c>
      <c r="F6286" s="76">
        <v>14</v>
      </c>
      <c r="G6286" s="57" t="s">
        <v>13819</v>
      </c>
      <c r="H6286" s="57" t="s">
        <v>13773</v>
      </c>
    </row>
    <row r="6287" spans="2:8" ht="13.5" customHeight="1">
      <c r="B6287" t="s">
        <v>11219</v>
      </c>
      <c r="D6287" t="s">
        <v>11258</v>
      </c>
      <c r="F6287" s="76">
        <v>14</v>
      </c>
      <c r="G6287" s="57" t="s">
        <v>13819</v>
      </c>
      <c r="H6287" s="57" t="s">
        <v>13773</v>
      </c>
    </row>
    <row r="6288" spans="2:8" ht="13.5" customHeight="1">
      <c r="B6288" t="s">
        <v>11220</v>
      </c>
      <c r="D6288" t="s">
        <v>11259</v>
      </c>
      <c r="F6288" s="76">
        <v>14</v>
      </c>
      <c r="G6288" s="57" t="s">
        <v>13819</v>
      </c>
      <c r="H6288" s="57" t="s">
        <v>13773</v>
      </c>
    </row>
    <row r="6289" spans="2:8" ht="13.5" customHeight="1">
      <c r="B6289" t="s">
        <v>11221</v>
      </c>
      <c r="D6289" t="s">
        <v>11260</v>
      </c>
      <c r="F6289" s="76">
        <v>17</v>
      </c>
      <c r="G6289" s="57" t="s">
        <v>13819</v>
      </c>
      <c r="H6289" s="57" t="s">
        <v>13773</v>
      </c>
    </row>
    <row r="6290" spans="2:8" ht="13.5" customHeight="1">
      <c r="B6290" t="s">
        <v>11222</v>
      </c>
      <c r="D6290" t="s">
        <v>11261</v>
      </c>
      <c r="F6290" s="76">
        <v>18</v>
      </c>
      <c r="G6290" s="57" t="s">
        <v>13819</v>
      </c>
      <c r="H6290" s="57" t="s">
        <v>13773</v>
      </c>
    </row>
    <row r="6291" spans="2:8" ht="13.5" customHeight="1">
      <c r="B6291" t="s">
        <v>11223</v>
      </c>
      <c r="D6291" t="s">
        <v>11262</v>
      </c>
      <c r="F6291" s="76">
        <v>45</v>
      </c>
      <c r="G6291" s="57" t="s">
        <v>13819</v>
      </c>
      <c r="H6291" s="57" t="s">
        <v>13773</v>
      </c>
    </row>
    <row r="6292" spans="2:8" ht="13.5" customHeight="1">
      <c r="B6292" t="s">
        <v>11224</v>
      </c>
      <c r="D6292" t="s">
        <v>11263</v>
      </c>
      <c r="F6292" s="76">
        <v>47</v>
      </c>
      <c r="G6292" s="57" t="s">
        <v>13819</v>
      </c>
      <c r="H6292" s="57" t="s">
        <v>13773</v>
      </c>
    </row>
    <row r="6293" spans="2:8" ht="13.5" customHeight="1">
      <c r="B6293" t="s">
        <v>11225</v>
      </c>
      <c r="D6293" t="s">
        <v>11264</v>
      </c>
      <c r="F6293" s="76">
        <v>49</v>
      </c>
      <c r="G6293" s="57" t="s">
        <v>13819</v>
      </c>
      <c r="H6293" s="57" t="s">
        <v>13773</v>
      </c>
    </row>
    <row r="6294" spans="2:8" ht="13.5" customHeight="1">
      <c r="B6294" t="s">
        <v>11226</v>
      </c>
      <c r="D6294" t="s">
        <v>11265</v>
      </c>
      <c r="F6294" s="76">
        <v>49</v>
      </c>
      <c r="G6294" s="57" t="s">
        <v>13819</v>
      </c>
      <c r="H6294" s="57" t="s">
        <v>13773</v>
      </c>
    </row>
    <row r="6295" spans="2:8" ht="13.5" customHeight="1">
      <c r="B6295" t="s">
        <v>11227</v>
      </c>
      <c r="D6295" t="s">
        <v>11266</v>
      </c>
      <c r="F6295" s="76">
        <v>50</v>
      </c>
      <c r="G6295" s="57" t="s">
        <v>13819</v>
      </c>
      <c r="H6295" s="57" t="s">
        <v>13773</v>
      </c>
    </row>
    <row r="6296" spans="2:8" ht="13.5" customHeight="1">
      <c r="B6296" t="s">
        <v>11228</v>
      </c>
      <c r="D6296" t="s">
        <v>11267</v>
      </c>
      <c r="F6296" s="76">
        <v>51</v>
      </c>
      <c r="G6296" s="57" t="s">
        <v>13819</v>
      </c>
      <c r="H6296" s="57" t="s">
        <v>13773</v>
      </c>
    </row>
    <row r="6297" spans="2:8" ht="13.5" customHeight="1">
      <c r="B6297" t="s">
        <v>5283</v>
      </c>
      <c r="D6297" t="s">
        <v>11268</v>
      </c>
      <c r="F6297" s="76">
        <v>60</v>
      </c>
      <c r="G6297" s="57" t="s">
        <v>13819</v>
      </c>
      <c r="H6297" s="57" t="s">
        <v>13773</v>
      </c>
    </row>
    <row r="6298" spans="2:8" ht="13.5" customHeight="1">
      <c r="B6298" t="s">
        <v>11229</v>
      </c>
      <c r="D6298" t="s">
        <v>11269</v>
      </c>
      <c r="F6298" s="76">
        <v>94</v>
      </c>
      <c r="G6298" s="57" t="s">
        <v>13819</v>
      </c>
      <c r="H6298" s="57" t="s">
        <v>13773</v>
      </c>
    </row>
    <row r="6299" spans="2:8" ht="13.5" customHeight="1">
      <c r="B6299" t="s">
        <v>11230</v>
      </c>
      <c r="D6299" t="s">
        <v>11270</v>
      </c>
      <c r="F6299" s="76">
        <v>94</v>
      </c>
      <c r="G6299" s="57" t="s">
        <v>13819</v>
      </c>
      <c r="H6299" s="57" t="s">
        <v>13773</v>
      </c>
    </row>
    <row r="6300" spans="2:8" ht="13.5" customHeight="1">
      <c r="B6300" t="s">
        <v>11231</v>
      </c>
      <c r="D6300" t="s">
        <v>11271</v>
      </c>
      <c r="F6300" s="76">
        <v>97</v>
      </c>
      <c r="G6300" s="57" t="s">
        <v>13819</v>
      </c>
      <c r="H6300" s="57" t="s">
        <v>13773</v>
      </c>
    </row>
    <row r="6301" spans="2:8" ht="13.5" customHeight="1">
      <c r="B6301" t="s">
        <v>11232</v>
      </c>
      <c r="D6301" t="s">
        <v>11272</v>
      </c>
      <c r="F6301" s="76">
        <v>159</v>
      </c>
      <c r="G6301" s="57" t="s">
        <v>13819</v>
      </c>
      <c r="H6301" s="57" t="s">
        <v>13773</v>
      </c>
    </row>
    <row r="6302" spans="2:8" ht="13.5" customHeight="1">
      <c r="B6302" t="s">
        <v>11233</v>
      </c>
      <c r="D6302" t="s">
        <v>11273</v>
      </c>
      <c r="F6302" s="76">
        <v>475</v>
      </c>
      <c r="G6302" s="57" t="s">
        <v>13819</v>
      </c>
      <c r="H6302" s="57" t="s">
        <v>13773</v>
      </c>
    </row>
    <row r="6303" spans="2:8" ht="13.5" customHeight="1">
      <c r="B6303" t="s">
        <v>11274</v>
      </c>
      <c r="D6303" t="s">
        <v>11355</v>
      </c>
      <c r="F6303" s="76">
        <v>1</v>
      </c>
      <c r="G6303" s="57" t="s">
        <v>13819</v>
      </c>
      <c r="H6303" s="57" t="s">
        <v>2984</v>
      </c>
    </row>
    <row r="6304" spans="2:8" ht="13.5" customHeight="1">
      <c r="B6304" t="s">
        <v>11275</v>
      </c>
      <c r="D6304" t="s">
        <v>11356</v>
      </c>
      <c r="F6304" s="76">
        <v>1</v>
      </c>
      <c r="G6304" s="57" t="s">
        <v>13819</v>
      </c>
      <c r="H6304" s="57" t="s">
        <v>2984</v>
      </c>
    </row>
    <row r="6305" spans="2:8" ht="13.5" customHeight="1">
      <c r="B6305" t="s">
        <v>11276</v>
      </c>
      <c r="D6305" t="s">
        <v>11357</v>
      </c>
      <c r="F6305" s="76">
        <v>2</v>
      </c>
      <c r="G6305" s="57" t="s">
        <v>13819</v>
      </c>
      <c r="H6305" s="57" t="s">
        <v>2984</v>
      </c>
    </row>
    <row r="6306" spans="2:8" ht="13.5" customHeight="1">
      <c r="B6306" t="s">
        <v>11277</v>
      </c>
      <c r="D6306" t="s">
        <v>11358</v>
      </c>
      <c r="F6306" s="76">
        <v>2</v>
      </c>
      <c r="G6306" s="57" t="s">
        <v>13819</v>
      </c>
      <c r="H6306" s="57" t="s">
        <v>2984</v>
      </c>
    </row>
    <row r="6307" spans="2:8" ht="13.5" customHeight="1">
      <c r="B6307" t="s">
        <v>11278</v>
      </c>
      <c r="D6307" t="s">
        <v>11359</v>
      </c>
      <c r="F6307" s="76">
        <v>3</v>
      </c>
      <c r="G6307" s="57" t="s">
        <v>13819</v>
      </c>
      <c r="H6307" s="57" t="s">
        <v>2984</v>
      </c>
    </row>
    <row r="6308" spans="2:8" ht="13.5" customHeight="1">
      <c r="B6308" t="s">
        <v>11279</v>
      </c>
      <c r="D6308" t="s">
        <v>11360</v>
      </c>
      <c r="F6308" s="76">
        <v>5</v>
      </c>
      <c r="G6308" s="57" t="s">
        <v>13819</v>
      </c>
      <c r="H6308" s="57" t="s">
        <v>2984</v>
      </c>
    </row>
    <row r="6309" spans="2:8" ht="13.5" customHeight="1">
      <c r="B6309" t="s">
        <v>4056</v>
      </c>
      <c r="D6309" t="s">
        <v>11361</v>
      </c>
      <c r="F6309" s="76">
        <v>8</v>
      </c>
      <c r="G6309" s="57" t="s">
        <v>13819</v>
      </c>
      <c r="H6309" s="57" t="s">
        <v>2984</v>
      </c>
    </row>
    <row r="6310" spans="2:8" ht="13.5" customHeight="1">
      <c r="B6310" t="s">
        <v>11280</v>
      </c>
      <c r="D6310" t="s">
        <v>11362</v>
      </c>
      <c r="F6310" s="76">
        <v>10</v>
      </c>
      <c r="G6310" s="57" t="s">
        <v>13819</v>
      </c>
      <c r="H6310" s="57" t="s">
        <v>2984</v>
      </c>
    </row>
    <row r="6311" spans="2:8" ht="13.5" customHeight="1">
      <c r="B6311" t="s">
        <v>11281</v>
      </c>
      <c r="D6311" t="s">
        <v>11363</v>
      </c>
      <c r="F6311" s="76">
        <v>10</v>
      </c>
      <c r="G6311" s="57" t="s">
        <v>13819</v>
      </c>
      <c r="H6311" s="57" t="s">
        <v>2984</v>
      </c>
    </row>
    <row r="6312" spans="2:8" ht="13.5" customHeight="1">
      <c r="B6312" t="s">
        <v>4608</v>
      </c>
      <c r="D6312" t="s">
        <v>11364</v>
      </c>
      <c r="F6312" s="76">
        <v>14</v>
      </c>
      <c r="G6312" s="57" t="s">
        <v>13819</v>
      </c>
      <c r="H6312" s="57" t="s">
        <v>2984</v>
      </c>
    </row>
    <row r="6313" spans="2:8" ht="13.5" customHeight="1">
      <c r="B6313" t="s">
        <v>9799</v>
      </c>
      <c r="D6313" t="s">
        <v>5954</v>
      </c>
      <c r="F6313" s="76">
        <v>15</v>
      </c>
      <c r="G6313" s="57" t="s">
        <v>13819</v>
      </c>
      <c r="H6313" s="57" t="s">
        <v>2984</v>
      </c>
    </row>
    <row r="6314" spans="2:8" ht="13.5" customHeight="1">
      <c r="B6314" t="s">
        <v>11282</v>
      </c>
      <c r="D6314" t="s">
        <v>11365</v>
      </c>
      <c r="F6314" s="76">
        <v>20</v>
      </c>
      <c r="G6314" s="57" t="s">
        <v>13819</v>
      </c>
      <c r="H6314" s="57" t="s">
        <v>2984</v>
      </c>
    </row>
    <row r="6315" spans="2:8" ht="13.5" customHeight="1">
      <c r="B6315" t="s">
        <v>6196</v>
      </c>
      <c r="D6315" t="s">
        <v>6197</v>
      </c>
      <c r="F6315" s="76">
        <v>22</v>
      </c>
      <c r="G6315" s="57" t="s">
        <v>13819</v>
      </c>
      <c r="H6315" s="57" t="s">
        <v>2984</v>
      </c>
    </row>
    <row r="6316" spans="2:8" ht="13.5" customHeight="1">
      <c r="B6316" t="s">
        <v>11283</v>
      </c>
      <c r="D6316" t="s">
        <v>11366</v>
      </c>
      <c r="F6316" s="76">
        <v>22</v>
      </c>
      <c r="G6316" s="57" t="s">
        <v>13819</v>
      </c>
      <c r="H6316" s="57" t="s">
        <v>2984</v>
      </c>
    </row>
    <row r="6317" spans="2:8" ht="13.5" customHeight="1">
      <c r="B6317" t="s">
        <v>11284</v>
      </c>
      <c r="D6317" t="s">
        <v>11367</v>
      </c>
      <c r="F6317" s="76">
        <v>26</v>
      </c>
      <c r="G6317" s="57" t="s">
        <v>13819</v>
      </c>
      <c r="H6317" s="57" t="s">
        <v>2984</v>
      </c>
    </row>
    <row r="6318" spans="2:8" ht="13.5" customHeight="1">
      <c r="B6318" t="s">
        <v>11285</v>
      </c>
      <c r="D6318" t="s">
        <v>11368</v>
      </c>
      <c r="F6318" s="76">
        <v>36</v>
      </c>
      <c r="G6318" s="57" t="s">
        <v>13819</v>
      </c>
      <c r="H6318" s="57" t="s">
        <v>2984</v>
      </c>
    </row>
    <row r="6319" spans="2:8" ht="13.5" customHeight="1">
      <c r="B6319" t="s">
        <v>4050</v>
      </c>
      <c r="D6319" t="s">
        <v>11369</v>
      </c>
      <c r="F6319" s="76">
        <v>37</v>
      </c>
      <c r="G6319" s="57" t="s">
        <v>13819</v>
      </c>
      <c r="H6319" s="57" t="s">
        <v>2984</v>
      </c>
    </row>
    <row r="6320" spans="2:8" ht="13.5" customHeight="1">
      <c r="B6320" t="s">
        <v>11286</v>
      </c>
      <c r="D6320" t="s">
        <v>11370</v>
      </c>
      <c r="F6320" s="76">
        <v>37</v>
      </c>
      <c r="G6320" s="57" t="s">
        <v>13819</v>
      </c>
      <c r="H6320" s="57" t="s">
        <v>2984</v>
      </c>
    </row>
    <row r="6321" spans="2:8" ht="13.5" customHeight="1">
      <c r="B6321" t="s">
        <v>11287</v>
      </c>
      <c r="D6321" t="s">
        <v>11371</v>
      </c>
      <c r="F6321" s="76">
        <v>38</v>
      </c>
      <c r="G6321" s="57" t="s">
        <v>13819</v>
      </c>
      <c r="H6321" s="57" t="s">
        <v>2984</v>
      </c>
    </row>
    <row r="6322" spans="2:8" ht="13.5" customHeight="1">
      <c r="B6322" t="s">
        <v>11288</v>
      </c>
      <c r="D6322" t="s">
        <v>11372</v>
      </c>
      <c r="F6322" s="76">
        <v>38</v>
      </c>
      <c r="G6322" s="57" t="s">
        <v>13819</v>
      </c>
      <c r="H6322" s="57" t="s">
        <v>2984</v>
      </c>
    </row>
    <row r="6323" spans="2:8" ht="13.5" customHeight="1">
      <c r="B6323" t="s">
        <v>11289</v>
      </c>
      <c r="D6323" t="s">
        <v>1104</v>
      </c>
      <c r="F6323" s="76">
        <v>40</v>
      </c>
      <c r="G6323" s="57" t="s">
        <v>13819</v>
      </c>
      <c r="H6323" s="57" t="s">
        <v>2984</v>
      </c>
    </row>
    <row r="6324" spans="2:8" ht="13.5" customHeight="1">
      <c r="B6324" t="s">
        <v>11290</v>
      </c>
      <c r="D6324" t="s">
        <v>11373</v>
      </c>
      <c r="F6324" s="76">
        <v>44</v>
      </c>
      <c r="G6324" s="57" t="s">
        <v>13819</v>
      </c>
      <c r="H6324" s="57" t="s">
        <v>2984</v>
      </c>
    </row>
    <row r="6325" spans="2:8" ht="13.5" customHeight="1">
      <c r="B6325" t="s">
        <v>11291</v>
      </c>
      <c r="D6325" t="s">
        <v>11374</v>
      </c>
      <c r="F6325" s="76">
        <v>46</v>
      </c>
      <c r="G6325" s="57" t="s">
        <v>13819</v>
      </c>
      <c r="H6325" s="57" t="s">
        <v>2984</v>
      </c>
    </row>
    <row r="6326" spans="2:8" ht="13.5" customHeight="1">
      <c r="B6326" t="s">
        <v>11292</v>
      </c>
      <c r="D6326" t="s">
        <v>3724</v>
      </c>
      <c r="F6326" s="76">
        <v>63</v>
      </c>
      <c r="G6326" s="57" t="s">
        <v>13819</v>
      </c>
      <c r="H6326" s="57" t="s">
        <v>2984</v>
      </c>
    </row>
    <row r="6327" spans="2:8" ht="13.5" customHeight="1">
      <c r="B6327" t="s">
        <v>11293</v>
      </c>
      <c r="D6327" t="s">
        <v>3179</v>
      </c>
      <c r="F6327" s="76">
        <v>67</v>
      </c>
      <c r="G6327" s="57" t="s">
        <v>13819</v>
      </c>
      <c r="H6327" s="57" t="s">
        <v>2984</v>
      </c>
    </row>
    <row r="6328" spans="2:8" ht="13.5" customHeight="1">
      <c r="B6328" t="s">
        <v>11294</v>
      </c>
      <c r="D6328" t="s">
        <v>11375</v>
      </c>
      <c r="F6328" s="76">
        <v>118</v>
      </c>
      <c r="G6328" s="57" t="s">
        <v>13819</v>
      </c>
      <c r="H6328" s="57" t="s">
        <v>2984</v>
      </c>
    </row>
    <row r="6329" spans="2:8" ht="13.5" customHeight="1">
      <c r="B6329" t="s">
        <v>11295</v>
      </c>
      <c r="D6329" t="s">
        <v>7982</v>
      </c>
      <c r="F6329" s="76">
        <v>124</v>
      </c>
      <c r="G6329" s="57" t="s">
        <v>13819</v>
      </c>
      <c r="H6329" s="57" t="s">
        <v>2984</v>
      </c>
    </row>
    <row r="6330" spans="2:8" ht="13.5" customHeight="1">
      <c r="B6330" t="s">
        <v>11296</v>
      </c>
      <c r="D6330" t="s">
        <v>11376</v>
      </c>
      <c r="F6330" s="76">
        <v>124</v>
      </c>
      <c r="G6330" s="57" t="s">
        <v>13819</v>
      </c>
      <c r="H6330" s="57" t="s">
        <v>2984</v>
      </c>
    </row>
    <row r="6331" spans="2:8" ht="13.5" customHeight="1">
      <c r="B6331" t="s">
        <v>11297</v>
      </c>
      <c r="D6331" t="s">
        <v>6211</v>
      </c>
      <c r="F6331" s="76">
        <v>124</v>
      </c>
      <c r="G6331" s="57" t="s">
        <v>13819</v>
      </c>
      <c r="H6331" s="57" t="s">
        <v>2984</v>
      </c>
    </row>
    <row r="6332" spans="2:8" ht="13.5" customHeight="1">
      <c r="B6332" t="s">
        <v>11298</v>
      </c>
      <c r="D6332" t="s">
        <v>11377</v>
      </c>
      <c r="F6332" s="76">
        <v>635</v>
      </c>
      <c r="G6332" s="57" t="s">
        <v>13819</v>
      </c>
      <c r="H6332" s="57" t="s">
        <v>2984</v>
      </c>
    </row>
    <row r="6333" spans="2:8" ht="13.5" customHeight="1">
      <c r="B6333" t="s">
        <v>11299</v>
      </c>
      <c r="D6333" t="s">
        <v>11378</v>
      </c>
      <c r="F6333" s="76">
        <v>2689</v>
      </c>
      <c r="G6333" s="57" t="s">
        <v>13819</v>
      </c>
      <c r="H6333" s="57" t="s">
        <v>2984</v>
      </c>
    </row>
    <row r="6334" spans="2:8" ht="13.5" customHeight="1">
      <c r="B6334" t="s">
        <v>11300</v>
      </c>
      <c r="D6334" t="s">
        <v>11379</v>
      </c>
      <c r="F6334" s="76">
        <v>2</v>
      </c>
      <c r="G6334" s="57" t="s">
        <v>13819</v>
      </c>
      <c r="H6334" s="57" t="s">
        <v>13774</v>
      </c>
    </row>
    <row r="6335" spans="2:8" ht="13.5" customHeight="1">
      <c r="B6335" t="s">
        <v>11301</v>
      </c>
      <c r="D6335" t="s">
        <v>11380</v>
      </c>
      <c r="F6335" s="76">
        <v>3</v>
      </c>
      <c r="G6335" s="57" t="s">
        <v>13819</v>
      </c>
      <c r="H6335" s="57" t="s">
        <v>13774</v>
      </c>
    </row>
    <row r="6336" spans="2:8" ht="13.5" customHeight="1">
      <c r="B6336" t="s">
        <v>11302</v>
      </c>
      <c r="D6336" t="s">
        <v>11381</v>
      </c>
      <c r="F6336" s="76">
        <v>3</v>
      </c>
      <c r="G6336" s="57" t="s">
        <v>13819</v>
      </c>
      <c r="H6336" s="57" t="s">
        <v>13774</v>
      </c>
    </row>
    <row r="6337" spans="2:8" ht="13.5" customHeight="1">
      <c r="B6337" t="s">
        <v>11303</v>
      </c>
      <c r="D6337" t="s">
        <v>11382</v>
      </c>
      <c r="F6337" s="76">
        <v>4</v>
      </c>
      <c r="G6337" s="57" t="s">
        <v>13819</v>
      </c>
      <c r="H6337" s="57" t="s">
        <v>13774</v>
      </c>
    </row>
    <row r="6338" spans="2:8" ht="13.5" customHeight="1">
      <c r="B6338" t="s">
        <v>11304</v>
      </c>
      <c r="D6338" t="s">
        <v>11383</v>
      </c>
      <c r="F6338" s="76">
        <v>5</v>
      </c>
      <c r="G6338" s="57" t="s">
        <v>13819</v>
      </c>
      <c r="H6338" s="57" t="s">
        <v>13774</v>
      </c>
    </row>
    <row r="6339" spans="2:8" ht="13.5" customHeight="1">
      <c r="B6339" t="s">
        <v>11305</v>
      </c>
      <c r="D6339" t="s">
        <v>11384</v>
      </c>
      <c r="F6339" s="76">
        <v>26</v>
      </c>
      <c r="G6339" s="57" t="s">
        <v>13819</v>
      </c>
      <c r="H6339" s="57" t="s">
        <v>13774</v>
      </c>
    </row>
    <row r="6340" spans="2:8" ht="13.5" customHeight="1">
      <c r="B6340" t="s">
        <v>11306</v>
      </c>
      <c r="D6340" t="s">
        <v>11385</v>
      </c>
      <c r="F6340" s="76">
        <v>45</v>
      </c>
      <c r="G6340" s="57" t="s">
        <v>13819</v>
      </c>
      <c r="H6340" s="57" t="s">
        <v>13774</v>
      </c>
    </row>
    <row r="6341" spans="2:8" ht="13.5" customHeight="1">
      <c r="B6341" t="s">
        <v>11307</v>
      </c>
      <c r="D6341" t="s">
        <v>11386</v>
      </c>
      <c r="F6341" s="76">
        <v>59</v>
      </c>
      <c r="G6341" s="57" t="s">
        <v>13819</v>
      </c>
      <c r="H6341" s="57" t="s">
        <v>13774</v>
      </c>
    </row>
    <row r="6342" spans="2:8" ht="13.5" customHeight="1">
      <c r="B6342" t="s">
        <v>11308</v>
      </c>
      <c r="D6342" t="s">
        <v>11387</v>
      </c>
      <c r="F6342" s="76">
        <v>75</v>
      </c>
      <c r="G6342" s="57" t="s">
        <v>13819</v>
      </c>
      <c r="H6342" s="57" t="s">
        <v>13774</v>
      </c>
    </row>
    <row r="6343" spans="2:8" ht="13.5" customHeight="1">
      <c r="B6343" t="s">
        <v>11309</v>
      </c>
      <c r="D6343" t="s">
        <v>11388</v>
      </c>
      <c r="F6343" s="76">
        <v>97</v>
      </c>
      <c r="G6343" s="57" t="s">
        <v>13819</v>
      </c>
      <c r="H6343" s="57" t="s">
        <v>13774</v>
      </c>
    </row>
    <row r="6344" spans="2:8" ht="13.5" customHeight="1">
      <c r="B6344" t="s">
        <v>11310</v>
      </c>
      <c r="D6344" t="s">
        <v>11389</v>
      </c>
      <c r="F6344" s="76">
        <v>99</v>
      </c>
      <c r="G6344" s="57" t="s">
        <v>13819</v>
      </c>
      <c r="H6344" s="57" t="s">
        <v>13774</v>
      </c>
    </row>
    <row r="6345" spans="2:8" ht="13.5" customHeight="1">
      <c r="B6345" t="s">
        <v>11311</v>
      </c>
      <c r="D6345" t="s">
        <v>11390</v>
      </c>
      <c r="F6345" s="76">
        <v>101</v>
      </c>
      <c r="G6345" s="57" t="s">
        <v>13819</v>
      </c>
      <c r="H6345" s="57" t="s">
        <v>13774</v>
      </c>
    </row>
    <row r="6346" spans="2:8" ht="13.5" customHeight="1">
      <c r="B6346" t="s">
        <v>11312</v>
      </c>
      <c r="D6346" t="s">
        <v>11391</v>
      </c>
      <c r="F6346" s="76">
        <v>642</v>
      </c>
      <c r="G6346" s="57" t="s">
        <v>13819</v>
      </c>
      <c r="H6346" s="57" t="s">
        <v>13774</v>
      </c>
    </row>
    <row r="6347" spans="2:8" ht="13.5" customHeight="1">
      <c r="B6347" t="s">
        <v>11313</v>
      </c>
      <c r="D6347" t="s">
        <v>11392</v>
      </c>
      <c r="F6347" s="76">
        <v>1</v>
      </c>
      <c r="G6347" s="57" t="s">
        <v>13819</v>
      </c>
      <c r="H6347" s="57" t="s">
        <v>13775</v>
      </c>
    </row>
    <row r="6348" spans="2:8" ht="13.5" customHeight="1">
      <c r="B6348" t="s">
        <v>11314</v>
      </c>
      <c r="D6348" t="s">
        <v>11393</v>
      </c>
      <c r="F6348" s="76">
        <v>2</v>
      </c>
      <c r="G6348" s="57" t="s">
        <v>13819</v>
      </c>
      <c r="H6348" s="57" t="s">
        <v>13775</v>
      </c>
    </row>
    <row r="6349" spans="2:8" ht="13.5" customHeight="1">
      <c r="B6349" t="s">
        <v>11315</v>
      </c>
      <c r="D6349" t="s">
        <v>11394</v>
      </c>
      <c r="F6349" s="76">
        <v>4</v>
      </c>
      <c r="G6349" s="57" t="s">
        <v>13819</v>
      </c>
      <c r="H6349" s="57" t="s">
        <v>13775</v>
      </c>
    </row>
    <row r="6350" spans="2:8" ht="13.5" customHeight="1">
      <c r="B6350" t="s">
        <v>11316</v>
      </c>
      <c r="D6350" t="s">
        <v>11395</v>
      </c>
      <c r="F6350" s="76">
        <v>6</v>
      </c>
      <c r="G6350" s="57" t="s">
        <v>13819</v>
      </c>
      <c r="H6350" s="57" t="s">
        <v>13775</v>
      </c>
    </row>
    <row r="6351" spans="2:8" ht="13.5" customHeight="1">
      <c r="B6351" t="s">
        <v>11317</v>
      </c>
      <c r="D6351" t="s">
        <v>11396</v>
      </c>
      <c r="F6351" s="76">
        <v>8</v>
      </c>
      <c r="G6351" s="57" t="s">
        <v>13819</v>
      </c>
      <c r="H6351" s="57" t="s">
        <v>13775</v>
      </c>
    </row>
    <row r="6352" spans="2:8" ht="13.5" customHeight="1">
      <c r="B6352" t="s">
        <v>11318</v>
      </c>
      <c r="D6352" t="s">
        <v>11397</v>
      </c>
      <c r="F6352" s="76">
        <v>10</v>
      </c>
      <c r="G6352" s="57" t="s">
        <v>13819</v>
      </c>
      <c r="H6352" s="57" t="s">
        <v>13775</v>
      </c>
    </row>
    <row r="6353" spans="2:8" ht="13.5" customHeight="1">
      <c r="B6353" t="s">
        <v>11319</v>
      </c>
      <c r="D6353" t="s">
        <v>11398</v>
      </c>
      <c r="F6353" s="76">
        <v>12</v>
      </c>
      <c r="G6353" s="57" t="s">
        <v>13819</v>
      </c>
      <c r="H6353" s="57" t="s">
        <v>13775</v>
      </c>
    </row>
    <row r="6354" spans="2:8" ht="13.5" customHeight="1">
      <c r="B6354" t="s">
        <v>11320</v>
      </c>
      <c r="D6354" t="s">
        <v>11399</v>
      </c>
      <c r="F6354" s="76">
        <v>13</v>
      </c>
      <c r="G6354" s="57" t="s">
        <v>13819</v>
      </c>
      <c r="H6354" s="57" t="s">
        <v>13775</v>
      </c>
    </row>
    <row r="6355" spans="2:8" ht="13.5" customHeight="1">
      <c r="B6355" t="s">
        <v>11321</v>
      </c>
      <c r="D6355" t="s">
        <v>11400</v>
      </c>
      <c r="F6355" s="76">
        <v>18</v>
      </c>
      <c r="G6355" s="57" t="s">
        <v>13819</v>
      </c>
      <c r="H6355" s="57" t="s">
        <v>13775</v>
      </c>
    </row>
    <row r="6356" spans="2:8" ht="13.5" customHeight="1">
      <c r="B6356" t="s">
        <v>11322</v>
      </c>
      <c r="D6356" t="s">
        <v>11401</v>
      </c>
      <c r="F6356" s="76">
        <v>19</v>
      </c>
      <c r="G6356" s="57" t="s">
        <v>13819</v>
      </c>
      <c r="H6356" s="57" t="s">
        <v>13775</v>
      </c>
    </row>
    <row r="6357" spans="2:8" ht="13.5" customHeight="1">
      <c r="B6357" t="s">
        <v>11323</v>
      </c>
      <c r="D6357" t="s">
        <v>11402</v>
      </c>
      <c r="F6357" s="76">
        <v>20</v>
      </c>
      <c r="G6357" s="57" t="s">
        <v>13819</v>
      </c>
      <c r="H6357" s="57" t="s">
        <v>13775</v>
      </c>
    </row>
    <row r="6358" spans="2:8" ht="13.5" customHeight="1">
      <c r="B6358" t="s">
        <v>11324</v>
      </c>
      <c r="D6358" t="s">
        <v>11403</v>
      </c>
      <c r="F6358" s="76">
        <v>30</v>
      </c>
      <c r="G6358" s="57" t="s">
        <v>13819</v>
      </c>
      <c r="H6358" s="57" t="s">
        <v>13775</v>
      </c>
    </row>
    <row r="6359" spans="2:8" ht="13.5" customHeight="1">
      <c r="B6359" t="s">
        <v>11325</v>
      </c>
      <c r="D6359" t="s">
        <v>11404</v>
      </c>
      <c r="F6359" s="76">
        <v>32</v>
      </c>
      <c r="G6359" s="57" t="s">
        <v>13819</v>
      </c>
      <c r="H6359" s="57" t="s">
        <v>13775</v>
      </c>
    </row>
    <row r="6360" spans="2:8" ht="13.5" customHeight="1">
      <c r="B6360" t="s">
        <v>11326</v>
      </c>
      <c r="D6360" t="s">
        <v>11405</v>
      </c>
      <c r="F6360" s="76">
        <v>32</v>
      </c>
      <c r="G6360" s="57" t="s">
        <v>13819</v>
      </c>
      <c r="H6360" s="57" t="s">
        <v>13775</v>
      </c>
    </row>
    <row r="6361" spans="2:8" ht="13.5" customHeight="1">
      <c r="B6361" t="s">
        <v>11327</v>
      </c>
      <c r="D6361" t="s">
        <v>11406</v>
      </c>
      <c r="F6361" s="76">
        <v>33</v>
      </c>
      <c r="G6361" s="57" t="s">
        <v>13819</v>
      </c>
      <c r="H6361" s="57" t="s">
        <v>13775</v>
      </c>
    </row>
    <row r="6362" spans="2:8" ht="13.5" customHeight="1">
      <c r="B6362" t="s">
        <v>11328</v>
      </c>
      <c r="D6362" t="s">
        <v>11407</v>
      </c>
      <c r="F6362" s="76">
        <v>38</v>
      </c>
      <c r="G6362" s="57" t="s">
        <v>13819</v>
      </c>
      <c r="H6362" s="57" t="s">
        <v>13775</v>
      </c>
    </row>
    <row r="6363" spans="2:8" ht="13.5" customHeight="1">
      <c r="B6363" t="s">
        <v>11329</v>
      </c>
      <c r="D6363" t="s">
        <v>11408</v>
      </c>
      <c r="F6363" s="76">
        <v>40</v>
      </c>
      <c r="G6363" s="57" t="s">
        <v>13819</v>
      </c>
      <c r="H6363" s="57" t="s">
        <v>13775</v>
      </c>
    </row>
    <row r="6364" spans="2:8" ht="13.5" customHeight="1">
      <c r="B6364" t="s">
        <v>11330</v>
      </c>
      <c r="D6364" t="s">
        <v>11409</v>
      </c>
      <c r="F6364" s="76">
        <v>40</v>
      </c>
      <c r="G6364" s="57" t="s">
        <v>13819</v>
      </c>
      <c r="H6364" s="57" t="s">
        <v>13775</v>
      </c>
    </row>
    <row r="6365" spans="2:8" ht="13.5" customHeight="1">
      <c r="B6365" t="s">
        <v>11331</v>
      </c>
      <c r="D6365" t="s">
        <v>11410</v>
      </c>
      <c r="F6365" s="76">
        <v>44</v>
      </c>
      <c r="G6365" s="57" t="s">
        <v>13819</v>
      </c>
      <c r="H6365" s="57" t="s">
        <v>13775</v>
      </c>
    </row>
    <row r="6366" spans="2:8" ht="13.5" customHeight="1">
      <c r="B6366" t="s">
        <v>11332</v>
      </c>
      <c r="D6366" t="s">
        <v>11411</v>
      </c>
      <c r="F6366" s="76">
        <v>46</v>
      </c>
      <c r="G6366" s="57" t="s">
        <v>13819</v>
      </c>
      <c r="H6366" s="57" t="s">
        <v>13775</v>
      </c>
    </row>
    <row r="6367" spans="2:8" ht="13.5" customHeight="1">
      <c r="B6367" t="s">
        <v>11333</v>
      </c>
      <c r="D6367" t="s">
        <v>11412</v>
      </c>
      <c r="F6367" s="76">
        <v>50</v>
      </c>
      <c r="G6367" s="57" t="s">
        <v>13819</v>
      </c>
      <c r="H6367" s="57" t="s">
        <v>13775</v>
      </c>
    </row>
    <row r="6368" spans="2:8" ht="13.5" customHeight="1">
      <c r="B6368" t="s">
        <v>11334</v>
      </c>
      <c r="D6368" t="s">
        <v>11413</v>
      </c>
      <c r="F6368" s="76">
        <v>70</v>
      </c>
      <c r="G6368" s="57" t="s">
        <v>13819</v>
      </c>
      <c r="H6368" s="57" t="s">
        <v>13775</v>
      </c>
    </row>
    <row r="6369" spans="2:8" ht="13.5" customHeight="1">
      <c r="B6369" t="s">
        <v>11335</v>
      </c>
      <c r="D6369" t="s">
        <v>11414</v>
      </c>
      <c r="F6369" s="76">
        <v>72</v>
      </c>
      <c r="G6369" s="57" t="s">
        <v>13819</v>
      </c>
      <c r="H6369" s="57" t="s">
        <v>13775</v>
      </c>
    </row>
    <row r="6370" spans="2:8" ht="13.5" customHeight="1">
      <c r="B6370" t="s">
        <v>11336</v>
      </c>
      <c r="D6370" t="s">
        <v>3730</v>
      </c>
      <c r="F6370" s="76">
        <v>90</v>
      </c>
      <c r="G6370" s="57" t="s">
        <v>13819</v>
      </c>
      <c r="H6370" s="57" t="s">
        <v>13775</v>
      </c>
    </row>
    <row r="6371" spans="2:8" ht="13.5" customHeight="1">
      <c r="B6371" t="s">
        <v>11337</v>
      </c>
      <c r="D6371" t="s">
        <v>7971</v>
      </c>
      <c r="F6371" s="76">
        <v>90</v>
      </c>
      <c r="G6371" s="57" t="s">
        <v>13819</v>
      </c>
      <c r="H6371" s="57" t="s">
        <v>13775</v>
      </c>
    </row>
    <row r="6372" spans="2:8" ht="13.5" customHeight="1">
      <c r="B6372" t="s">
        <v>11338</v>
      </c>
      <c r="D6372" t="s">
        <v>1391</v>
      </c>
      <c r="F6372" s="76">
        <v>97</v>
      </c>
      <c r="G6372" s="57" t="s">
        <v>13819</v>
      </c>
      <c r="H6372" s="57" t="s">
        <v>13775</v>
      </c>
    </row>
    <row r="6373" spans="2:8" ht="13.5" customHeight="1">
      <c r="B6373" t="s">
        <v>11339</v>
      </c>
      <c r="D6373" t="s">
        <v>11415</v>
      </c>
      <c r="F6373" s="76">
        <v>98</v>
      </c>
      <c r="G6373" s="57" t="s">
        <v>13819</v>
      </c>
      <c r="H6373" s="57" t="s">
        <v>13775</v>
      </c>
    </row>
    <row r="6374" spans="2:8" ht="13.5" customHeight="1">
      <c r="B6374" t="s">
        <v>11340</v>
      </c>
      <c r="D6374" t="s">
        <v>11416</v>
      </c>
      <c r="F6374" s="76">
        <v>1</v>
      </c>
      <c r="G6374" s="57" t="s">
        <v>13819</v>
      </c>
      <c r="H6374" s="57" t="s">
        <v>13776</v>
      </c>
    </row>
    <row r="6375" spans="2:8" ht="13.5" customHeight="1">
      <c r="B6375" t="s">
        <v>11341</v>
      </c>
      <c r="D6375" t="s">
        <v>11417</v>
      </c>
      <c r="F6375" s="76">
        <v>2</v>
      </c>
      <c r="G6375" s="57" t="s">
        <v>13819</v>
      </c>
      <c r="H6375" s="57" t="s">
        <v>13776</v>
      </c>
    </row>
    <row r="6376" spans="2:8" ht="13.5" customHeight="1">
      <c r="B6376" t="s">
        <v>11342</v>
      </c>
      <c r="D6376" t="s">
        <v>11418</v>
      </c>
      <c r="F6376" s="76">
        <v>5</v>
      </c>
      <c r="G6376" s="57" t="s">
        <v>13819</v>
      </c>
      <c r="H6376" s="57" t="s">
        <v>13776</v>
      </c>
    </row>
    <row r="6377" spans="2:8" ht="13.5" customHeight="1">
      <c r="B6377" t="s">
        <v>11343</v>
      </c>
      <c r="D6377" t="s">
        <v>11419</v>
      </c>
      <c r="F6377" s="76">
        <v>5</v>
      </c>
      <c r="G6377" s="57" t="s">
        <v>13819</v>
      </c>
      <c r="H6377" s="57" t="s">
        <v>13776</v>
      </c>
    </row>
    <row r="6378" spans="2:8" ht="13.5" customHeight="1">
      <c r="B6378" t="s">
        <v>11344</v>
      </c>
      <c r="D6378" t="s">
        <v>11420</v>
      </c>
      <c r="F6378" s="76">
        <v>19</v>
      </c>
      <c r="G6378" s="57" t="s">
        <v>13819</v>
      </c>
      <c r="H6378" s="57" t="s">
        <v>13776</v>
      </c>
    </row>
    <row r="6379" spans="2:8" ht="13.5" customHeight="1">
      <c r="B6379" t="s">
        <v>11345</v>
      </c>
      <c r="D6379" t="s">
        <v>7084</v>
      </c>
      <c r="F6379" s="76">
        <v>20</v>
      </c>
      <c r="G6379" s="57" t="s">
        <v>13819</v>
      </c>
      <c r="H6379" s="57" t="s">
        <v>13776</v>
      </c>
    </row>
    <row r="6380" spans="2:8" ht="13.5" customHeight="1">
      <c r="B6380" t="s">
        <v>11346</v>
      </c>
      <c r="D6380" t="s">
        <v>3222</v>
      </c>
      <c r="F6380" s="76">
        <v>22</v>
      </c>
      <c r="G6380" s="57" t="s">
        <v>13819</v>
      </c>
      <c r="H6380" s="57" t="s">
        <v>13776</v>
      </c>
    </row>
    <row r="6381" spans="2:8" ht="13.5" customHeight="1">
      <c r="B6381" t="s">
        <v>11347</v>
      </c>
      <c r="D6381" t="s">
        <v>3732</v>
      </c>
      <c r="F6381" s="76">
        <v>45</v>
      </c>
      <c r="G6381" s="57" t="s">
        <v>13819</v>
      </c>
      <c r="H6381" s="57" t="s">
        <v>13776</v>
      </c>
    </row>
    <row r="6382" spans="2:8" ht="13.5" customHeight="1">
      <c r="B6382" t="s">
        <v>11348</v>
      </c>
      <c r="D6382" t="s">
        <v>11421</v>
      </c>
      <c r="F6382" s="76">
        <v>51</v>
      </c>
      <c r="G6382" s="57" t="s">
        <v>13819</v>
      </c>
      <c r="H6382" s="57" t="s">
        <v>13776</v>
      </c>
    </row>
    <row r="6383" spans="2:8" ht="13.5" customHeight="1">
      <c r="B6383" t="s">
        <v>11349</v>
      </c>
      <c r="D6383" t="s">
        <v>11422</v>
      </c>
      <c r="F6383" s="76">
        <v>52</v>
      </c>
      <c r="G6383" s="57" t="s">
        <v>13819</v>
      </c>
      <c r="H6383" s="57" t="s">
        <v>13776</v>
      </c>
    </row>
    <row r="6384" spans="2:8" ht="13.5" customHeight="1">
      <c r="B6384" t="s">
        <v>11350</v>
      </c>
      <c r="D6384" t="s">
        <v>11423</v>
      </c>
      <c r="F6384" s="76">
        <v>58</v>
      </c>
      <c r="G6384" s="57" t="s">
        <v>13819</v>
      </c>
      <c r="H6384" s="57" t="s">
        <v>13776</v>
      </c>
    </row>
    <row r="6385" spans="2:8" ht="13.5" customHeight="1">
      <c r="B6385" t="s">
        <v>11351</v>
      </c>
      <c r="D6385" t="s">
        <v>8035</v>
      </c>
      <c r="F6385" s="76">
        <v>67</v>
      </c>
      <c r="G6385" s="57" t="s">
        <v>13819</v>
      </c>
      <c r="H6385" s="57" t="s">
        <v>13776</v>
      </c>
    </row>
    <row r="6386" spans="2:8" ht="13.5" customHeight="1">
      <c r="B6386" t="s">
        <v>11352</v>
      </c>
      <c r="D6386" t="s">
        <v>11424</v>
      </c>
      <c r="F6386" s="76">
        <v>73</v>
      </c>
      <c r="G6386" s="57" t="s">
        <v>13819</v>
      </c>
      <c r="H6386" s="57" t="s">
        <v>13776</v>
      </c>
    </row>
    <row r="6387" spans="2:8" ht="13.5" customHeight="1">
      <c r="B6387" t="s">
        <v>11353</v>
      </c>
      <c r="D6387" t="s">
        <v>11425</v>
      </c>
      <c r="F6387" s="76">
        <v>96</v>
      </c>
      <c r="G6387" s="57" t="s">
        <v>13819</v>
      </c>
      <c r="H6387" s="57" t="s">
        <v>13776</v>
      </c>
    </row>
    <row r="6388" spans="2:8" ht="13.5" customHeight="1">
      <c r="B6388" t="s">
        <v>11354</v>
      </c>
      <c r="D6388" t="s">
        <v>11426</v>
      </c>
      <c r="F6388" s="76">
        <v>98</v>
      </c>
      <c r="G6388" s="57" t="s">
        <v>13819</v>
      </c>
      <c r="H6388" s="57" t="s">
        <v>13776</v>
      </c>
    </row>
    <row r="6389" spans="2:8" ht="13.5" customHeight="1">
      <c r="B6389" t="s">
        <v>11122</v>
      </c>
      <c r="D6389" t="s">
        <v>11452</v>
      </c>
      <c r="F6389" s="76">
        <v>1</v>
      </c>
      <c r="G6389" s="57" t="s">
        <v>13819</v>
      </c>
      <c r="H6389" s="57" t="s">
        <v>2980</v>
      </c>
    </row>
    <row r="6390" spans="2:8" ht="13.5" customHeight="1">
      <c r="B6390" t="s">
        <v>7658</v>
      </c>
      <c r="D6390" t="s">
        <v>11453</v>
      </c>
      <c r="F6390" s="76">
        <v>2</v>
      </c>
      <c r="G6390" s="57" t="s">
        <v>13819</v>
      </c>
      <c r="H6390" s="57" t="s">
        <v>2980</v>
      </c>
    </row>
    <row r="6391" spans="2:8" ht="13.5" customHeight="1">
      <c r="B6391" t="s">
        <v>11427</v>
      </c>
      <c r="D6391">
        <v>475890001</v>
      </c>
      <c r="F6391" s="76">
        <v>2</v>
      </c>
      <c r="G6391" s="57" t="s">
        <v>13819</v>
      </c>
      <c r="H6391" s="57" t="s">
        <v>2980</v>
      </c>
    </row>
    <row r="6392" spans="2:8" ht="13.5" customHeight="1">
      <c r="B6392" t="s">
        <v>11428</v>
      </c>
      <c r="D6392" t="s">
        <v>11454</v>
      </c>
      <c r="F6392" s="76">
        <v>2</v>
      </c>
      <c r="G6392" s="57" t="s">
        <v>13819</v>
      </c>
      <c r="H6392" s="57" t="s">
        <v>2980</v>
      </c>
    </row>
    <row r="6393" spans="2:8" ht="13.5" customHeight="1">
      <c r="B6393" t="s">
        <v>11429</v>
      </c>
      <c r="D6393" t="s">
        <v>11455</v>
      </c>
      <c r="F6393" s="76">
        <v>2</v>
      </c>
      <c r="G6393" s="57" t="s">
        <v>13819</v>
      </c>
      <c r="H6393" s="57" t="s">
        <v>2980</v>
      </c>
    </row>
    <row r="6394" spans="2:8" ht="13.5" customHeight="1">
      <c r="B6394" t="s">
        <v>11430</v>
      </c>
      <c r="D6394" t="s">
        <v>11456</v>
      </c>
      <c r="F6394" s="76">
        <v>3</v>
      </c>
      <c r="G6394" s="57" t="s">
        <v>13819</v>
      </c>
      <c r="H6394" s="57" t="s">
        <v>2980</v>
      </c>
    </row>
    <row r="6395" spans="2:8" ht="13.5" customHeight="1">
      <c r="B6395" t="s">
        <v>11431</v>
      </c>
      <c r="D6395" t="s">
        <v>11457</v>
      </c>
      <c r="F6395" s="76">
        <v>3</v>
      </c>
      <c r="G6395" s="57" t="s">
        <v>13819</v>
      </c>
      <c r="H6395" s="57" t="s">
        <v>2980</v>
      </c>
    </row>
    <row r="6396" spans="2:8" ht="13.5" customHeight="1">
      <c r="B6396" t="s">
        <v>11432</v>
      </c>
      <c r="D6396" t="s">
        <v>11458</v>
      </c>
      <c r="F6396" s="76">
        <v>4</v>
      </c>
      <c r="G6396" s="57" t="s">
        <v>13819</v>
      </c>
      <c r="H6396" s="57" t="s">
        <v>2980</v>
      </c>
    </row>
    <row r="6397" spans="2:8" ht="13.5" customHeight="1">
      <c r="B6397" t="s">
        <v>11433</v>
      </c>
      <c r="D6397" t="s">
        <v>11459</v>
      </c>
      <c r="F6397" s="76">
        <v>4</v>
      </c>
      <c r="G6397" s="57" t="s">
        <v>13819</v>
      </c>
      <c r="H6397" s="57" t="s">
        <v>2980</v>
      </c>
    </row>
    <row r="6398" spans="2:8" ht="13.5" customHeight="1">
      <c r="B6398" t="s">
        <v>11434</v>
      </c>
      <c r="D6398" t="s">
        <v>11460</v>
      </c>
      <c r="F6398" s="76">
        <v>5</v>
      </c>
      <c r="G6398" s="57" t="s">
        <v>13819</v>
      </c>
      <c r="H6398" s="57" t="s">
        <v>2980</v>
      </c>
    </row>
    <row r="6399" spans="2:8" ht="13.5" customHeight="1">
      <c r="B6399" t="s">
        <v>11435</v>
      </c>
      <c r="D6399" t="s">
        <v>11461</v>
      </c>
      <c r="F6399" s="76">
        <v>5</v>
      </c>
      <c r="G6399" s="57" t="s">
        <v>13819</v>
      </c>
      <c r="H6399" s="57" t="s">
        <v>2980</v>
      </c>
    </row>
    <row r="6400" spans="2:8" ht="13.5" customHeight="1">
      <c r="B6400" t="s">
        <v>11436</v>
      </c>
      <c r="D6400" t="s">
        <v>11462</v>
      </c>
      <c r="F6400" s="76">
        <v>6</v>
      </c>
      <c r="G6400" s="57" t="s">
        <v>13819</v>
      </c>
      <c r="H6400" s="57" t="s">
        <v>2980</v>
      </c>
    </row>
    <row r="6401" spans="2:8" ht="13.5" customHeight="1">
      <c r="B6401" t="s">
        <v>10302</v>
      </c>
      <c r="D6401" t="s">
        <v>11463</v>
      </c>
      <c r="F6401" s="76">
        <v>7</v>
      </c>
      <c r="G6401" s="57" t="s">
        <v>13819</v>
      </c>
      <c r="H6401" s="57" t="s">
        <v>2980</v>
      </c>
    </row>
    <row r="6402" spans="2:8" ht="13.5" customHeight="1">
      <c r="B6402" t="s">
        <v>11437</v>
      </c>
      <c r="D6402" t="s">
        <v>11464</v>
      </c>
      <c r="F6402" s="76">
        <v>8</v>
      </c>
      <c r="G6402" s="57" t="s">
        <v>13819</v>
      </c>
      <c r="H6402" s="57" t="s">
        <v>2980</v>
      </c>
    </row>
    <row r="6403" spans="2:8" ht="13.5" customHeight="1">
      <c r="B6403" t="s">
        <v>11438</v>
      </c>
      <c r="D6403" t="s">
        <v>11465</v>
      </c>
      <c r="F6403" s="76">
        <v>9</v>
      </c>
      <c r="G6403" s="57" t="s">
        <v>13819</v>
      </c>
      <c r="H6403" s="57" t="s">
        <v>2980</v>
      </c>
    </row>
    <row r="6404" spans="2:8" ht="13.5" customHeight="1">
      <c r="B6404" t="s">
        <v>11439</v>
      </c>
      <c r="D6404" t="s">
        <v>11466</v>
      </c>
      <c r="F6404" s="76">
        <v>10</v>
      </c>
      <c r="G6404" s="57" t="s">
        <v>13819</v>
      </c>
      <c r="H6404" s="57" t="s">
        <v>2980</v>
      </c>
    </row>
    <row r="6405" spans="2:8" ht="13.5" customHeight="1">
      <c r="B6405" t="s">
        <v>10420</v>
      </c>
      <c r="D6405" t="s">
        <v>11467</v>
      </c>
      <c r="F6405" s="76">
        <v>11</v>
      </c>
      <c r="G6405" s="57" t="s">
        <v>13819</v>
      </c>
      <c r="H6405" s="57" t="s">
        <v>2980</v>
      </c>
    </row>
    <row r="6406" spans="2:8" ht="13.5" customHeight="1">
      <c r="B6406" t="s">
        <v>3986</v>
      </c>
      <c r="D6406" t="s">
        <v>11468</v>
      </c>
      <c r="F6406" s="76">
        <v>17</v>
      </c>
      <c r="G6406" s="57" t="s">
        <v>13819</v>
      </c>
      <c r="H6406" s="57" t="s">
        <v>2980</v>
      </c>
    </row>
    <row r="6407" spans="2:8" ht="13.5" customHeight="1">
      <c r="B6407" t="s">
        <v>11440</v>
      </c>
      <c r="D6407" t="s">
        <v>5927</v>
      </c>
      <c r="F6407" s="76">
        <v>19</v>
      </c>
      <c r="G6407" s="57" t="s">
        <v>13819</v>
      </c>
      <c r="H6407" s="57" t="s">
        <v>2980</v>
      </c>
    </row>
    <row r="6408" spans="2:8" ht="13.5" customHeight="1">
      <c r="B6408" t="s">
        <v>11441</v>
      </c>
      <c r="D6408" t="s">
        <v>11469</v>
      </c>
      <c r="F6408" s="76">
        <v>24</v>
      </c>
      <c r="G6408" s="57" t="s">
        <v>13819</v>
      </c>
      <c r="H6408" s="57" t="s">
        <v>2980</v>
      </c>
    </row>
    <row r="6409" spans="2:8" ht="13.5" customHeight="1">
      <c r="B6409" t="s">
        <v>11442</v>
      </c>
      <c r="D6409" t="s">
        <v>11470</v>
      </c>
      <c r="F6409" s="76">
        <v>38</v>
      </c>
      <c r="G6409" s="57" t="s">
        <v>13819</v>
      </c>
      <c r="H6409" s="57" t="s">
        <v>2980</v>
      </c>
    </row>
    <row r="6410" spans="2:8" ht="13.5" customHeight="1">
      <c r="B6410" t="s">
        <v>11443</v>
      </c>
      <c r="D6410" t="s">
        <v>11471</v>
      </c>
      <c r="F6410" s="76">
        <v>43</v>
      </c>
      <c r="G6410" s="57" t="s">
        <v>13819</v>
      </c>
      <c r="H6410" s="57" t="s">
        <v>2980</v>
      </c>
    </row>
    <row r="6411" spans="2:8" ht="13.5" customHeight="1">
      <c r="B6411" t="s">
        <v>11444</v>
      </c>
      <c r="D6411" t="s">
        <v>11472</v>
      </c>
      <c r="F6411" s="76">
        <v>46</v>
      </c>
      <c r="G6411" s="57" t="s">
        <v>13819</v>
      </c>
      <c r="H6411" s="57" t="s">
        <v>2980</v>
      </c>
    </row>
    <row r="6412" spans="2:8" ht="13.5" customHeight="1">
      <c r="B6412" t="s">
        <v>11445</v>
      </c>
      <c r="D6412" t="s">
        <v>11473</v>
      </c>
      <c r="F6412" s="76">
        <v>50</v>
      </c>
      <c r="G6412" s="57" t="s">
        <v>13819</v>
      </c>
      <c r="H6412" s="57" t="s">
        <v>2980</v>
      </c>
    </row>
    <row r="6413" spans="2:8" ht="13.5" customHeight="1">
      <c r="B6413" t="s">
        <v>11446</v>
      </c>
      <c r="D6413" t="s">
        <v>4882</v>
      </c>
      <c r="F6413" s="76">
        <v>50</v>
      </c>
      <c r="G6413" s="57" t="s">
        <v>13819</v>
      </c>
      <c r="H6413" s="57" t="s">
        <v>2980</v>
      </c>
    </row>
    <row r="6414" spans="2:8" ht="13.5" customHeight="1">
      <c r="B6414" t="s">
        <v>11447</v>
      </c>
      <c r="D6414" t="s">
        <v>6184</v>
      </c>
      <c r="F6414" s="76">
        <v>64</v>
      </c>
      <c r="G6414" s="57" t="s">
        <v>13819</v>
      </c>
      <c r="H6414" s="57" t="s">
        <v>2980</v>
      </c>
    </row>
    <row r="6415" spans="2:8" ht="13.5" customHeight="1">
      <c r="B6415" t="s">
        <v>11448</v>
      </c>
      <c r="D6415" t="s">
        <v>11474</v>
      </c>
      <c r="F6415" s="76">
        <v>73</v>
      </c>
      <c r="G6415" s="57" t="s">
        <v>13819</v>
      </c>
      <c r="H6415" s="57" t="s">
        <v>2980</v>
      </c>
    </row>
    <row r="6416" spans="2:8" ht="13.5" customHeight="1">
      <c r="B6416" t="s">
        <v>11449</v>
      </c>
      <c r="D6416" t="s">
        <v>11475</v>
      </c>
      <c r="F6416" s="76">
        <v>73</v>
      </c>
      <c r="G6416" s="57" t="s">
        <v>13819</v>
      </c>
      <c r="H6416" s="57" t="s">
        <v>2980</v>
      </c>
    </row>
    <row r="6417" spans="2:8" ht="13.5" customHeight="1">
      <c r="B6417" t="s">
        <v>11450</v>
      </c>
      <c r="D6417" t="s">
        <v>11476</v>
      </c>
      <c r="F6417" s="76">
        <v>76</v>
      </c>
      <c r="G6417" s="57" t="s">
        <v>13819</v>
      </c>
      <c r="H6417" s="57" t="s">
        <v>2980</v>
      </c>
    </row>
    <row r="6418" spans="2:8" ht="13.5" customHeight="1">
      <c r="B6418" t="s">
        <v>11451</v>
      </c>
      <c r="D6418" t="s">
        <v>892</v>
      </c>
      <c r="F6418" s="76">
        <v>107</v>
      </c>
      <c r="G6418" s="57" t="s">
        <v>13819</v>
      </c>
      <c r="H6418" s="57" t="s">
        <v>2980</v>
      </c>
    </row>
    <row r="6419" spans="2:8" ht="13.5" customHeight="1">
      <c r="B6419" t="s">
        <v>11477</v>
      </c>
      <c r="D6419" t="s">
        <v>11516</v>
      </c>
      <c r="F6419" s="76">
        <v>1</v>
      </c>
      <c r="G6419" s="57" t="s">
        <v>13819</v>
      </c>
      <c r="H6419" s="57" t="s">
        <v>2979</v>
      </c>
    </row>
    <row r="6420" spans="2:8" ht="13.5" customHeight="1">
      <c r="B6420" t="s">
        <v>11478</v>
      </c>
      <c r="D6420" t="s">
        <v>11517</v>
      </c>
      <c r="F6420" s="76">
        <v>1</v>
      </c>
      <c r="G6420" s="57" t="s">
        <v>13819</v>
      </c>
      <c r="H6420" s="57" t="s">
        <v>2979</v>
      </c>
    </row>
    <row r="6421" spans="2:8" ht="13.5" customHeight="1">
      <c r="B6421" t="s">
        <v>11479</v>
      </c>
      <c r="D6421" t="s">
        <v>11518</v>
      </c>
      <c r="F6421" s="76">
        <v>1</v>
      </c>
      <c r="G6421" s="57" t="s">
        <v>13819</v>
      </c>
      <c r="H6421" s="57" t="s">
        <v>2979</v>
      </c>
    </row>
    <row r="6422" spans="2:8" ht="13.5" customHeight="1">
      <c r="B6422" t="s">
        <v>11480</v>
      </c>
      <c r="D6422" t="s">
        <v>11519</v>
      </c>
      <c r="F6422" s="76">
        <v>1</v>
      </c>
      <c r="G6422" s="57" t="s">
        <v>13819</v>
      </c>
      <c r="H6422" s="57" t="s">
        <v>2979</v>
      </c>
    </row>
    <row r="6423" spans="2:8" ht="13.5" customHeight="1">
      <c r="B6423" t="s">
        <v>11481</v>
      </c>
      <c r="D6423" t="s">
        <v>11520</v>
      </c>
      <c r="F6423" s="76">
        <v>1</v>
      </c>
      <c r="G6423" s="57" t="s">
        <v>13819</v>
      </c>
      <c r="H6423" s="57" t="s">
        <v>2979</v>
      </c>
    </row>
    <row r="6424" spans="2:8" ht="13.5" customHeight="1">
      <c r="B6424" t="s">
        <v>11482</v>
      </c>
      <c r="D6424">
        <v>5023821070</v>
      </c>
      <c r="F6424" s="76">
        <v>1</v>
      </c>
      <c r="G6424" s="57" t="s">
        <v>13819</v>
      </c>
      <c r="H6424" s="57" t="s">
        <v>2979</v>
      </c>
    </row>
    <row r="6425" spans="2:8" ht="13.5" customHeight="1">
      <c r="B6425" t="s">
        <v>11483</v>
      </c>
      <c r="D6425">
        <v>532610671</v>
      </c>
      <c r="F6425" s="76">
        <v>1</v>
      </c>
      <c r="G6425" s="57" t="s">
        <v>13819</v>
      </c>
      <c r="H6425" s="57" t="s">
        <v>2979</v>
      </c>
    </row>
    <row r="6426" spans="2:8" ht="13.5" customHeight="1">
      <c r="B6426" t="s">
        <v>11484</v>
      </c>
      <c r="D6426" t="s">
        <v>11521</v>
      </c>
      <c r="F6426" s="76">
        <v>2</v>
      </c>
      <c r="G6426" s="57" t="s">
        <v>13819</v>
      </c>
      <c r="H6426" s="57" t="s">
        <v>2979</v>
      </c>
    </row>
    <row r="6427" spans="2:8" ht="13.5" customHeight="1">
      <c r="B6427" t="s">
        <v>11485</v>
      </c>
      <c r="D6427" t="s">
        <v>11522</v>
      </c>
      <c r="F6427" s="76">
        <v>2</v>
      </c>
      <c r="G6427" s="57" t="s">
        <v>13819</v>
      </c>
      <c r="H6427" s="57" t="s">
        <v>2979</v>
      </c>
    </row>
    <row r="6428" spans="2:8" ht="13.5" customHeight="1">
      <c r="B6428" t="s">
        <v>11486</v>
      </c>
      <c r="D6428" t="s">
        <v>11523</v>
      </c>
      <c r="F6428" s="76">
        <v>2</v>
      </c>
      <c r="G6428" s="57" t="s">
        <v>13819</v>
      </c>
      <c r="H6428" s="57" t="s">
        <v>2979</v>
      </c>
    </row>
    <row r="6429" spans="2:8" ht="13.5" customHeight="1">
      <c r="B6429" t="s">
        <v>11487</v>
      </c>
      <c r="D6429" t="s">
        <v>11524</v>
      </c>
      <c r="F6429" s="76">
        <v>3</v>
      </c>
      <c r="G6429" s="57" t="s">
        <v>13819</v>
      </c>
      <c r="H6429" s="57" t="s">
        <v>2979</v>
      </c>
    </row>
    <row r="6430" spans="2:8" ht="13.5" customHeight="1">
      <c r="B6430" t="s">
        <v>11488</v>
      </c>
      <c r="D6430" t="s">
        <v>11525</v>
      </c>
      <c r="F6430" s="76">
        <v>3</v>
      </c>
      <c r="G6430" s="57" t="s">
        <v>13819</v>
      </c>
      <c r="H6430" s="57" t="s">
        <v>2979</v>
      </c>
    </row>
    <row r="6431" spans="2:8" ht="13.5" customHeight="1">
      <c r="B6431" t="s">
        <v>11489</v>
      </c>
      <c r="D6431" t="s">
        <v>11526</v>
      </c>
      <c r="F6431" s="76">
        <v>4</v>
      </c>
      <c r="G6431" s="57" t="s">
        <v>13819</v>
      </c>
      <c r="H6431" s="57" t="s">
        <v>2979</v>
      </c>
    </row>
    <row r="6432" spans="2:8" ht="13.5" customHeight="1">
      <c r="B6432" t="s">
        <v>11490</v>
      </c>
      <c r="D6432" t="s">
        <v>11527</v>
      </c>
      <c r="F6432" s="76">
        <v>4</v>
      </c>
      <c r="G6432" s="57" t="s">
        <v>13819</v>
      </c>
      <c r="H6432" s="57" t="s">
        <v>2979</v>
      </c>
    </row>
    <row r="6433" spans="2:8" ht="13.5" customHeight="1">
      <c r="B6433" t="s">
        <v>11491</v>
      </c>
      <c r="D6433" t="s">
        <v>11528</v>
      </c>
      <c r="F6433" s="76">
        <v>5</v>
      </c>
      <c r="G6433" s="57" t="s">
        <v>13819</v>
      </c>
      <c r="H6433" s="57" t="s">
        <v>2979</v>
      </c>
    </row>
    <row r="6434" spans="2:8" ht="13.5" customHeight="1">
      <c r="B6434" t="s">
        <v>11492</v>
      </c>
      <c r="D6434" t="s">
        <v>11529</v>
      </c>
      <c r="F6434" s="76">
        <v>6</v>
      </c>
      <c r="G6434" s="57" t="s">
        <v>13819</v>
      </c>
      <c r="H6434" s="57" t="s">
        <v>2979</v>
      </c>
    </row>
    <row r="6435" spans="2:8" ht="13.5" customHeight="1">
      <c r="B6435" t="s">
        <v>3266</v>
      </c>
      <c r="D6435" t="s">
        <v>3267</v>
      </c>
      <c r="F6435" s="76">
        <v>6</v>
      </c>
      <c r="G6435" s="57" t="s">
        <v>13819</v>
      </c>
      <c r="H6435" s="57" t="s">
        <v>2979</v>
      </c>
    </row>
    <row r="6436" spans="2:8" ht="13.5" customHeight="1">
      <c r="B6436" t="s">
        <v>11493</v>
      </c>
      <c r="D6436" t="s">
        <v>11530</v>
      </c>
      <c r="F6436" s="76">
        <v>9</v>
      </c>
      <c r="G6436" s="57" t="s">
        <v>13819</v>
      </c>
      <c r="H6436" s="57" t="s">
        <v>2979</v>
      </c>
    </row>
    <row r="6437" spans="2:8" ht="13.5" customHeight="1">
      <c r="B6437" t="s">
        <v>11494</v>
      </c>
      <c r="D6437" t="s">
        <v>11531</v>
      </c>
      <c r="F6437" s="76">
        <v>10</v>
      </c>
      <c r="G6437" s="57" t="s">
        <v>13819</v>
      </c>
      <c r="H6437" s="57" t="s">
        <v>2979</v>
      </c>
    </row>
    <row r="6438" spans="2:8" ht="13.5" customHeight="1">
      <c r="B6438" t="s">
        <v>11495</v>
      </c>
      <c r="D6438" t="s">
        <v>11532</v>
      </c>
      <c r="F6438" s="76">
        <v>10</v>
      </c>
      <c r="G6438" s="57" t="s">
        <v>13819</v>
      </c>
      <c r="H6438" s="57" t="s">
        <v>2979</v>
      </c>
    </row>
    <row r="6439" spans="2:8" ht="13.5" customHeight="1">
      <c r="B6439" t="s">
        <v>11496</v>
      </c>
      <c r="D6439" t="s">
        <v>3977</v>
      </c>
      <c r="F6439" s="76">
        <v>10</v>
      </c>
      <c r="G6439" s="57" t="s">
        <v>13819</v>
      </c>
      <c r="H6439" s="57" t="s">
        <v>2979</v>
      </c>
    </row>
    <row r="6440" spans="2:8" ht="13.5" customHeight="1">
      <c r="B6440" t="s">
        <v>11497</v>
      </c>
      <c r="D6440" t="s">
        <v>11533</v>
      </c>
      <c r="F6440" s="76">
        <v>10</v>
      </c>
      <c r="G6440" s="57" t="s">
        <v>13819</v>
      </c>
      <c r="H6440" s="57" t="s">
        <v>2979</v>
      </c>
    </row>
    <row r="6441" spans="2:8" ht="13.5" customHeight="1">
      <c r="B6441" t="s">
        <v>11498</v>
      </c>
      <c r="D6441" t="s">
        <v>11534</v>
      </c>
      <c r="F6441" s="76">
        <v>10</v>
      </c>
      <c r="G6441" s="57" t="s">
        <v>13819</v>
      </c>
      <c r="H6441" s="57" t="s">
        <v>2979</v>
      </c>
    </row>
    <row r="6442" spans="2:8" ht="13.5" customHeight="1">
      <c r="B6442" t="s">
        <v>11499</v>
      </c>
      <c r="D6442" t="s">
        <v>11535</v>
      </c>
      <c r="F6442" s="76">
        <v>15</v>
      </c>
      <c r="G6442" s="57" t="s">
        <v>13819</v>
      </c>
      <c r="H6442" s="57" t="s">
        <v>2979</v>
      </c>
    </row>
    <row r="6443" spans="2:8" ht="13.5" customHeight="1">
      <c r="B6443" t="s">
        <v>11500</v>
      </c>
      <c r="D6443" t="s">
        <v>11536</v>
      </c>
      <c r="F6443" s="76">
        <v>21</v>
      </c>
      <c r="G6443" s="57" t="s">
        <v>13819</v>
      </c>
      <c r="H6443" s="57" t="s">
        <v>2979</v>
      </c>
    </row>
    <row r="6444" spans="2:8" ht="13.5" customHeight="1">
      <c r="B6444" t="s">
        <v>4905</v>
      </c>
      <c r="D6444" t="s">
        <v>11537</v>
      </c>
      <c r="F6444" s="76">
        <v>23</v>
      </c>
      <c r="G6444" s="57" t="s">
        <v>13819</v>
      </c>
      <c r="H6444" s="57" t="s">
        <v>2979</v>
      </c>
    </row>
    <row r="6445" spans="2:8" ht="13.5" customHeight="1">
      <c r="B6445" t="s">
        <v>11501</v>
      </c>
      <c r="D6445" t="s">
        <v>11538</v>
      </c>
      <c r="F6445" s="76">
        <v>25</v>
      </c>
      <c r="G6445" s="57" t="s">
        <v>13819</v>
      </c>
      <c r="H6445" s="57" t="s">
        <v>2979</v>
      </c>
    </row>
    <row r="6446" spans="2:8" ht="13.5" customHeight="1">
      <c r="B6446" t="s">
        <v>8644</v>
      </c>
      <c r="D6446" t="s">
        <v>11539</v>
      </c>
      <c r="F6446" s="76">
        <v>29</v>
      </c>
      <c r="G6446" s="57" t="s">
        <v>13819</v>
      </c>
      <c r="H6446" s="57" t="s">
        <v>2979</v>
      </c>
    </row>
    <row r="6447" spans="2:8" ht="13.5" customHeight="1">
      <c r="B6447" t="s">
        <v>11502</v>
      </c>
      <c r="D6447" t="s">
        <v>11540</v>
      </c>
      <c r="F6447" s="76">
        <v>30</v>
      </c>
      <c r="G6447" s="57" t="s">
        <v>13819</v>
      </c>
      <c r="H6447" s="57" t="s">
        <v>2979</v>
      </c>
    </row>
    <row r="6448" spans="2:8" ht="13.5" customHeight="1">
      <c r="B6448" t="s">
        <v>11503</v>
      </c>
      <c r="D6448" t="s">
        <v>11541</v>
      </c>
      <c r="F6448" s="76">
        <v>31</v>
      </c>
      <c r="G6448" s="57" t="s">
        <v>13819</v>
      </c>
      <c r="H6448" s="57" t="s">
        <v>2979</v>
      </c>
    </row>
    <row r="6449" spans="2:8" ht="13.5" customHeight="1">
      <c r="B6449"/>
      <c r="D6449" t="s">
        <v>11542</v>
      </c>
      <c r="F6449" s="76">
        <v>32</v>
      </c>
      <c r="G6449" s="57" t="s">
        <v>13819</v>
      </c>
      <c r="H6449" s="57" t="s">
        <v>2979</v>
      </c>
    </row>
    <row r="6450" spans="2:8" ht="13.5" customHeight="1">
      <c r="B6450" t="s">
        <v>11504</v>
      </c>
      <c r="D6450" t="s">
        <v>11543</v>
      </c>
      <c r="F6450" s="76">
        <v>32</v>
      </c>
      <c r="G6450" s="57" t="s">
        <v>13819</v>
      </c>
      <c r="H6450" s="57" t="s">
        <v>2979</v>
      </c>
    </row>
    <row r="6451" spans="2:8" ht="13.5" customHeight="1">
      <c r="B6451" t="s">
        <v>11229</v>
      </c>
      <c r="D6451" t="s">
        <v>6642</v>
      </c>
      <c r="F6451" s="76">
        <v>35</v>
      </c>
      <c r="G6451" s="57" t="s">
        <v>13819</v>
      </c>
      <c r="H6451" s="57" t="s">
        <v>2979</v>
      </c>
    </row>
    <row r="6452" spans="2:8" ht="13.5" customHeight="1">
      <c r="B6452" t="s">
        <v>11505</v>
      </c>
      <c r="D6452" t="s">
        <v>11544</v>
      </c>
      <c r="F6452" s="76">
        <v>36</v>
      </c>
      <c r="G6452" s="57" t="s">
        <v>13819</v>
      </c>
      <c r="H6452" s="57" t="s">
        <v>2979</v>
      </c>
    </row>
    <row r="6453" spans="2:8" ht="13.5" customHeight="1">
      <c r="B6453" t="s">
        <v>9980</v>
      </c>
      <c r="D6453" t="s">
        <v>11545</v>
      </c>
      <c r="F6453" s="76">
        <v>43</v>
      </c>
      <c r="G6453" s="57" t="s">
        <v>13819</v>
      </c>
      <c r="H6453" s="57" t="s">
        <v>2979</v>
      </c>
    </row>
    <row r="6454" spans="2:8" ht="13.5" customHeight="1">
      <c r="B6454" t="s">
        <v>11506</v>
      </c>
      <c r="D6454" t="s">
        <v>11546</v>
      </c>
      <c r="F6454" s="76">
        <v>44</v>
      </c>
      <c r="G6454" s="57" t="s">
        <v>13819</v>
      </c>
      <c r="H6454" s="57" t="s">
        <v>2979</v>
      </c>
    </row>
    <row r="6455" spans="2:8" ht="13.5" customHeight="1">
      <c r="B6455" t="s">
        <v>11507</v>
      </c>
      <c r="D6455" t="s">
        <v>11547</v>
      </c>
      <c r="F6455" s="76">
        <v>45</v>
      </c>
      <c r="G6455" s="57" t="s">
        <v>13819</v>
      </c>
      <c r="H6455" s="57" t="s">
        <v>2979</v>
      </c>
    </row>
    <row r="6456" spans="2:8" ht="13.5" customHeight="1">
      <c r="B6456"/>
      <c r="D6456" t="s">
        <v>11548</v>
      </c>
      <c r="F6456" s="76">
        <v>49</v>
      </c>
      <c r="G6456" s="57" t="s">
        <v>13819</v>
      </c>
      <c r="H6456" s="57" t="s">
        <v>2979</v>
      </c>
    </row>
    <row r="6457" spans="2:8" ht="13.5" customHeight="1">
      <c r="B6457" t="s">
        <v>11508</v>
      </c>
      <c r="D6457" t="s">
        <v>11549</v>
      </c>
      <c r="F6457" s="76">
        <v>49</v>
      </c>
      <c r="G6457" s="57" t="s">
        <v>13819</v>
      </c>
      <c r="H6457" s="57" t="s">
        <v>2979</v>
      </c>
    </row>
    <row r="6458" spans="2:8" ht="13.5" customHeight="1">
      <c r="B6458" t="s">
        <v>11504</v>
      </c>
      <c r="D6458" t="s">
        <v>11550</v>
      </c>
      <c r="F6458" s="76">
        <v>49</v>
      </c>
      <c r="G6458" s="57" t="s">
        <v>13819</v>
      </c>
      <c r="H6458" s="57" t="s">
        <v>2979</v>
      </c>
    </row>
    <row r="6459" spans="2:8" ht="13.5" customHeight="1">
      <c r="B6459" t="s">
        <v>11509</v>
      </c>
      <c r="D6459" t="s">
        <v>11551</v>
      </c>
      <c r="F6459" s="76">
        <v>50</v>
      </c>
      <c r="G6459" s="57" t="s">
        <v>13819</v>
      </c>
      <c r="H6459" s="57" t="s">
        <v>2979</v>
      </c>
    </row>
    <row r="6460" spans="2:8" ht="13.5" customHeight="1">
      <c r="B6460" t="s">
        <v>11510</v>
      </c>
      <c r="D6460" t="s">
        <v>11552</v>
      </c>
      <c r="F6460" s="76">
        <v>58</v>
      </c>
      <c r="G6460" s="57" t="s">
        <v>13819</v>
      </c>
      <c r="H6460" s="57" t="s">
        <v>2979</v>
      </c>
    </row>
    <row r="6461" spans="2:8" ht="13.5" customHeight="1">
      <c r="B6461" t="s">
        <v>11511</v>
      </c>
      <c r="D6461" t="s">
        <v>11553</v>
      </c>
      <c r="F6461" s="76">
        <v>65</v>
      </c>
      <c r="G6461" s="57" t="s">
        <v>13819</v>
      </c>
      <c r="H6461" s="57" t="s">
        <v>2979</v>
      </c>
    </row>
    <row r="6462" spans="2:8" ht="13.5" customHeight="1">
      <c r="B6462" t="s">
        <v>11512</v>
      </c>
      <c r="D6462" t="s">
        <v>11554</v>
      </c>
      <c r="F6462" s="76">
        <v>74</v>
      </c>
      <c r="G6462" s="57" t="s">
        <v>13819</v>
      </c>
      <c r="H6462" s="57" t="s">
        <v>2979</v>
      </c>
    </row>
    <row r="6463" spans="2:8" ht="13.5" customHeight="1">
      <c r="B6463" t="s">
        <v>11513</v>
      </c>
      <c r="D6463" t="s">
        <v>11555</v>
      </c>
      <c r="F6463" s="76">
        <v>123</v>
      </c>
      <c r="G6463" s="57" t="s">
        <v>13819</v>
      </c>
      <c r="H6463" s="57" t="s">
        <v>2979</v>
      </c>
    </row>
    <row r="6464" spans="2:8" ht="13.5" customHeight="1">
      <c r="B6464" t="s">
        <v>11514</v>
      </c>
      <c r="D6464" t="s">
        <v>11556</v>
      </c>
      <c r="F6464" s="76">
        <v>176</v>
      </c>
      <c r="G6464" s="57" t="s">
        <v>13819</v>
      </c>
      <c r="H6464" s="57" t="s">
        <v>2979</v>
      </c>
    </row>
    <row r="6465" spans="2:8" ht="13.5" customHeight="1">
      <c r="B6465" t="s">
        <v>11515</v>
      </c>
      <c r="D6465" t="s">
        <v>11557</v>
      </c>
      <c r="F6465" s="76">
        <v>1511</v>
      </c>
      <c r="G6465" s="57" t="s">
        <v>13819</v>
      </c>
      <c r="H6465" s="57" t="s">
        <v>2979</v>
      </c>
    </row>
    <row r="6466" spans="2:8" ht="13.5" customHeight="1">
      <c r="B6466" t="s">
        <v>11558</v>
      </c>
      <c r="D6466" t="s">
        <v>11605</v>
      </c>
      <c r="F6466" s="76">
        <v>1</v>
      </c>
      <c r="G6466" s="57" t="s">
        <v>13819</v>
      </c>
      <c r="H6466" s="57" t="s">
        <v>6624</v>
      </c>
    </row>
    <row r="6467" spans="2:8" ht="13.5" customHeight="1">
      <c r="B6467" t="s">
        <v>11559</v>
      </c>
      <c r="D6467" t="s">
        <v>11606</v>
      </c>
      <c r="F6467" s="76">
        <v>1</v>
      </c>
      <c r="G6467" s="57" t="s">
        <v>13819</v>
      </c>
      <c r="H6467" s="57" t="s">
        <v>6624</v>
      </c>
    </row>
    <row r="6468" spans="2:8" ht="13.5" customHeight="1">
      <c r="B6468" t="s">
        <v>11560</v>
      </c>
      <c r="D6468" t="s">
        <v>11607</v>
      </c>
      <c r="F6468" s="76">
        <v>1</v>
      </c>
      <c r="G6468" s="57" t="s">
        <v>13819</v>
      </c>
      <c r="H6468" s="57" t="s">
        <v>6624</v>
      </c>
    </row>
    <row r="6469" spans="2:8" ht="13.5" customHeight="1">
      <c r="B6469" t="s">
        <v>4088</v>
      </c>
      <c r="D6469" t="s">
        <v>11608</v>
      </c>
      <c r="F6469" s="76">
        <v>1</v>
      </c>
      <c r="G6469" s="57" t="s">
        <v>13819</v>
      </c>
      <c r="H6469" s="57" t="s">
        <v>6624</v>
      </c>
    </row>
    <row r="6470" spans="2:8" ht="13.5" customHeight="1">
      <c r="B6470" t="s">
        <v>11561</v>
      </c>
      <c r="D6470" t="s">
        <v>11609</v>
      </c>
      <c r="F6470" s="76">
        <v>1</v>
      </c>
      <c r="G6470" s="57" t="s">
        <v>13819</v>
      </c>
      <c r="H6470" s="57" t="s">
        <v>6624</v>
      </c>
    </row>
    <row r="6471" spans="2:8" ht="13.5" customHeight="1">
      <c r="B6471" t="s">
        <v>11562</v>
      </c>
      <c r="D6471" t="s">
        <v>11610</v>
      </c>
      <c r="F6471" s="76">
        <v>1</v>
      </c>
      <c r="G6471" s="57" t="s">
        <v>13819</v>
      </c>
      <c r="H6471" s="57" t="s">
        <v>6624</v>
      </c>
    </row>
    <row r="6472" spans="2:8" ht="13.5" customHeight="1">
      <c r="B6472" t="s">
        <v>11563</v>
      </c>
      <c r="D6472" t="s">
        <v>11611</v>
      </c>
      <c r="F6472" s="76">
        <v>2</v>
      </c>
      <c r="G6472" s="57" t="s">
        <v>13819</v>
      </c>
      <c r="H6472" s="57" t="s">
        <v>6624</v>
      </c>
    </row>
    <row r="6473" spans="2:8" ht="13.5" customHeight="1">
      <c r="B6473" t="s">
        <v>11564</v>
      </c>
      <c r="D6473" t="s">
        <v>11612</v>
      </c>
      <c r="F6473" s="76">
        <v>2</v>
      </c>
      <c r="G6473" s="57" t="s">
        <v>13819</v>
      </c>
      <c r="H6473" s="57" t="s">
        <v>6624</v>
      </c>
    </row>
    <row r="6474" spans="2:8" ht="13.5" customHeight="1">
      <c r="B6474" t="s">
        <v>291</v>
      </c>
      <c r="D6474" t="s">
        <v>11613</v>
      </c>
      <c r="F6474" s="76">
        <v>2</v>
      </c>
      <c r="G6474" s="57" t="s">
        <v>13819</v>
      </c>
      <c r="H6474" s="57" t="s">
        <v>6624</v>
      </c>
    </row>
    <row r="6475" spans="2:8" ht="13.5" customHeight="1">
      <c r="B6475" t="s">
        <v>11565</v>
      </c>
      <c r="D6475" t="s">
        <v>11614</v>
      </c>
      <c r="F6475" s="76">
        <v>2</v>
      </c>
      <c r="G6475" s="57" t="s">
        <v>13819</v>
      </c>
      <c r="H6475" s="57" t="s">
        <v>6624</v>
      </c>
    </row>
    <row r="6476" spans="2:8" ht="13.5" customHeight="1">
      <c r="B6476" t="s">
        <v>11566</v>
      </c>
      <c r="D6476" t="s">
        <v>140</v>
      </c>
      <c r="F6476" s="76">
        <v>2</v>
      </c>
      <c r="G6476" s="57" t="s">
        <v>13819</v>
      </c>
      <c r="H6476" s="57" t="s">
        <v>6624</v>
      </c>
    </row>
    <row r="6477" spans="2:8" ht="13.5" customHeight="1">
      <c r="B6477" t="s">
        <v>11567</v>
      </c>
      <c r="D6477" t="s">
        <v>11615</v>
      </c>
      <c r="F6477" s="76">
        <v>2</v>
      </c>
      <c r="G6477" s="57" t="s">
        <v>13819</v>
      </c>
      <c r="H6477" s="57" t="s">
        <v>6624</v>
      </c>
    </row>
    <row r="6478" spans="2:8" ht="13.5" customHeight="1">
      <c r="B6478" t="s">
        <v>11568</v>
      </c>
      <c r="D6478" t="s">
        <v>11616</v>
      </c>
      <c r="F6478" s="76">
        <v>3</v>
      </c>
      <c r="G6478" s="57" t="s">
        <v>13819</v>
      </c>
      <c r="H6478" s="57" t="s">
        <v>6624</v>
      </c>
    </row>
    <row r="6479" spans="2:8" ht="13.5" customHeight="1">
      <c r="B6479" t="s">
        <v>11569</v>
      </c>
      <c r="D6479" t="s">
        <v>11617</v>
      </c>
      <c r="F6479" s="76">
        <v>3</v>
      </c>
      <c r="G6479" s="57" t="s">
        <v>13819</v>
      </c>
      <c r="H6479" s="57" t="s">
        <v>6624</v>
      </c>
    </row>
    <row r="6480" spans="2:8" ht="13.5" customHeight="1">
      <c r="B6480" t="s">
        <v>11570</v>
      </c>
      <c r="D6480" t="s">
        <v>11618</v>
      </c>
      <c r="F6480" s="76">
        <v>3</v>
      </c>
      <c r="G6480" s="57" t="s">
        <v>13819</v>
      </c>
      <c r="H6480" s="57" t="s">
        <v>6624</v>
      </c>
    </row>
    <row r="6481" spans="2:8" ht="13.5" customHeight="1">
      <c r="B6481" t="s">
        <v>11571</v>
      </c>
      <c r="D6481" t="s">
        <v>11619</v>
      </c>
      <c r="F6481" s="76">
        <v>3</v>
      </c>
      <c r="G6481" s="57" t="s">
        <v>13819</v>
      </c>
      <c r="H6481" s="57" t="s">
        <v>6624</v>
      </c>
    </row>
    <row r="6482" spans="2:8" ht="13.5" customHeight="1">
      <c r="B6482" t="s">
        <v>11572</v>
      </c>
      <c r="D6482" t="s">
        <v>11620</v>
      </c>
      <c r="F6482" s="76">
        <v>4</v>
      </c>
      <c r="G6482" s="57" t="s">
        <v>13819</v>
      </c>
      <c r="H6482" s="57" t="s">
        <v>6624</v>
      </c>
    </row>
    <row r="6483" spans="2:8" ht="13.5" customHeight="1">
      <c r="B6483" t="s">
        <v>11134</v>
      </c>
      <c r="D6483" t="s">
        <v>11621</v>
      </c>
      <c r="F6483" s="76">
        <v>4</v>
      </c>
      <c r="G6483" s="57" t="s">
        <v>13819</v>
      </c>
      <c r="H6483" s="57" t="s">
        <v>6624</v>
      </c>
    </row>
    <row r="6484" spans="2:8" ht="13.5" customHeight="1">
      <c r="B6484" t="s">
        <v>11573</v>
      </c>
      <c r="D6484" t="s">
        <v>11622</v>
      </c>
      <c r="F6484" s="76">
        <v>5</v>
      </c>
      <c r="G6484" s="57" t="s">
        <v>13819</v>
      </c>
      <c r="H6484" s="57" t="s">
        <v>6624</v>
      </c>
    </row>
    <row r="6485" spans="2:8" ht="13.5" customHeight="1">
      <c r="B6485" t="s">
        <v>11574</v>
      </c>
      <c r="D6485" t="s">
        <v>11623</v>
      </c>
      <c r="F6485" s="76">
        <v>5</v>
      </c>
      <c r="G6485" s="57" t="s">
        <v>13819</v>
      </c>
      <c r="H6485" s="57" t="s">
        <v>6624</v>
      </c>
    </row>
    <row r="6486" spans="2:8" ht="13.5" customHeight="1">
      <c r="B6486" t="s">
        <v>11575</v>
      </c>
      <c r="D6486" t="s">
        <v>11624</v>
      </c>
      <c r="F6486" s="76">
        <v>5</v>
      </c>
      <c r="G6486" s="57" t="s">
        <v>13819</v>
      </c>
      <c r="H6486" s="57" t="s">
        <v>6624</v>
      </c>
    </row>
    <row r="6487" spans="2:8" ht="13.5" customHeight="1">
      <c r="B6487" t="s">
        <v>11576</v>
      </c>
      <c r="D6487" t="s">
        <v>11625</v>
      </c>
      <c r="F6487" s="76">
        <v>5</v>
      </c>
      <c r="G6487" s="57" t="s">
        <v>13819</v>
      </c>
      <c r="H6487" s="57" t="s">
        <v>6624</v>
      </c>
    </row>
    <row r="6488" spans="2:8" ht="13.5" customHeight="1">
      <c r="B6488" t="s">
        <v>11577</v>
      </c>
      <c r="D6488" t="s">
        <v>365</v>
      </c>
      <c r="F6488" s="76">
        <v>5</v>
      </c>
      <c r="G6488" s="57" t="s">
        <v>13819</v>
      </c>
      <c r="H6488" s="57" t="s">
        <v>6624</v>
      </c>
    </row>
    <row r="6489" spans="2:8" ht="13.5" customHeight="1">
      <c r="B6489" t="s">
        <v>11578</v>
      </c>
      <c r="D6489">
        <v>74279220321</v>
      </c>
      <c r="F6489" s="76">
        <v>5</v>
      </c>
      <c r="G6489" s="57" t="s">
        <v>13819</v>
      </c>
      <c r="H6489" s="57" t="s">
        <v>6624</v>
      </c>
    </row>
    <row r="6490" spans="2:8" ht="13.5" customHeight="1">
      <c r="B6490" t="s">
        <v>11579</v>
      </c>
      <c r="D6490" t="s">
        <v>11626</v>
      </c>
      <c r="F6490" s="76">
        <v>5</v>
      </c>
      <c r="G6490" s="57" t="s">
        <v>13819</v>
      </c>
      <c r="H6490" s="57" t="s">
        <v>6624</v>
      </c>
    </row>
    <row r="6491" spans="2:8" ht="13.5" customHeight="1">
      <c r="B6491" t="s">
        <v>11580</v>
      </c>
      <c r="D6491" t="s">
        <v>598</v>
      </c>
      <c r="F6491" s="76">
        <v>5</v>
      </c>
      <c r="G6491" s="57" t="s">
        <v>13819</v>
      </c>
      <c r="H6491" s="57" t="s">
        <v>6624</v>
      </c>
    </row>
    <row r="6492" spans="2:8" ht="13.5" customHeight="1">
      <c r="B6492" t="s">
        <v>11581</v>
      </c>
      <c r="D6492" t="s">
        <v>11627</v>
      </c>
      <c r="F6492" s="76">
        <v>6</v>
      </c>
      <c r="G6492" s="57" t="s">
        <v>13819</v>
      </c>
      <c r="H6492" s="57" t="s">
        <v>6624</v>
      </c>
    </row>
    <row r="6493" spans="2:8" ht="13.5" customHeight="1">
      <c r="B6493" t="s">
        <v>11582</v>
      </c>
      <c r="D6493" t="s">
        <v>11628</v>
      </c>
      <c r="F6493" s="76">
        <v>7</v>
      </c>
      <c r="G6493" s="57" t="s">
        <v>13819</v>
      </c>
      <c r="H6493" s="57" t="s">
        <v>6624</v>
      </c>
    </row>
    <row r="6494" spans="2:8" ht="13.5" customHeight="1">
      <c r="B6494" t="s">
        <v>11583</v>
      </c>
      <c r="D6494" t="s">
        <v>11629</v>
      </c>
      <c r="F6494" s="76">
        <v>7</v>
      </c>
      <c r="G6494" s="57" t="s">
        <v>13819</v>
      </c>
      <c r="H6494" s="57" t="s">
        <v>6624</v>
      </c>
    </row>
    <row r="6495" spans="2:8" ht="13.5" customHeight="1">
      <c r="B6495" t="s">
        <v>11584</v>
      </c>
      <c r="D6495" t="s">
        <v>11630</v>
      </c>
      <c r="F6495" s="76">
        <v>7</v>
      </c>
      <c r="G6495" s="57" t="s">
        <v>13819</v>
      </c>
      <c r="H6495" s="57" t="s">
        <v>6624</v>
      </c>
    </row>
    <row r="6496" spans="2:8" ht="13.5" customHeight="1">
      <c r="B6496" t="s">
        <v>11585</v>
      </c>
      <c r="D6496" t="s">
        <v>11631</v>
      </c>
      <c r="F6496" s="76">
        <v>7</v>
      </c>
      <c r="G6496" s="57" t="s">
        <v>13819</v>
      </c>
      <c r="H6496" s="57" t="s">
        <v>6624</v>
      </c>
    </row>
    <row r="6497" spans="2:8" ht="13.5" customHeight="1">
      <c r="B6497" t="s">
        <v>11586</v>
      </c>
      <c r="D6497" t="s">
        <v>11632</v>
      </c>
      <c r="F6497" s="76">
        <v>8</v>
      </c>
      <c r="G6497" s="57" t="s">
        <v>13819</v>
      </c>
      <c r="H6497" s="57" t="s">
        <v>6624</v>
      </c>
    </row>
    <row r="6498" spans="2:8" ht="13.5" customHeight="1">
      <c r="B6498" t="s">
        <v>11587</v>
      </c>
      <c r="D6498" t="s">
        <v>11633</v>
      </c>
      <c r="F6498" s="76">
        <v>9</v>
      </c>
      <c r="G6498" s="57" t="s">
        <v>13819</v>
      </c>
      <c r="H6498" s="57" t="s">
        <v>6624</v>
      </c>
    </row>
    <row r="6499" spans="2:8" ht="13.5" customHeight="1">
      <c r="B6499" t="s">
        <v>11588</v>
      </c>
      <c r="D6499" t="s">
        <v>11634</v>
      </c>
      <c r="F6499" s="76">
        <v>10</v>
      </c>
      <c r="G6499" s="57" t="s">
        <v>13819</v>
      </c>
      <c r="H6499" s="57" t="s">
        <v>6624</v>
      </c>
    </row>
    <row r="6500" spans="2:8" ht="13.5" customHeight="1">
      <c r="B6500" t="s">
        <v>11589</v>
      </c>
      <c r="D6500" t="s">
        <v>8482</v>
      </c>
      <c r="F6500" s="76">
        <v>10</v>
      </c>
      <c r="G6500" s="57" t="s">
        <v>13819</v>
      </c>
      <c r="H6500" s="57" t="s">
        <v>6624</v>
      </c>
    </row>
    <row r="6501" spans="2:8" ht="13.5" customHeight="1">
      <c r="B6501" t="s">
        <v>11590</v>
      </c>
      <c r="D6501" t="s">
        <v>11635</v>
      </c>
      <c r="F6501" s="76">
        <v>10</v>
      </c>
      <c r="G6501" s="57" t="s">
        <v>13819</v>
      </c>
      <c r="H6501" s="57" t="s">
        <v>6624</v>
      </c>
    </row>
    <row r="6502" spans="2:8" ht="13.5" customHeight="1">
      <c r="B6502" t="s">
        <v>11591</v>
      </c>
      <c r="D6502" t="s">
        <v>11636</v>
      </c>
      <c r="F6502" s="76">
        <v>11</v>
      </c>
      <c r="G6502" s="57" t="s">
        <v>13819</v>
      </c>
      <c r="H6502" s="57" t="s">
        <v>6624</v>
      </c>
    </row>
    <row r="6503" spans="2:8" ht="13.5" customHeight="1">
      <c r="B6503" t="s">
        <v>11592</v>
      </c>
      <c r="D6503" t="s">
        <v>11637</v>
      </c>
      <c r="F6503" s="76">
        <v>13</v>
      </c>
      <c r="G6503" s="57" t="s">
        <v>13819</v>
      </c>
      <c r="H6503" s="57" t="s">
        <v>6624</v>
      </c>
    </row>
    <row r="6504" spans="2:8" ht="13.5" customHeight="1">
      <c r="B6504" t="s">
        <v>11593</v>
      </c>
      <c r="D6504" t="s">
        <v>11638</v>
      </c>
      <c r="F6504" s="76">
        <v>13</v>
      </c>
      <c r="G6504" s="57" t="s">
        <v>13819</v>
      </c>
      <c r="H6504" s="57" t="s">
        <v>6624</v>
      </c>
    </row>
    <row r="6505" spans="2:8" ht="13.5" customHeight="1">
      <c r="B6505" t="s">
        <v>11147</v>
      </c>
      <c r="D6505" t="s">
        <v>11639</v>
      </c>
      <c r="F6505" s="76">
        <v>15</v>
      </c>
      <c r="G6505" s="57" t="s">
        <v>13819</v>
      </c>
      <c r="H6505" s="57" t="s">
        <v>6624</v>
      </c>
    </row>
    <row r="6506" spans="2:8" ht="13.5" customHeight="1">
      <c r="B6506" t="s">
        <v>11594</v>
      </c>
      <c r="D6506" t="s">
        <v>7304</v>
      </c>
      <c r="F6506" s="76">
        <v>25</v>
      </c>
      <c r="G6506" s="57" t="s">
        <v>13819</v>
      </c>
      <c r="H6506" s="57" t="s">
        <v>6624</v>
      </c>
    </row>
    <row r="6507" spans="2:8" ht="13.5" customHeight="1">
      <c r="B6507"/>
      <c r="D6507" t="s">
        <v>11640</v>
      </c>
      <c r="F6507" s="76">
        <v>28</v>
      </c>
      <c r="G6507" s="57" t="s">
        <v>13819</v>
      </c>
      <c r="H6507" s="57" t="s">
        <v>6624</v>
      </c>
    </row>
    <row r="6508" spans="2:8" ht="13.5" customHeight="1">
      <c r="B6508" t="s">
        <v>11595</v>
      </c>
      <c r="D6508" t="s">
        <v>11641</v>
      </c>
      <c r="F6508" s="76">
        <v>28</v>
      </c>
      <c r="G6508" s="57" t="s">
        <v>13819</v>
      </c>
      <c r="H6508" s="57" t="s">
        <v>6624</v>
      </c>
    </row>
    <row r="6509" spans="2:8" ht="13.5" customHeight="1">
      <c r="B6509" t="s">
        <v>11596</v>
      </c>
      <c r="D6509" t="s">
        <v>11642</v>
      </c>
      <c r="F6509" s="76">
        <v>38</v>
      </c>
      <c r="G6509" s="57" t="s">
        <v>13819</v>
      </c>
      <c r="H6509" s="57" t="s">
        <v>6624</v>
      </c>
    </row>
    <row r="6510" spans="2:8" ht="13.5" customHeight="1">
      <c r="B6510" t="s">
        <v>11597</v>
      </c>
      <c r="D6510" t="s">
        <v>11643</v>
      </c>
      <c r="F6510" s="76">
        <v>39</v>
      </c>
      <c r="G6510" s="57" t="s">
        <v>13819</v>
      </c>
      <c r="H6510" s="57" t="s">
        <v>6624</v>
      </c>
    </row>
    <row r="6511" spans="2:8" ht="13.5" customHeight="1">
      <c r="B6511" t="s">
        <v>11598</v>
      </c>
      <c r="D6511" t="s">
        <v>6875</v>
      </c>
      <c r="F6511" s="76">
        <v>45</v>
      </c>
      <c r="G6511" s="57" t="s">
        <v>13819</v>
      </c>
      <c r="H6511" s="57" t="s">
        <v>6624</v>
      </c>
    </row>
    <row r="6512" spans="2:8" ht="13.5" customHeight="1">
      <c r="B6512" t="s">
        <v>11599</v>
      </c>
      <c r="D6512" t="s">
        <v>11644</v>
      </c>
      <c r="F6512" s="76">
        <v>46</v>
      </c>
      <c r="G6512" s="57" t="s">
        <v>13819</v>
      </c>
      <c r="H6512" s="57" t="s">
        <v>6624</v>
      </c>
    </row>
    <row r="6513" spans="2:8" ht="13.5" customHeight="1">
      <c r="B6513" t="s">
        <v>3831</v>
      </c>
      <c r="D6513" t="s">
        <v>3832</v>
      </c>
      <c r="F6513" s="76">
        <v>47</v>
      </c>
      <c r="G6513" s="57" t="s">
        <v>13819</v>
      </c>
      <c r="H6513" s="57" t="s">
        <v>6624</v>
      </c>
    </row>
    <row r="6514" spans="2:8" ht="13.5" customHeight="1">
      <c r="B6514" t="s">
        <v>11600</v>
      </c>
      <c r="D6514" t="s">
        <v>11645</v>
      </c>
      <c r="F6514" s="76">
        <v>48</v>
      </c>
      <c r="G6514" s="57" t="s">
        <v>13819</v>
      </c>
      <c r="H6514" s="57" t="s">
        <v>6624</v>
      </c>
    </row>
    <row r="6515" spans="2:8" ht="13.5" customHeight="1">
      <c r="B6515" t="s">
        <v>11601</v>
      </c>
      <c r="D6515" t="s">
        <v>11646</v>
      </c>
      <c r="F6515" s="76">
        <v>48</v>
      </c>
      <c r="G6515" s="57" t="s">
        <v>13819</v>
      </c>
      <c r="H6515" s="57" t="s">
        <v>6624</v>
      </c>
    </row>
    <row r="6516" spans="2:8" ht="13.5" customHeight="1">
      <c r="B6516" t="s">
        <v>8583</v>
      </c>
      <c r="D6516" t="s">
        <v>11647</v>
      </c>
      <c r="F6516" s="76">
        <v>49</v>
      </c>
      <c r="G6516" s="57" t="s">
        <v>13819</v>
      </c>
      <c r="H6516" s="57" t="s">
        <v>6624</v>
      </c>
    </row>
    <row r="6517" spans="2:8" ht="13.5" customHeight="1">
      <c r="B6517" t="s">
        <v>395</v>
      </c>
      <c r="D6517" t="s">
        <v>11648</v>
      </c>
      <c r="F6517" s="76">
        <v>66</v>
      </c>
      <c r="G6517" s="57" t="s">
        <v>13819</v>
      </c>
      <c r="H6517" s="57" t="s">
        <v>6624</v>
      </c>
    </row>
    <row r="6518" spans="2:8" ht="13.5" customHeight="1">
      <c r="B6518" t="s">
        <v>11602</v>
      </c>
      <c r="D6518" t="s">
        <v>11649</v>
      </c>
      <c r="F6518" s="76">
        <v>71</v>
      </c>
      <c r="G6518" s="57" t="s">
        <v>13819</v>
      </c>
      <c r="H6518" s="57" t="s">
        <v>6624</v>
      </c>
    </row>
    <row r="6519" spans="2:8" ht="13.5" customHeight="1">
      <c r="B6519" t="s">
        <v>11603</v>
      </c>
      <c r="D6519" t="s">
        <v>11650</v>
      </c>
      <c r="F6519" s="76">
        <v>74</v>
      </c>
      <c r="G6519" s="57" t="s">
        <v>13819</v>
      </c>
      <c r="H6519" s="57" t="s">
        <v>6624</v>
      </c>
    </row>
    <row r="6520" spans="2:8" ht="13.5" customHeight="1">
      <c r="B6520" t="s">
        <v>3379</v>
      </c>
      <c r="D6520" t="s">
        <v>8305</v>
      </c>
      <c r="F6520" s="76">
        <v>87</v>
      </c>
      <c r="G6520" s="57" t="s">
        <v>13819</v>
      </c>
      <c r="H6520" s="57" t="s">
        <v>6624</v>
      </c>
    </row>
    <row r="6521" spans="2:8" ht="13.5" customHeight="1">
      <c r="B6521" t="s">
        <v>7762</v>
      </c>
      <c r="D6521" t="s">
        <v>11651</v>
      </c>
      <c r="F6521" s="76">
        <v>87</v>
      </c>
      <c r="G6521" s="57" t="s">
        <v>13819</v>
      </c>
      <c r="H6521" s="57" t="s">
        <v>6624</v>
      </c>
    </row>
    <row r="6522" spans="2:8" ht="13.5" customHeight="1">
      <c r="B6522" t="s">
        <v>11604</v>
      </c>
      <c r="D6522" t="s">
        <v>11652</v>
      </c>
      <c r="F6522" s="76">
        <v>89</v>
      </c>
      <c r="G6522" s="57" t="s">
        <v>13819</v>
      </c>
      <c r="H6522" s="57" t="s">
        <v>6624</v>
      </c>
    </row>
    <row r="6523" spans="2:8" ht="13.5" customHeight="1">
      <c r="B6523" t="s">
        <v>11653</v>
      </c>
      <c r="D6523" t="s">
        <v>11709</v>
      </c>
      <c r="F6523" s="76">
        <v>1</v>
      </c>
      <c r="G6523" s="57" t="s">
        <v>13819</v>
      </c>
      <c r="H6523" s="57" t="s">
        <v>6625</v>
      </c>
    </row>
    <row r="6524" spans="2:8" ht="13.5" customHeight="1">
      <c r="B6524" t="s">
        <v>11654</v>
      </c>
      <c r="D6524" t="s">
        <v>11710</v>
      </c>
      <c r="F6524" s="76">
        <v>2</v>
      </c>
      <c r="G6524" s="57" t="s">
        <v>13819</v>
      </c>
      <c r="H6524" s="57" t="s">
        <v>6625</v>
      </c>
    </row>
    <row r="6525" spans="2:8" ht="13.5" customHeight="1">
      <c r="B6525" t="s">
        <v>11655</v>
      </c>
      <c r="D6525" t="s">
        <v>11711</v>
      </c>
      <c r="F6525" s="76">
        <v>2</v>
      </c>
      <c r="G6525" s="57" t="s">
        <v>13819</v>
      </c>
      <c r="H6525" s="57" t="s">
        <v>6625</v>
      </c>
    </row>
    <row r="6526" spans="2:8" ht="13.5" customHeight="1">
      <c r="B6526" t="s">
        <v>11656</v>
      </c>
      <c r="D6526" t="s">
        <v>11712</v>
      </c>
      <c r="F6526" s="76">
        <v>2</v>
      </c>
      <c r="G6526" s="57" t="s">
        <v>13819</v>
      </c>
      <c r="H6526" s="57" t="s">
        <v>6625</v>
      </c>
    </row>
    <row r="6527" spans="2:8" ht="13.5" customHeight="1">
      <c r="B6527" t="s">
        <v>11657</v>
      </c>
      <c r="D6527" t="s">
        <v>11713</v>
      </c>
      <c r="F6527" s="76">
        <v>2</v>
      </c>
      <c r="G6527" s="57" t="s">
        <v>13819</v>
      </c>
      <c r="H6527" s="57" t="s">
        <v>6625</v>
      </c>
    </row>
    <row r="6528" spans="2:8" ht="13.5" customHeight="1">
      <c r="B6528" t="s">
        <v>11658</v>
      </c>
      <c r="D6528" t="s">
        <v>11714</v>
      </c>
      <c r="F6528" s="76">
        <v>2</v>
      </c>
      <c r="G6528" s="57" t="s">
        <v>13819</v>
      </c>
      <c r="H6528" s="57" t="s">
        <v>6625</v>
      </c>
    </row>
    <row r="6529" spans="2:8" ht="13.5" customHeight="1">
      <c r="B6529" t="s">
        <v>11659</v>
      </c>
      <c r="D6529" t="s">
        <v>11715</v>
      </c>
      <c r="F6529" s="76">
        <v>2</v>
      </c>
      <c r="G6529" s="57" t="s">
        <v>13819</v>
      </c>
      <c r="H6529" s="57" t="s">
        <v>6625</v>
      </c>
    </row>
    <row r="6530" spans="2:8" ht="13.5" customHeight="1">
      <c r="B6530" t="s">
        <v>11660</v>
      </c>
      <c r="D6530" t="s">
        <v>11716</v>
      </c>
      <c r="F6530" s="76">
        <v>2</v>
      </c>
      <c r="G6530" s="57" t="s">
        <v>13819</v>
      </c>
      <c r="H6530" s="57" t="s">
        <v>6625</v>
      </c>
    </row>
    <row r="6531" spans="2:8" ht="13.5" customHeight="1">
      <c r="B6531" t="s">
        <v>11661</v>
      </c>
      <c r="D6531" t="s">
        <v>11717</v>
      </c>
      <c r="F6531" s="76">
        <v>2</v>
      </c>
      <c r="G6531" s="57" t="s">
        <v>13819</v>
      </c>
      <c r="H6531" s="57" t="s">
        <v>6625</v>
      </c>
    </row>
    <row r="6532" spans="2:8" ht="13.5" customHeight="1">
      <c r="B6532" t="s">
        <v>11662</v>
      </c>
      <c r="D6532" t="s">
        <v>11718</v>
      </c>
      <c r="F6532" s="76">
        <v>2</v>
      </c>
      <c r="G6532" s="57" t="s">
        <v>13819</v>
      </c>
      <c r="H6532" s="57" t="s">
        <v>6625</v>
      </c>
    </row>
    <row r="6533" spans="2:8" ht="13.5" customHeight="1">
      <c r="B6533" t="s">
        <v>11663</v>
      </c>
      <c r="D6533" t="s">
        <v>11719</v>
      </c>
      <c r="F6533" s="76">
        <v>4</v>
      </c>
      <c r="G6533" s="57" t="s">
        <v>13819</v>
      </c>
      <c r="H6533" s="57" t="s">
        <v>6625</v>
      </c>
    </row>
    <row r="6534" spans="2:8" ht="13.5" customHeight="1">
      <c r="B6534" t="s">
        <v>11664</v>
      </c>
      <c r="D6534" t="s">
        <v>7253</v>
      </c>
      <c r="F6534" s="76">
        <v>4</v>
      </c>
      <c r="G6534" s="57" t="s">
        <v>13819</v>
      </c>
      <c r="H6534" s="57" t="s">
        <v>6625</v>
      </c>
    </row>
    <row r="6535" spans="2:8" ht="13.5" customHeight="1">
      <c r="B6535" t="s">
        <v>11665</v>
      </c>
      <c r="D6535" t="s">
        <v>11720</v>
      </c>
      <c r="F6535" s="76">
        <v>4</v>
      </c>
      <c r="G6535" s="57" t="s">
        <v>13819</v>
      </c>
      <c r="H6535" s="57" t="s">
        <v>6625</v>
      </c>
    </row>
    <row r="6536" spans="2:8" ht="13.5" customHeight="1">
      <c r="B6536" t="s">
        <v>11666</v>
      </c>
      <c r="D6536" t="s">
        <v>11721</v>
      </c>
      <c r="F6536" s="76">
        <v>5</v>
      </c>
      <c r="G6536" s="57" t="s">
        <v>13819</v>
      </c>
      <c r="H6536" s="57" t="s">
        <v>6625</v>
      </c>
    </row>
    <row r="6537" spans="2:8" ht="13.5" customHeight="1">
      <c r="B6537" t="s">
        <v>11667</v>
      </c>
      <c r="D6537" t="s">
        <v>11722</v>
      </c>
      <c r="F6537" s="76">
        <v>5</v>
      </c>
      <c r="G6537" s="57" t="s">
        <v>13819</v>
      </c>
      <c r="H6537" s="57" t="s">
        <v>6625</v>
      </c>
    </row>
    <row r="6538" spans="2:8" ht="13.5" customHeight="1">
      <c r="B6538" t="s">
        <v>11668</v>
      </c>
      <c r="D6538" t="s">
        <v>11723</v>
      </c>
      <c r="F6538" s="76">
        <v>5</v>
      </c>
      <c r="G6538" s="57" t="s">
        <v>13819</v>
      </c>
      <c r="H6538" s="57" t="s">
        <v>6625</v>
      </c>
    </row>
    <row r="6539" spans="2:8" ht="13.5" customHeight="1">
      <c r="B6539" t="s">
        <v>11669</v>
      </c>
      <c r="D6539" t="s">
        <v>11724</v>
      </c>
      <c r="F6539" s="76">
        <v>5</v>
      </c>
      <c r="G6539" s="57" t="s">
        <v>13819</v>
      </c>
      <c r="H6539" s="57" t="s">
        <v>6625</v>
      </c>
    </row>
    <row r="6540" spans="2:8" ht="13.5" customHeight="1">
      <c r="B6540" t="s">
        <v>11670</v>
      </c>
      <c r="D6540" t="s">
        <v>11725</v>
      </c>
      <c r="F6540" s="76">
        <v>5</v>
      </c>
      <c r="G6540" s="57" t="s">
        <v>13819</v>
      </c>
      <c r="H6540" s="57" t="s">
        <v>6625</v>
      </c>
    </row>
    <row r="6541" spans="2:8" ht="13.5" customHeight="1">
      <c r="B6541" t="s">
        <v>11671</v>
      </c>
      <c r="D6541" t="s">
        <v>11726</v>
      </c>
      <c r="F6541" s="76">
        <v>8</v>
      </c>
      <c r="G6541" s="57" t="s">
        <v>13819</v>
      </c>
      <c r="H6541" s="57" t="s">
        <v>6625</v>
      </c>
    </row>
    <row r="6542" spans="2:8" ht="13.5" customHeight="1">
      <c r="B6542" t="s">
        <v>11672</v>
      </c>
      <c r="D6542" t="s">
        <v>11727</v>
      </c>
      <c r="F6542" s="76">
        <v>8</v>
      </c>
      <c r="G6542" s="57" t="s">
        <v>13819</v>
      </c>
      <c r="H6542" s="57" t="s">
        <v>6625</v>
      </c>
    </row>
    <row r="6543" spans="2:8" ht="13.5" customHeight="1">
      <c r="B6543" t="s">
        <v>11673</v>
      </c>
      <c r="D6543" t="s">
        <v>11728</v>
      </c>
      <c r="F6543" s="76">
        <v>10</v>
      </c>
      <c r="G6543" s="57" t="s">
        <v>13819</v>
      </c>
      <c r="H6543" s="57" t="s">
        <v>6625</v>
      </c>
    </row>
    <row r="6544" spans="2:8" ht="13.5" customHeight="1">
      <c r="B6544" t="s">
        <v>11674</v>
      </c>
      <c r="D6544" t="s">
        <v>7249</v>
      </c>
      <c r="F6544" s="76">
        <v>10</v>
      </c>
      <c r="G6544" s="57" t="s">
        <v>13819</v>
      </c>
      <c r="H6544" s="57" t="s">
        <v>6625</v>
      </c>
    </row>
    <row r="6545" spans="2:8" ht="13.5" customHeight="1">
      <c r="B6545" t="s">
        <v>11675</v>
      </c>
      <c r="D6545" t="s">
        <v>11729</v>
      </c>
      <c r="F6545" s="76">
        <v>10</v>
      </c>
      <c r="G6545" s="57" t="s">
        <v>13819</v>
      </c>
      <c r="H6545" s="57" t="s">
        <v>6625</v>
      </c>
    </row>
    <row r="6546" spans="2:8" ht="13.5" customHeight="1">
      <c r="B6546" t="s">
        <v>11676</v>
      </c>
      <c r="D6546" t="s">
        <v>11730</v>
      </c>
      <c r="F6546" s="76">
        <v>11</v>
      </c>
      <c r="G6546" s="57" t="s">
        <v>13819</v>
      </c>
      <c r="H6546" s="57" t="s">
        <v>6625</v>
      </c>
    </row>
    <row r="6547" spans="2:8" ht="13.5" customHeight="1">
      <c r="B6547" t="s">
        <v>11677</v>
      </c>
      <c r="D6547" t="s">
        <v>11731</v>
      </c>
      <c r="F6547" s="76">
        <v>12</v>
      </c>
      <c r="G6547" s="57" t="s">
        <v>13819</v>
      </c>
      <c r="H6547" s="57" t="s">
        <v>6625</v>
      </c>
    </row>
    <row r="6548" spans="2:8" ht="13.5" customHeight="1">
      <c r="B6548" t="s">
        <v>11678</v>
      </c>
      <c r="D6548" t="s">
        <v>11732</v>
      </c>
      <c r="F6548" s="76">
        <v>13</v>
      </c>
      <c r="G6548" s="57" t="s">
        <v>13819</v>
      </c>
      <c r="H6548" s="57" t="s">
        <v>6625</v>
      </c>
    </row>
    <row r="6549" spans="2:8" ht="13.5" customHeight="1">
      <c r="B6549" t="s">
        <v>11679</v>
      </c>
      <c r="D6549" t="s">
        <v>11733</v>
      </c>
      <c r="F6549" s="76">
        <v>13</v>
      </c>
      <c r="G6549" s="57" t="s">
        <v>13819</v>
      </c>
      <c r="H6549" s="57" t="s">
        <v>6625</v>
      </c>
    </row>
    <row r="6550" spans="2:8" ht="13.5" customHeight="1">
      <c r="B6550" t="s">
        <v>11680</v>
      </c>
      <c r="D6550" t="s">
        <v>8045</v>
      </c>
      <c r="F6550" s="76">
        <v>15</v>
      </c>
      <c r="G6550" s="57" t="s">
        <v>13819</v>
      </c>
      <c r="H6550" s="57" t="s">
        <v>6625</v>
      </c>
    </row>
    <row r="6551" spans="2:8" ht="13.5" customHeight="1">
      <c r="B6551" t="s">
        <v>11681</v>
      </c>
      <c r="D6551" t="s">
        <v>11734</v>
      </c>
      <c r="F6551" s="76">
        <v>16</v>
      </c>
      <c r="G6551" s="57" t="s">
        <v>13819</v>
      </c>
      <c r="H6551" s="57" t="s">
        <v>6625</v>
      </c>
    </row>
    <row r="6552" spans="2:8" ht="13.5" customHeight="1">
      <c r="B6552" t="s">
        <v>11682</v>
      </c>
      <c r="D6552" t="s">
        <v>11735</v>
      </c>
      <c r="F6552" s="76">
        <v>20</v>
      </c>
      <c r="G6552" s="57" t="s">
        <v>13819</v>
      </c>
      <c r="H6552" s="57" t="s">
        <v>6625</v>
      </c>
    </row>
    <row r="6553" spans="2:8" ht="13.5" customHeight="1">
      <c r="B6553" t="s">
        <v>11683</v>
      </c>
      <c r="D6553" t="s">
        <v>11736</v>
      </c>
      <c r="F6553" s="76">
        <v>20</v>
      </c>
      <c r="G6553" s="57" t="s">
        <v>13819</v>
      </c>
      <c r="H6553" s="57" t="s">
        <v>6625</v>
      </c>
    </row>
    <row r="6554" spans="2:8" ht="13.5" customHeight="1">
      <c r="B6554" t="s">
        <v>11684</v>
      </c>
      <c r="D6554" t="s">
        <v>11737</v>
      </c>
      <c r="F6554" s="76">
        <v>20</v>
      </c>
      <c r="G6554" s="57" t="s">
        <v>13819</v>
      </c>
      <c r="H6554" s="57" t="s">
        <v>6625</v>
      </c>
    </row>
    <row r="6555" spans="2:8" ht="13.5" customHeight="1">
      <c r="B6555" t="s">
        <v>11685</v>
      </c>
      <c r="D6555" t="s">
        <v>11738</v>
      </c>
      <c r="F6555" s="76">
        <v>20</v>
      </c>
      <c r="G6555" s="57" t="s">
        <v>13819</v>
      </c>
      <c r="H6555" s="57" t="s">
        <v>6625</v>
      </c>
    </row>
    <row r="6556" spans="2:8" ht="13.5" customHeight="1">
      <c r="B6556" t="s">
        <v>11686</v>
      </c>
      <c r="D6556" t="s">
        <v>11739</v>
      </c>
      <c r="F6556" s="76">
        <v>20</v>
      </c>
      <c r="G6556" s="57" t="s">
        <v>13819</v>
      </c>
      <c r="H6556" s="57" t="s">
        <v>6625</v>
      </c>
    </row>
    <row r="6557" spans="2:8" ht="13.5" customHeight="1">
      <c r="B6557" t="s">
        <v>11687</v>
      </c>
      <c r="D6557" t="s">
        <v>8739</v>
      </c>
      <c r="F6557" s="76">
        <v>20</v>
      </c>
      <c r="G6557" s="57" t="s">
        <v>13819</v>
      </c>
      <c r="H6557" s="57" t="s">
        <v>6625</v>
      </c>
    </row>
    <row r="6558" spans="2:8" ht="13.5" customHeight="1">
      <c r="B6558" t="s">
        <v>11688</v>
      </c>
      <c r="D6558" t="s">
        <v>2854</v>
      </c>
      <c r="F6558" s="76">
        <v>27</v>
      </c>
      <c r="G6558" s="57" t="s">
        <v>13819</v>
      </c>
      <c r="H6558" s="57" t="s">
        <v>6625</v>
      </c>
    </row>
    <row r="6559" spans="2:8" ht="13.5" customHeight="1">
      <c r="B6559" t="s">
        <v>11689</v>
      </c>
      <c r="D6559" t="s">
        <v>11740</v>
      </c>
      <c r="F6559" s="76">
        <v>30</v>
      </c>
      <c r="G6559" s="57" t="s">
        <v>13819</v>
      </c>
      <c r="H6559" s="57" t="s">
        <v>6625</v>
      </c>
    </row>
    <row r="6560" spans="2:8" ht="13.5" customHeight="1">
      <c r="B6560" t="s">
        <v>11690</v>
      </c>
      <c r="D6560" t="s">
        <v>11741</v>
      </c>
      <c r="F6560" s="76">
        <v>36</v>
      </c>
      <c r="G6560" s="57" t="s">
        <v>13819</v>
      </c>
      <c r="H6560" s="57" t="s">
        <v>6625</v>
      </c>
    </row>
    <row r="6561" spans="2:8" ht="13.5" customHeight="1">
      <c r="B6561" t="s">
        <v>11691</v>
      </c>
      <c r="D6561" t="s">
        <v>11742</v>
      </c>
      <c r="F6561" s="76">
        <v>40</v>
      </c>
      <c r="G6561" s="57" t="s">
        <v>13819</v>
      </c>
      <c r="H6561" s="57" t="s">
        <v>6625</v>
      </c>
    </row>
    <row r="6562" spans="2:8" ht="13.5" customHeight="1">
      <c r="B6562" t="s">
        <v>11692</v>
      </c>
      <c r="D6562" t="s">
        <v>11743</v>
      </c>
      <c r="F6562" s="76">
        <v>40</v>
      </c>
      <c r="G6562" s="57" t="s">
        <v>13819</v>
      </c>
      <c r="H6562" s="57" t="s">
        <v>6625</v>
      </c>
    </row>
    <row r="6563" spans="2:8" ht="13.5" customHeight="1">
      <c r="B6563" t="s">
        <v>11693</v>
      </c>
      <c r="D6563" t="s">
        <v>11744</v>
      </c>
      <c r="F6563" s="76">
        <v>43</v>
      </c>
      <c r="G6563" s="57" t="s">
        <v>13819</v>
      </c>
      <c r="H6563" s="57" t="s">
        <v>6625</v>
      </c>
    </row>
    <row r="6564" spans="2:8" ht="13.5" customHeight="1">
      <c r="B6564" t="s">
        <v>11694</v>
      </c>
      <c r="D6564" t="s">
        <v>11745</v>
      </c>
      <c r="F6564" s="76">
        <v>43</v>
      </c>
      <c r="G6564" s="57" t="s">
        <v>13819</v>
      </c>
      <c r="H6564" s="57" t="s">
        <v>6625</v>
      </c>
    </row>
    <row r="6565" spans="2:8" ht="13.5" customHeight="1">
      <c r="B6565" t="s">
        <v>5298</v>
      </c>
      <c r="D6565" t="s">
        <v>5299</v>
      </c>
      <c r="F6565" s="76">
        <v>44</v>
      </c>
      <c r="G6565" s="57" t="s">
        <v>13819</v>
      </c>
      <c r="H6565" s="57" t="s">
        <v>6625</v>
      </c>
    </row>
    <row r="6566" spans="2:8" ht="13.5" customHeight="1">
      <c r="B6566" t="s">
        <v>11695</v>
      </c>
      <c r="D6566" t="s">
        <v>11746</v>
      </c>
      <c r="F6566" s="76">
        <v>46</v>
      </c>
      <c r="G6566" s="57" t="s">
        <v>13819</v>
      </c>
      <c r="H6566" s="57" t="s">
        <v>6625</v>
      </c>
    </row>
    <row r="6567" spans="2:8" ht="13.5" customHeight="1">
      <c r="B6567" t="s">
        <v>11696</v>
      </c>
      <c r="D6567" t="s">
        <v>11747</v>
      </c>
      <c r="F6567" s="76">
        <v>46</v>
      </c>
      <c r="G6567" s="57" t="s">
        <v>13819</v>
      </c>
      <c r="H6567" s="57" t="s">
        <v>6625</v>
      </c>
    </row>
    <row r="6568" spans="2:8" ht="13.5" customHeight="1">
      <c r="B6568" t="s">
        <v>3493</v>
      </c>
      <c r="D6568" t="s">
        <v>5216</v>
      </c>
      <c r="F6568" s="76">
        <v>48</v>
      </c>
      <c r="G6568" s="57" t="s">
        <v>13819</v>
      </c>
      <c r="H6568" s="57" t="s">
        <v>6625</v>
      </c>
    </row>
    <row r="6569" spans="2:8" ht="13.5" customHeight="1">
      <c r="B6569" t="s">
        <v>11697</v>
      </c>
      <c r="D6569" t="s">
        <v>11748</v>
      </c>
      <c r="F6569" s="76">
        <v>48</v>
      </c>
      <c r="G6569" s="57" t="s">
        <v>13819</v>
      </c>
      <c r="H6569" s="57" t="s">
        <v>6625</v>
      </c>
    </row>
    <row r="6570" spans="2:8" ht="13.5" customHeight="1">
      <c r="B6570" t="s">
        <v>11698</v>
      </c>
      <c r="D6570" t="s">
        <v>11749</v>
      </c>
      <c r="F6570" s="76">
        <v>48</v>
      </c>
      <c r="G6570" s="57" t="s">
        <v>13819</v>
      </c>
      <c r="H6570" s="57" t="s">
        <v>6625</v>
      </c>
    </row>
    <row r="6571" spans="2:8" ht="13.5" customHeight="1">
      <c r="B6571" t="s">
        <v>11699</v>
      </c>
      <c r="D6571" t="s">
        <v>11750</v>
      </c>
      <c r="F6571" s="76">
        <v>48</v>
      </c>
      <c r="G6571" s="57" t="s">
        <v>13819</v>
      </c>
      <c r="H6571" s="57" t="s">
        <v>6625</v>
      </c>
    </row>
    <row r="6572" spans="2:8" ht="13.5" customHeight="1">
      <c r="B6572" t="s">
        <v>11700</v>
      </c>
      <c r="D6572" t="s">
        <v>11751</v>
      </c>
      <c r="F6572" s="76">
        <v>49</v>
      </c>
      <c r="G6572" s="57" t="s">
        <v>13819</v>
      </c>
      <c r="H6572" s="57" t="s">
        <v>6625</v>
      </c>
    </row>
    <row r="6573" spans="2:8" ht="13.5" customHeight="1">
      <c r="B6573" t="s">
        <v>11701</v>
      </c>
      <c r="D6573" t="s">
        <v>11752</v>
      </c>
      <c r="F6573" s="76">
        <v>50</v>
      </c>
      <c r="G6573" s="57" t="s">
        <v>13819</v>
      </c>
      <c r="H6573" s="57" t="s">
        <v>6625</v>
      </c>
    </row>
    <row r="6574" spans="2:8" ht="13.5" customHeight="1">
      <c r="B6574" t="s">
        <v>11702</v>
      </c>
      <c r="D6574" t="s">
        <v>11753</v>
      </c>
      <c r="F6574" s="76">
        <v>58</v>
      </c>
      <c r="G6574" s="57" t="s">
        <v>13819</v>
      </c>
      <c r="H6574" s="57" t="s">
        <v>6625</v>
      </c>
    </row>
    <row r="6575" spans="2:8" ht="13.5" customHeight="1">
      <c r="B6575" t="s">
        <v>11703</v>
      </c>
      <c r="D6575" t="s">
        <v>11754</v>
      </c>
      <c r="F6575" s="76">
        <v>60</v>
      </c>
      <c r="G6575" s="57" t="s">
        <v>13819</v>
      </c>
      <c r="H6575" s="57" t="s">
        <v>6625</v>
      </c>
    </row>
    <row r="6576" spans="2:8" ht="13.5" customHeight="1">
      <c r="B6576" t="s">
        <v>11704</v>
      </c>
      <c r="D6576" t="s">
        <v>8019</v>
      </c>
      <c r="F6576" s="76">
        <v>66</v>
      </c>
      <c r="G6576" s="57" t="s">
        <v>13819</v>
      </c>
      <c r="H6576" s="57" t="s">
        <v>6625</v>
      </c>
    </row>
    <row r="6577" spans="2:8" ht="13.5" customHeight="1">
      <c r="B6577" t="s">
        <v>11705</v>
      </c>
      <c r="D6577" t="s">
        <v>5743</v>
      </c>
      <c r="F6577" s="76">
        <v>88</v>
      </c>
      <c r="G6577" s="57" t="s">
        <v>13819</v>
      </c>
      <c r="H6577" s="57" t="s">
        <v>6625</v>
      </c>
    </row>
    <row r="6578" spans="2:8" ht="13.5" customHeight="1">
      <c r="B6578" t="s">
        <v>11706</v>
      </c>
      <c r="D6578" t="s">
        <v>11755</v>
      </c>
      <c r="F6578" s="76">
        <v>88</v>
      </c>
      <c r="G6578" s="57" t="s">
        <v>13819</v>
      </c>
      <c r="H6578" s="57" t="s">
        <v>6625</v>
      </c>
    </row>
    <row r="6579" spans="2:8" ht="13.5" customHeight="1">
      <c r="B6579" t="s">
        <v>11707</v>
      </c>
      <c r="D6579" t="s">
        <v>11756</v>
      </c>
      <c r="F6579" s="76">
        <v>88</v>
      </c>
      <c r="G6579" s="57" t="s">
        <v>13819</v>
      </c>
      <c r="H6579" s="57" t="s">
        <v>6625</v>
      </c>
    </row>
    <row r="6580" spans="2:8" ht="13.5" customHeight="1">
      <c r="B6580" t="s">
        <v>11708</v>
      </c>
      <c r="D6580" t="s">
        <v>11757</v>
      </c>
      <c r="F6580" s="76">
        <v>93</v>
      </c>
      <c r="G6580" s="57" t="s">
        <v>13819</v>
      </c>
      <c r="H6580" s="57" t="s">
        <v>6625</v>
      </c>
    </row>
    <row r="6581" spans="2:8" ht="13.5" customHeight="1">
      <c r="B6581" t="s">
        <v>11758</v>
      </c>
      <c r="D6581" t="s">
        <v>11795</v>
      </c>
      <c r="F6581" s="76">
        <v>2</v>
      </c>
      <c r="G6581" s="57" t="s">
        <v>13819</v>
      </c>
      <c r="H6581" s="57" t="s">
        <v>7533</v>
      </c>
    </row>
    <row r="6582" spans="2:8" ht="13.5" customHeight="1">
      <c r="B6582" t="s">
        <v>11759</v>
      </c>
      <c r="D6582" t="s">
        <v>11796</v>
      </c>
      <c r="F6582" s="76">
        <v>2</v>
      </c>
      <c r="G6582" s="57" t="s">
        <v>13819</v>
      </c>
      <c r="H6582" s="57" t="s">
        <v>7533</v>
      </c>
    </row>
    <row r="6583" spans="2:8" ht="13.5" customHeight="1">
      <c r="B6583" t="s">
        <v>11760</v>
      </c>
      <c r="D6583" t="s">
        <v>11797</v>
      </c>
      <c r="F6583" s="76">
        <v>2</v>
      </c>
      <c r="G6583" s="57" t="s">
        <v>13819</v>
      </c>
      <c r="H6583" s="57" t="s">
        <v>7533</v>
      </c>
    </row>
    <row r="6584" spans="2:8" ht="13.5" customHeight="1">
      <c r="B6584" t="s">
        <v>11761</v>
      </c>
      <c r="D6584" t="s">
        <v>11798</v>
      </c>
      <c r="F6584" s="76">
        <v>3</v>
      </c>
      <c r="G6584" s="57" t="s">
        <v>13819</v>
      </c>
      <c r="H6584" s="57" t="s">
        <v>7533</v>
      </c>
    </row>
    <row r="6585" spans="2:8" ht="13.5" customHeight="1">
      <c r="B6585" t="s">
        <v>7741</v>
      </c>
      <c r="D6585" t="s">
        <v>11799</v>
      </c>
      <c r="F6585" s="76">
        <v>4</v>
      </c>
      <c r="G6585" s="57" t="s">
        <v>13819</v>
      </c>
      <c r="H6585" s="57" t="s">
        <v>7533</v>
      </c>
    </row>
    <row r="6586" spans="2:8" ht="13.5" customHeight="1">
      <c r="B6586" t="s">
        <v>11762</v>
      </c>
      <c r="D6586" t="s">
        <v>11800</v>
      </c>
      <c r="F6586" s="76">
        <v>4</v>
      </c>
      <c r="G6586" s="57" t="s">
        <v>13819</v>
      </c>
      <c r="H6586" s="57" t="s">
        <v>7533</v>
      </c>
    </row>
    <row r="6587" spans="2:8" ht="13.5" customHeight="1">
      <c r="B6587" t="s">
        <v>11763</v>
      </c>
      <c r="D6587" t="s">
        <v>11801</v>
      </c>
      <c r="F6587" s="76">
        <v>5</v>
      </c>
      <c r="G6587" s="57" t="s">
        <v>13819</v>
      </c>
      <c r="H6587" s="57" t="s">
        <v>7533</v>
      </c>
    </row>
    <row r="6588" spans="2:8" ht="13.5" customHeight="1">
      <c r="B6588" t="s">
        <v>11764</v>
      </c>
      <c r="D6588">
        <v>74279221601</v>
      </c>
      <c r="F6588" s="76">
        <v>5</v>
      </c>
      <c r="G6588" s="57" t="s">
        <v>13819</v>
      </c>
      <c r="H6588" s="57" t="s">
        <v>7533</v>
      </c>
    </row>
    <row r="6589" spans="2:8" ht="13.5" customHeight="1">
      <c r="B6589" t="s">
        <v>11765</v>
      </c>
      <c r="D6589" t="s">
        <v>11802</v>
      </c>
      <c r="F6589" s="76">
        <v>5</v>
      </c>
      <c r="G6589" s="57" t="s">
        <v>13819</v>
      </c>
      <c r="H6589" s="57" t="s">
        <v>7533</v>
      </c>
    </row>
    <row r="6590" spans="2:8" ht="13.5" customHeight="1">
      <c r="B6590" t="s">
        <v>11766</v>
      </c>
      <c r="D6590" t="s">
        <v>11803</v>
      </c>
      <c r="F6590" s="76">
        <v>7</v>
      </c>
      <c r="G6590" s="57" t="s">
        <v>13819</v>
      </c>
      <c r="H6590" s="57" t="s">
        <v>7533</v>
      </c>
    </row>
    <row r="6591" spans="2:8" ht="13.5" customHeight="1">
      <c r="B6591" t="s">
        <v>11767</v>
      </c>
      <c r="D6591" t="s">
        <v>11804</v>
      </c>
      <c r="F6591" s="76">
        <v>8</v>
      </c>
      <c r="G6591" s="57" t="s">
        <v>13819</v>
      </c>
      <c r="H6591" s="57" t="s">
        <v>7533</v>
      </c>
    </row>
    <row r="6592" spans="2:8" ht="13.5" customHeight="1">
      <c r="B6592" t="s">
        <v>11768</v>
      </c>
      <c r="D6592" t="s">
        <v>11805</v>
      </c>
      <c r="F6592" s="76">
        <v>9</v>
      </c>
      <c r="G6592" s="57" t="s">
        <v>13819</v>
      </c>
      <c r="H6592" s="57" t="s">
        <v>7533</v>
      </c>
    </row>
    <row r="6593" spans="2:8" ht="13.5" customHeight="1">
      <c r="B6593" t="s">
        <v>11769</v>
      </c>
      <c r="D6593" t="s">
        <v>11806</v>
      </c>
      <c r="F6593" s="76">
        <v>9</v>
      </c>
      <c r="G6593" s="57" t="s">
        <v>13819</v>
      </c>
      <c r="H6593" s="57" t="s">
        <v>7533</v>
      </c>
    </row>
    <row r="6594" spans="2:8" ht="13.5" customHeight="1">
      <c r="B6594" t="s">
        <v>11770</v>
      </c>
      <c r="D6594" t="s">
        <v>11807</v>
      </c>
      <c r="F6594" s="76">
        <v>9</v>
      </c>
      <c r="G6594" s="57" t="s">
        <v>13819</v>
      </c>
      <c r="H6594" s="57" t="s">
        <v>7533</v>
      </c>
    </row>
    <row r="6595" spans="2:8" ht="13.5" customHeight="1">
      <c r="B6595" t="s">
        <v>8023</v>
      </c>
      <c r="D6595" t="s">
        <v>11808</v>
      </c>
      <c r="F6595" s="76">
        <v>10</v>
      </c>
      <c r="G6595" s="57" t="s">
        <v>13819</v>
      </c>
      <c r="H6595" s="57" t="s">
        <v>7533</v>
      </c>
    </row>
    <row r="6596" spans="2:8" ht="13.5" customHeight="1">
      <c r="B6596" t="s">
        <v>11771</v>
      </c>
      <c r="D6596" t="s">
        <v>11809</v>
      </c>
      <c r="F6596" s="76">
        <v>10</v>
      </c>
      <c r="G6596" s="57" t="s">
        <v>13819</v>
      </c>
      <c r="H6596" s="57" t="s">
        <v>7533</v>
      </c>
    </row>
    <row r="6597" spans="2:8" ht="13.5" customHeight="1">
      <c r="B6597" t="s">
        <v>11772</v>
      </c>
      <c r="D6597" t="s">
        <v>11810</v>
      </c>
      <c r="F6597" s="76">
        <v>10</v>
      </c>
      <c r="G6597" s="57" t="s">
        <v>13819</v>
      </c>
      <c r="H6597" s="57" t="s">
        <v>7533</v>
      </c>
    </row>
    <row r="6598" spans="2:8" ht="13.5" customHeight="1">
      <c r="B6598" t="s">
        <v>11773</v>
      </c>
      <c r="D6598" t="s">
        <v>11811</v>
      </c>
      <c r="F6598" s="76">
        <v>10</v>
      </c>
      <c r="G6598" s="57" t="s">
        <v>13819</v>
      </c>
      <c r="H6598" s="57" t="s">
        <v>7533</v>
      </c>
    </row>
    <row r="6599" spans="2:8" ht="13.5" customHeight="1">
      <c r="B6599" t="s">
        <v>11774</v>
      </c>
      <c r="D6599" t="s">
        <v>11812</v>
      </c>
      <c r="F6599" s="76">
        <v>10</v>
      </c>
      <c r="G6599" s="57" t="s">
        <v>13819</v>
      </c>
      <c r="H6599" s="57" t="s">
        <v>7533</v>
      </c>
    </row>
    <row r="6600" spans="2:8" ht="13.5" customHeight="1">
      <c r="B6600" t="s">
        <v>11775</v>
      </c>
      <c r="D6600" t="s">
        <v>11813</v>
      </c>
      <c r="F6600" s="76">
        <v>10</v>
      </c>
      <c r="G6600" s="57" t="s">
        <v>13819</v>
      </c>
      <c r="H6600" s="57" t="s">
        <v>7533</v>
      </c>
    </row>
    <row r="6601" spans="2:8" ht="13.5" customHeight="1">
      <c r="B6601" t="s">
        <v>11776</v>
      </c>
      <c r="D6601" t="s">
        <v>11814</v>
      </c>
      <c r="F6601" s="76">
        <v>10</v>
      </c>
      <c r="G6601" s="57" t="s">
        <v>13819</v>
      </c>
      <c r="H6601" s="57" t="s">
        <v>7533</v>
      </c>
    </row>
    <row r="6602" spans="2:8" ht="13.5" customHeight="1">
      <c r="B6602" t="s">
        <v>11777</v>
      </c>
      <c r="D6602" t="s">
        <v>11815</v>
      </c>
      <c r="F6602" s="76">
        <v>10</v>
      </c>
      <c r="G6602" s="57" t="s">
        <v>13819</v>
      </c>
      <c r="H6602" s="57" t="s">
        <v>7533</v>
      </c>
    </row>
    <row r="6603" spans="2:8" ht="13.5" customHeight="1">
      <c r="B6603" t="s">
        <v>11778</v>
      </c>
      <c r="D6603" t="s">
        <v>11816</v>
      </c>
      <c r="F6603" s="76">
        <v>12</v>
      </c>
      <c r="G6603" s="57" t="s">
        <v>13819</v>
      </c>
      <c r="H6603" s="57" t="s">
        <v>7533</v>
      </c>
    </row>
    <row r="6604" spans="2:8" ht="13.5" customHeight="1">
      <c r="B6604" t="s">
        <v>11779</v>
      </c>
      <c r="D6604" t="s">
        <v>7384</v>
      </c>
      <c r="F6604" s="76">
        <v>13</v>
      </c>
      <c r="G6604" s="57" t="s">
        <v>13819</v>
      </c>
      <c r="H6604" s="57" t="s">
        <v>7533</v>
      </c>
    </row>
    <row r="6605" spans="2:8" ht="13.5" customHeight="1">
      <c r="B6605" t="s">
        <v>11780</v>
      </c>
      <c r="D6605" t="s">
        <v>11817</v>
      </c>
      <c r="F6605" s="76">
        <v>14</v>
      </c>
      <c r="G6605" s="57" t="s">
        <v>13819</v>
      </c>
      <c r="H6605" s="57" t="s">
        <v>7533</v>
      </c>
    </row>
    <row r="6606" spans="2:8" ht="13.5" customHeight="1">
      <c r="B6606" t="s">
        <v>11781</v>
      </c>
      <c r="D6606" t="s">
        <v>11818</v>
      </c>
      <c r="F6606" s="76">
        <v>16</v>
      </c>
      <c r="G6606" s="57" t="s">
        <v>13819</v>
      </c>
      <c r="H6606" s="57" t="s">
        <v>7533</v>
      </c>
    </row>
    <row r="6607" spans="2:8" ht="13.5" customHeight="1">
      <c r="B6607" t="s">
        <v>11565</v>
      </c>
      <c r="D6607" t="s">
        <v>11819</v>
      </c>
      <c r="F6607" s="76">
        <v>17</v>
      </c>
      <c r="G6607" s="57" t="s">
        <v>13819</v>
      </c>
      <c r="H6607" s="57" t="s">
        <v>7533</v>
      </c>
    </row>
    <row r="6608" spans="2:8" ht="13.5" customHeight="1">
      <c r="B6608" t="s">
        <v>11602</v>
      </c>
      <c r="D6608" t="s">
        <v>11820</v>
      </c>
      <c r="F6608" s="76">
        <v>17</v>
      </c>
      <c r="G6608" s="57" t="s">
        <v>13819</v>
      </c>
      <c r="H6608" s="57" t="s">
        <v>7533</v>
      </c>
    </row>
    <row r="6609" spans="2:8" ht="13.5" customHeight="1">
      <c r="B6609" t="s">
        <v>11782</v>
      </c>
      <c r="D6609" t="s">
        <v>11821</v>
      </c>
      <c r="F6609" s="76">
        <v>18</v>
      </c>
      <c r="G6609" s="57" t="s">
        <v>13819</v>
      </c>
      <c r="H6609" s="57" t="s">
        <v>7533</v>
      </c>
    </row>
    <row r="6610" spans="2:8" ht="13.5" customHeight="1">
      <c r="B6610" t="s">
        <v>11783</v>
      </c>
      <c r="D6610" t="s">
        <v>11822</v>
      </c>
      <c r="F6610" s="76">
        <v>21</v>
      </c>
      <c r="G6610" s="57" t="s">
        <v>13819</v>
      </c>
      <c r="H6610" s="57" t="s">
        <v>7533</v>
      </c>
    </row>
    <row r="6611" spans="2:8" ht="13.5" customHeight="1">
      <c r="B6611" t="s">
        <v>3192</v>
      </c>
      <c r="D6611" t="s">
        <v>11823</v>
      </c>
      <c r="F6611" s="76">
        <v>24</v>
      </c>
      <c r="G6611" s="57" t="s">
        <v>13819</v>
      </c>
      <c r="H6611" s="57" t="s">
        <v>7533</v>
      </c>
    </row>
    <row r="6612" spans="2:8" ht="13.5" customHeight="1">
      <c r="B6612" t="s">
        <v>11784</v>
      </c>
      <c r="D6612" t="s">
        <v>11824</v>
      </c>
      <c r="F6612" s="76">
        <v>36</v>
      </c>
      <c r="G6612" s="57" t="s">
        <v>13819</v>
      </c>
      <c r="H6612" s="57" t="s">
        <v>7533</v>
      </c>
    </row>
    <row r="6613" spans="2:8" ht="13.5" customHeight="1">
      <c r="B6613" t="s">
        <v>8242</v>
      </c>
      <c r="D6613" t="s">
        <v>11825</v>
      </c>
      <c r="F6613" s="76">
        <v>38</v>
      </c>
      <c r="G6613" s="57" t="s">
        <v>13819</v>
      </c>
      <c r="H6613" s="57" t="s">
        <v>7533</v>
      </c>
    </row>
    <row r="6614" spans="2:8" ht="13.5" customHeight="1">
      <c r="B6614" t="s">
        <v>11785</v>
      </c>
      <c r="D6614" t="s">
        <v>11826</v>
      </c>
      <c r="F6614" s="76">
        <v>42</v>
      </c>
      <c r="G6614" s="57" t="s">
        <v>13819</v>
      </c>
      <c r="H6614" s="57" t="s">
        <v>7533</v>
      </c>
    </row>
    <row r="6615" spans="2:8" ht="13.5" customHeight="1">
      <c r="B6615" t="s">
        <v>11786</v>
      </c>
      <c r="D6615" t="s">
        <v>11827</v>
      </c>
      <c r="F6615" s="76">
        <v>42</v>
      </c>
      <c r="G6615" s="57" t="s">
        <v>13819</v>
      </c>
      <c r="H6615" s="57" t="s">
        <v>7533</v>
      </c>
    </row>
    <row r="6616" spans="2:8" ht="13.5" customHeight="1">
      <c r="B6616" t="s">
        <v>11787</v>
      </c>
      <c r="D6616" t="s">
        <v>11828</v>
      </c>
      <c r="F6616" s="76">
        <v>44</v>
      </c>
      <c r="G6616" s="57" t="s">
        <v>13819</v>
      </c>
      <c r="H6616" s="57" t="s">
        <v>7533</v>
      </c>
    </row>
    <row r="6617" spans="2:8" ht="13.5" customHeight="1">
      <c r="B6617" t="s">
        <v>11788</v>
      </c>
      <c r="D6617" t="s">
        <v>11829</v>
      </c>
      <c r="F6617" s="76">
        <v>45</v>
      </c>
      <c r="G6617" s="57" t="s">
        <v>13819</v>
      </c>
      <c r="H6617" s="57" t="s">
        <v>7533</v>
      </c>
    </row>
    <row r="6618" spans="2:8" ht="13.5" customHeight="1">
      <c r="B6618" t="s">
        <v>11789</v>
      </c>
      <c r="D6618" t="s">
        <v>11830</v>
      </c>
      <c r="F6618" s="76">
        <v>46</v>
      </c>
      <c r="G6618" s="57" t="s">
        <v>13819</v>
      </c>
      <c r="H6618" s="57" t="s">
        <v>7533</v>
      </c>
    </row>
    <row r="6619" spans="2:8" ht="13.5" customHeight="1">
      <c r="B6619" t="s">
        <v>11790</v>
      </c>
      <c r="D6619" t="s">
        <v>11831</v>
      </c>
      <c r="F6619" s="76">
        <v>48</v>
      </c>
      <c r="G6619" s="57" t="s">
        <v>13819</v>
      </c>
      <c r="H6619" s="57" t="s">
        <v>7533</v>
      </c>
    </row>
    <row r="6620" spans="2:8" ht="13.5" customHeight="1">
      <c r="B6620" t="s">
        <v>11791</v>
      </c>
      <c r="D6620" t="s">
        <v>11832</v>
      </c>
      <c r="F6620" s="76">
        <v>50</v>
      </c>
      <c r="G6620" s="57" t="s">
        <v>13819</v>
      </c>
      <c r="H6620" s="57" t="s">
        <v>7533</v>
      </c>
    </row>
    <row r="6621" spans="2:8" ht="13.5" customHeight="1">
      <c r="B6621" t="s">
        <v>11792</v>
      </c>
      <c r="D6621" t="s">
        <v>11833</v>
      </c>
      <c r="F6621" s="76">
        <v>52</v>
      </c>
      <c r="G6621" s="57" t="s">
        <v>13819</v>
      </c>
      <c r="H6621" s="57" t="s">
        <v>7533</v>
      </c>
    </row>
    <row r="6622" spans="2:8" ht="13.5" customHeight="1">
      <c r="B6622" t="s">
        <v>11793</v>
      </c>
      <c r="D6622" t="s">
        <v>11834</v>
      </c>
      <c r="F6622" s="76">
        <v>56</v>
      </c>
      <c r="G6622" s="57" t="s">
        <v>13819</v>
      </c>
      <c r="H6622" s="57" t="s">
        <v>7533</v>
      </c>
    </row>
    <row r="6623" spans="2:8" ht="13.5" customHeight="1">
      <c r="B6623" t="s">
        <v>11794</v>
      </c>
      <c r="D6623" t="s">
        <v>11835</v>
      </c>
      <c r="F6623" s="76">
        <v>105</v>
      </c>
      <c r="G6623" s="57" t="s">
        <v>13819</v>
      </c>
      <c r="H6623" s="57" t="s">
        <v>7533</v>
      </c>
    </row>
    <row r="6624" spans="2:8" ht="13.5" customHeight="1">
      <c r="B6624" t="s">
        <v>11836</v>
      </c>
      <c r="D6624" t="s">
        <v>11843</v>
      </c>
      <c r="F6624" s="76">
        <v>3</v>
      </c>
      <c r="G6624" s="57" t="s">
        <v>13819</v>
      </c>
      <c r="H6624" s="57" t="s">
        <v>6626</v>
      </c>
    </row>
    <row r="6625" spans="2:8" ht="13.5" customHeight="1">
      <c r="B6625" t="s">
        <v>1068</v>
      </c>
      <c r="D6625" t="s">
        <v>1069</v>
      </c>
      <c r="F6625" s="76">
        <v>7</v>
      </c>
      <c r="G6625" s="57" t="s">
        <v>13819</v>
      </c>
      <c r="H6625" s="57" t="s">
        <v>6626</v>
      </c>
    </row>
    <row r="6626" spans="2:8" ht="13.5" customHeight="1">
      <c r="B6626" t="s">
        <v>11837</v>
      </c>
      <c r="D6626" t="s">
        <v>11844</v>
      </c>
      <c r="F6626" s="76">
        <v>21</v>
      </c>
      <c r="G6626" s="57" t="s">
        <v>13819</v>
      </c>
      <c r="H6626" s="57" t="s">
        <v>6626</v>
      </c>
    </row>
    <row r="6627" spans="2:8" ht="13.5" customHeight="1">
      <c r="B6627" t="s">
        <v>11838</v>
      </c>
      <c r="D6627" t="s">
        <v>11845</v>
      </c>
      <c r="F6627" s="76">
        <v>42</v>
      </c>
      <c r="G6627" s="57" t="s">
        <v>13819</v>
      </c>
      <c r="H6627" s="57" t="s">
        <v>6626</v>
      </c>
    </row>
    <row r="6628" spans="2:8" ht="13.5" customHeight="1">
      <c r="B6628" t="s">
        <v>4062</v>
      </c>
      <c r="D6628" t="s">
        <v>11846</v>
      </c>
      <c r="F6628" s="76">
        <v>49</v>
      </c>
      <c r="G6628" s="57" t="s">
        <v>13819</v>
      </c>
      <c r="H6628" s="57" t="s">
        <v>6626</v>
      </c>
    </row>
    <row r="6629" spans="2:8" ht="13.5" customHeight="1">
      <c r="B6629" t="s">
        <v>11839</v>
      </c>
      <c r="D6629" t="s">
        <v>11847</v>
      </c>
      <c r="F6629" s="76">
        <v>52</v>
      </c>
      <c r="G6629" s="57" t="s">
        <v>13819</v>
      </c>
      <c r="H6629" s="57" t="s">
        <v>6626</v>
      </c>
    </row>
    <row r="6630" spans="2:8" ht="13.5" customHeight="1">
      <c r="B6630" t="s">
        <v>11840</v>
      </c>
      <c r="D6630" t="s">
        <v>11848</v>
      </c>
      <c r="F6630" s="76">
        <v>53</v>
      </c>
      <c r="G6630" s="57" t="s">
        <v>13819</v>
      </c>
      <c r="H6630" s="57" t="s">
        <v>6626</v>
      </c>
    </row>
    <row r="6631" spans="2:8" ht="13.5" customHeight="1">
      <c r="B6631" t="s">
        <v>5363</v>
      </c>
      <c r="D6631" t="s">
        <v>11849</v>
      </c>
      <c r="F6631" s="76">
        <v>97</v>
      </c>
      <c r="G6631" s="57" t="s">
        <v>13819</v>
      </c>
      <c r="H6631" s="57" t="s">
        <v>6626</v>
      </c>
    </row>
    <row r="6632" spans="2:8" ht="13.5" customHeight="1">
      <c r="B6632" t="s">
        <v>11841</v>
      </c>
      <c r="D6632" t="s">
        <v>741</v>
      </c>
      <c r="F6632" s="76">
        <v>165</v>
      </c>
      <c r="G6632" s="57" t="s">
        <v>13819</v>
      </c>
      <c r="H6632" s="57" t="s">
        <v>6626</v>
      </c>
    </row>
    <row r="6633" spans="2:8" ht="13.5" customHeight="1">
      <c r="B6633" t="s">
        <v>11842</v>
      </c>
      <c r="D6633" t="s">
        <v>743</v>
      </c>
      <c r="F6633" s="76">
        <v>305</v>
      </c>
      <c r="G6633" s="57" t="s">
        <v>13819</v>
      </c>
      <c r="H6633" s="57" t="s">
        <v>6626</v>
      </c>
    </row>
    <row r="6634" spans="2:8" ht="13.5" customHeight="1">
      <c r="B6634" t="s">
        <v>11850</v>
      </c>
      <c r="D6634" t="s">
        <v>11886</v>
      </c>
      <c r="F6634" s="76">
        <v>1</v>
      </c>
      <c r="G6634" s="57" t="s">
        <v>13819</v>
      </c>
      <c r="H6634" s="57" t="s">
        <v>7531</v>
      </c>
    </row>
    <row r="6635" spans="2:8" ht="13.5" customHeight="1">
      <c r="B6635" t="s">
        <v>11851</v>
      </c>
      <c r="D6635" t="s">
        <v>11887</v>
      </c>
      <c r="F6635" s="76">
        <v>1</v>
      </c>
      <c r="G6635" s="57" t="s">
        <v>13819</v>
      </c>
      <c r="H6635" s="57" t="s">
        <v>7531</v>
      </c>
    </row>
    <row r="6636" spans="2:8" ht="13.5" customHeight="1">
      <c r="B6636" t="s">
        <v>11852</v>
      </c>
      <c r="D6636" t="s">
        <v>11888</v>
      </c>
      <c r="F6636" s="76">
        <v>1</v>
      </c>
      <c r="G6636" s="57" t="s">
        <v>13819</v>
      </c>
      <c r="H6636" s="57" t="s">
        <v>7531</v>
      </c>
    </row>
    <row r="6637" spans="2:8" ht="13.5" customHeight="1">
      <c r="B6637" t="s">
        <v>10024</v>
      </c>
      <c r="D6637" t="s">
        <v>11889</v>
      </c>
      <c r="F6637" s="76">
        <v>1</v>
      </c>
      <c r="G6637" s="57" t="s">
        <v>13819</v>
      </c>
      <c r="H6637" s="57" t="s">
        <v>7531</v>
      </c>
    </row>
    <row r="6638" spans="2:8" ht="13.5" customHeight="1">
      <c r="B6638" t="s">
        <v>11853</v>
      </c>
      <c r="D6638" t="s">
        <v>1591</v>
      </c>
      <c r="F6638" s="76">
        <v>1</v>
      </c>
      <c r="G6638" s="57" t="s">
        <v>13819</v>
      </c>
      <c r="H6638" s="57" t="s">
        <v>7531</v>
      </c>
    </row>
    <row r="6639" spans="2:8" ht="13.5" customHeight="1">
      <c r="B6639" t="s">
        <v>296</v>
      </c>
      <c r="D6639" t="s">
        <v>11890</v>
      </c>
      <c r="F6639" s="76">
        <v>2</v>
      </c>
      <c r="G6639" s="57" t="s">
        <v>13819</v>
      </c>
      <c r="H6639" s="57" t="s">
        <v>7531</v>
      </c>
    </row>
    <row r="6640" spans="2:8" ht="13.5" customHeight="1">
      <c r="B6640" t="s">
        <v>11854</v>
      </c>
      <c r="D6640" t="s">
        <v>11891</v>
      </c>
      <c r="F6640" s="76">
        <v>2</v>
      </c>
      <c r="G6640" s="57" t="s">
        <v>13819</v>
      </c>
      <c r="H6640" s="57" t="s">
        <v>7531</v>
      </c>
    </row>
    <row r="6641" spans="2:8" ht="13.5" customHeight="1">
      <c r="B6641" t="s">
        <v>11855</v>
      </c>
      <c r="D6641" t="s">
        <v>11892</v>
      </c>
      <c r="F6641" s="76">
        <v>2</v>
      </c>
      <c r="G6641" s="57" t="s">
        <v>13819</v>
      </c>
      <c r="H6641" s="57" t="s">
        <v>7531</v>
      </c>
    </row>
    <row r="6642" spans="2:8" ht="13.5" customHeight="1">
      <c r="B6642" t="s">
        <v>11856</v>
      </c>
      <c r="D6642" t="s">
        <v>11893</v>
      </c>
      <c r="F6642" s="76">
        <v>2</v>
      </c>
      <c r="G6642" s="57" t="s">
        <v>13819</v>
      </c>
      <c r="H6642" s="57" t="s">
        <v>7531</v>
      </c>
    </row>
    <row r="6643" spans="2:8" ht="13.5" customHeight="1">
      <c r="B6643" t="s">
        <v>11857</v>
      </c>
      <c r="D6643">
        <v>484050004</v>
      </c>
      <c r="F6643" s="76">
        <v>2</v>
      </c>
      <c r="G6643" s="57" t="s">
        <v>13819</v>
      </c>
      <c r="H6643" s="57" t="s">
        <v>7531</v>
      </c>
    </row>
    <row r="6644" spans="2:8" ht="13.5" customHeight="1">
      <c r="B6644" t="s">
        <v>11858</v>
      </c>
      <c r="D6644" t="s">
        <v>11894</v>
      </c>
      <c r="F6644" s="76">
        <v>2</v>
      </c>
      <c r="G6644" s="57" t="s">
        <v>13819</v>
      </c>
      <c r="H6644" s="57" t="s">
        <v>7531</v>
      </c>
    </row>
    <row r="6645" spans="2:8" ht="13.5" customHeight="1">
      <c r="B6645" t="s">
        <v>11859</v>
      </c>
      <c r="D6645">
        <v>5051102291</v>
      </c>
      <c r="F6645" s="76">
        <v>2</v>
      </c>
      <c r="G6645" s="57" t="s">
        <v>13819</v>
      </c>
      <c r="H6645" s="57" t="s">
        <v>7531</v>
      </c>
    </row>
    <row r="6646" spans="2:8" ht="13.5" customHeight="1">
      <c r="B6646" t="s">
        <v>11860</v>
      </c>
      <c r="D6646" t="s">
        <v>11895</v>
      </c>
      <c r="F6646" s="76">
        <v>2</v>
      </c>
      <c r="G6646" s="57" t="s">
        <v>13819</v>
      </c>
      <c r="H6646" s="57" t="s">
        <v>7531</v>
      </c>
    </row>
    <row r="6647" spans="2:8" ht="13.5" customHeight="1">
      <c r="B6647" t="s">
        <v>11861</v>
      </c>
      <c r="D6647" t="s">
        <v>11896</v>
      </c>
      <c r="F6647" s="76">
        <v>2</v>
      </c>
      <c r="G6647" s="57" t="s">
        <v>13819</v>
      </c>
      <c r="H6647" s="57" t="s">
        <v>7531</v>
      </c>
    </row>
    <row r="6648" spans="2:8" ht="13.5" customHeight="1">
      <c r="B6648" t="s">
        <v>11862</v>
      </c>
      <c r="D6648" t="s">
        <v>11897</v>
      </c>
      <c r="F6648" s="76">
        <v>2</v>
      </c>
      <c r="G6648" s="57" t="s">
        <v>13819</v>
      </c>
      <c r="H6648" s="57" t="s">
        <v>7531</v>
      </c>
    </row>
    <row r="6649" spans="2:8" ht="13.5" customHeight="1">
      <c r="B6649" t="s">
        <v>11863</v>
      </c>
      <c r="D6649" t="s">
        <v>11898</v>
      </c>
      <c r="F6649" s="76">
        <v>2</v>
      </c>
      <c r="G6649" s="57" t="s">
        <v>13819</v>
      </c>
      <c r="H6649" s="57" t="s">
        <v>7531</v>
      </c>
    </row>
    <row r="6650" spans="2:8" ht="13.5" customHeight="1">
      <c r="B6650" t="s">
        <v>11864</v>
      </c>
      <c r="D6650" t="s">
        <v>11899</v>
      </c>
      <c r="F6650" s="76">
        <v>3</v>
      </c>
      <c r="G6650" s="57" t="s">
        <v>13819</v>
      </c>
      <c r="H6650" s="57" t="s">
        <v>7531</v>
      </c>
    </row>
    <row r="6651" spans="2:8" ht="13.5" customHeight="1">
      <c r="B6651" t="s">
        <v>10459</v>
      </c>
      <c r="D6651" t="s">
        <v>11900</v>
      </c>
      <c r="F6651" s="76">
        <v>4</v>
      </c>
      <c r="G6651" s="57" t="s">
        <v>13819</v>
      </c>
      <c r="H6651" s="57" t="s">
        <v>7531</v>
      </c>
    </row>
    <row r="6652" spans="2:8" ht="13.5" customHeight="1">
      <c r="B6652" t="s">
        <v>9696</v>
      </c>
      <c r="D6652" t="s">
        <v>11901</v>
      </c>
      <c r="F6652" s="76">
        <v>4</v>
      </c>
      <c r="G6652" s="57" t="s">
        <v>13819</v>
      </c>
      <c r="H6652" s="57" t="s">
        <v>7531</v>
      </c>
    </row>
    <row r="6653" spans="2:8" ht="13.5" customHeight="1">
      <c r="B6653" t="s">
        <v>11865</v>
      </c>
      <c r="D6653" t="s">
        <v>11902</v>
      </c>
      <c r="F6653" s="76">
        <v>4</v>
      </c>
      <c r="G6653" s="57" t="s">
        <v>13819</v>
      </c>
      <c r="H6653" s="57" t="s">
        <v>7531</v>
      </c>
    </row>
    <row r="6654" spans="2:8" ht="13.5" customHeight="1">
      <c r="B6654" t="s">
        <v>11866</v>
      </c>
      <c r="D6654" t="s">
        <v>11903</v>
      </c>
      <c r="F6654" s="76">
        <v>5</v>
      </c>
      <c r="G6654" s="57" t="s">
        <v>13819</v>
      </c>
      <c r="H6654" s="57" t="s">
        <v>7531</v>
      </c>
    </row>
    <row r="6655" spans="2:8" ht="13.5" customHeight="1">
      <c r="B6655" t="s">
        <v>11488</v>
      </c>
      <c r="D6655" t="s">
        <v>11904</v>
      </c>
      <c r="F6655" s="76">
        <v>5</v>
      </c>
      <c r="G6655" s="57" t="s">
        <v>13819</v>
      </c>
      <c r="H6655" s="57" t="s">
        <v>7531</v>
      </c>
    </row>
    <row r="6656" spans="2:8" ht="13.5" customHeight="1">
      <c r="B6656" t="s">
        <v>11602</v>
      </c>
      <c r="D6656" t="s">
        <v>11905</v>
      </c>
      <c r="F6656" s="76">
        <v>6</v>
      </c>
      <c r="G6656" s="57" t="s">
        <v>13819</v>
      </c>
      <c r="H6656" s="57" t="s">
        <v>7531</v>
      </c>
    </row>
    <row r="6657" spans="2:8" ht="13.5" customHeight="1">
      <c r="B6657" t="s">
        <v>11867</v>
      </c>
      <c r="D6657" t="s">
        <v>462</v>
      </c>
      <c r="F6657" s="76">
        <v>7</v>
      </c>
      <c r="G6657" s="57" t="s">
        <v>13819</v>
      </c>
      <c r="H6657" s="57" t="s">
        <v>7531</v>
      </c>
    </row>
    <row r="6658" spans="2:8" ht="13.5" customHeight="1">
      <c r="B6658" t="s">
        <v>11868</v>
      </c>
      <c r="D6658" t="s">
        <v>11906</v>
      </c>
      <c r="F6658" s="76">
        <v>8</v>
      </c>
      <c r="G6658" s="57" t="s">
        <v>13819</v>
      </c>
      <c r="H6658" s="57" t="s">
        <v>7531</v>
      </c>
    </row>
    <row r="6659" spans="2:8" ht="13.5" customHeight="1">
      <c r="B6659" t="s">
        <v>11869</v>
      </c>
      <c r="D6659" t="s">
        <v>11907</v>
      </c>
      <c r="F6659" s="76">
        <v>8</v>
      </c>
      <c r="G6659" s="57" t="s">
        <v>13819</v>
      </c>
      <c r="H6659" s="57" t="s">
        <v>7531</v>
      </c>
    </row>
    <row r="6660" spans="2:8" ht="13.5" customHeight="1">
      <c r="B6660" t="s">
        <v>11870</v>
      </c>
      <c r="D6660" t="s">
        <v>11908</v>
      </c>
      <c r="F6660" s="76">
        <v>9</v>
      </c>
      <c r="G6660" s="57" t="s">
        <v>13819</v>
      </c>
      <c r="H6660" s="57" t="s">
        <v>7531</v>
      </c>
    </row>
    <row r="6661" spans="2:8" ht="13.5" customHeight="1">
      <c r="B6661" t="s">
        <v>11871</v>
      </c>
      <c r="D6661" t="s">
        <v>11909</v>
      </c>
      <c r="F6661" s="76">
        <v>10</v>
      </c>
      <c r="G6661" s="57" t="s">
        <v>13819</v>
      </c>
      <c r="H6661" s="57" t="s">
        <v>7531</v>
      </c>
    </row>
    <row r="6662" spans="2:8" ht="13.5" customHeight="1">
      <c r="B6662" t="s">
        <v>11872</v>
      </c>
      <c r="D6662" t="s">
        <v>11910</v>
      </c>
      <c r="F6662" s="76">
        <v>10</v>
      </c>
      <c r="G6662" s="57" t="s">
        <v>13819</v>
      </c>
      <c r="H6662" s="57" t="s">
        <v>7531</v>
      </c>
    </row>
    <row r="6663" spans="2:8" ht="13.5" customHeight="1">
      <c r="B6663" t="s">
        <v>11873</v>
      </c>
      <c r="D6663" t="s">
        <v>11911</v>
      </c>
      <c r="F6663" s="76">
        <v>11</v>
      </c>
      <c r="G6663" s="57" t="s">
        <v>13819</v>
      </c>
      <c r="H6663" s="57" t="s">
        <v>7531</v>
      </c>
    </row>
    <row r="6664" spans="2:8" ht="13.5" customHeight="1">
      <c r="B6664" t="s">
        <v>11874</v>
      </c>
      <c r="D6664" t="s">
        <v>11912</v>
      </c>
      <c r="F6664" s="76">
        <v>13</v>
      </c>
      <c r="G6664" s="57" t="s">
        <v>13819</v>
      </c>
      <c r="H6664" s="57" t="s">
        <v>7531</v>
      </c>
    </row>
    <row r="6665" spans="2:8" ht="13.5" customHeight="1">
      <c r="B6665" t="s">
        <v>11875</v>
      </c>
      <c r="D6665" t="s">
        <v>11913</v>
      </c>
      <c r="F6665" s="76">
        <v>14</v>
      </c>
      <c r="G6665" s="57" t="s">
        <v>13819</v>
      </c>
      <c r="H6665" s="57" t="s">
        <v>7531</v>
      </c>
    </row>
    <row r="6666" spans="2:8" ht="13.5" customHeight="1">
      <c r="B6666" t="s">
        <v>6113</v>
      </c>
      <c r="D6666" t="s">
        <v>11914</v>
      </c>
      <c r="F6666" s="76">
        <v>18</v>
      </c>
      <c r="G6666" s="57" t="s">
        <v>13819</v>
      </c>
      <c r="H6666" s="57" t="s">
        <v>7531</v>
      </c>
    </row>
    <row r="6667" spans="2:8" ht="13.5" customHeight="1">
      <c r="B6667" t="s">
        <v>11876</v>
      </c>
      <c r="D6667" t="s">
        <v>11915</v>
      </c>
      <c r="F6667" s="76">
        <v>22</v>
      </c>
      <c r="G6667" s="57" t="s">
        <v>13819</v>
      </c>
      <c r="H6667" s="57" t="s">
        <v>7531</v>
      </c>
    </row>
    <row r="6668" spans="2:8" ht="13.5" customHeight="1">
      <c r="B6668" t="s">
        <v>11877</v>
      </c>
      <c r="D6668" t="s">
        <v>11916</v>
      </c>
      <c r="F6668" s="76">
        <v>26</v>
      </c>
      <c r="G6668" s="57" t="s">
        <v>13819</v>
      </c>
      <c r="H6668" s="57" t="s">
        <v>7531</v>
      </c>
    </row>
    <row r="6669" spans="2:8" ht="13.5" customHeight="1">
      <c r="B6669" t="s">
        <v>11878</v>
      </c>
      <c r="D6669" t="s">
        <v>11917</v>
      </c>
      <c r="F6669" s="76">
        <v>37</v>
      </c>
      <c r="G6669" s="57" t="s">
        <v>13819</v>
      </c>
      <c r="H6669" s="57" t="s">
        <v>7531</v>
      </c>
    </row>
    <row r="6670" spans="2:8" ht="13.5" customHeight="1">
      <c r="B6670" t="s">
        <v>1515</v>
      </c>
      <c r="D6670" t="s">
        <v>11918</v>
      </c>
      <c r="F6670" s="76">
        <v>39</v>
      </c>
      <c r="G6670" s="57" t="s">
        <v>13819</v>
      </c>
      <c r="H6670" s="57" t="s">
        <v>7531</v>
      </c>
    </row>
    <row r="6671" spans="2:8" ht="13.5" customHeight="1">
      <c r="B6671" t="s">
        <v>9960</v>
      </c>
      <c r="D6671" t="s">
        <v>11919</v>
      </c>
      <c r="F6671" s="76">
        <v>43</v>
      </c>
      <c r="G6671" s="57" t="s">
        <v>13819</v>
      </c>
      <c r="H6671" s="57" t="s">
        <v>7531</v>
      </c>
    </row>
    <row r="6672" spans="2:8" ht="13.5" customHeight="1">
      <c r="B6672" t="s">
        <v>11879</v>
      </c>
      <c r="D6672" t="s">
        <v>11920</v>
      </c>
      <c r="F6672" s="76">
        <v>43</v>
      </c>
      <c r="G6672" s="57" t="s">
        <v>13819</v>
      </c>
      <c r="H6672" s="57" t="s">
        <v>7531</v>
      </c>
    </row>
    <row r="6673" spans="2:8" ht="13.5" customHeight="1">
      <c r="B6673" t="s">
        <v>11880</v>
      </c>
      <c r="D6673" t="s">
        <v>11921</v>
      </c>
      <c r="F6673" s="76">
        <v>46</v>
      </c>
      <c r="G6673" s="57" t="s">
        <v>13819</v>
      </c>
      <c r="H6673" s="57" t="s">
        <v>7531</v>
      </c>
    </row>
    <row r="6674" spans="2:8" ht="13.5" customHeight="1">
      <c r="B6674" t="s">
        <v>11881</v>
      </c>
      <c r="D6674" t="s">
        <v>11922</v>
      </c>
      <c r="F6674" s="76">
        <v>50</v>
      </c>
      <c r="G6674" s="57" t="s">
        <v>13819</v>
      </c>
      <c r="H6674" s="57" t="s">
        <v>7531</v>
      </c>
    </row>
    <row r="6675" spans="2:8" ht="13.5" customHeight="1">
      <c r="B6675" t="s">
        <v>10473</v>
      </c>
      <c r="D6675" t="s">
        <v>11923</v>
      </c>
      <c r="F6675" s="76">
        <v>71</v>
      </c>
      <c r="G6675" s="57" t="s">
        <v>13819</v>
      </c>
      <c r="H6675" s="57" t="s">
        <v>7531</v>
      </c>
    </row>
    <row r="6676" spans="2:8" ht="13.5" customHeight="1">
      <c r="B6676" t="s">
        <v>11882</v>
      </c>
      <c r="D6676" t="s">
        <v>11924</v>
      </c>
      <c r="F6676" s="76">
        <v>72</v>
      </c>
      <c r="G6676" s="57" t="s">
        <v>13819</v>
      </c>
      <c r="H6676" s="57" t="s">
        <v>7531</v>
      </c>
    </row>
    <row r="6677" spans="2:8" ht="13.5" customHeight="1">
      <c r="B6677" t="s">
        <v>11883</v>
      </c>
      <c r="D6677" t="s">
        <v>11925</v>
      </c>
      <c r="F6677" s="76">
        <v>86</v>
      </c>
      <c r="G6677" s="57" t="s">
        <v>13819</v>
      </c>
      <c r="H6677" s="57" t="s">
        <v>7531</v>
      </c>
    </row>
    <row r="6678" spans="2:8" ht="13.5" customHeight="1">
      <c r="B6678" t="s">
        <v>11884</v>
      </c>
      <c r="D6678" t="s">
        <v>11926</v>
      </c>
      <c r="F6678" s="76">
        <v>91</v>
      </c>
      <c r="G6678" s="57" t="s">
        <v>13819</v>
      </c>
      <c r="H6678" s="57" t="s">
        <v>7531</v>
      </c>
    </row>
    <row r="6679" spans="2:8" ht="13.5" customHeight="1">
      <c r="B6679" t="s">
        <v>11885</v>
      </c>
      <c r="D6679" t="s">
        <v>11927</v>
      </c>
      <c r="F6679" s="76">
        <v>159</v>
      </c>
      <c r="G6679" s="57" t="s">
        <v>13819</v>
      </c>
      <c r="H6679" s="57" t="s">
        <v>7531</v>
      </c>
    </row>
    <row r="6680" spans="2:8" ht="13.5" customHeight="1">
      <c r="B6680" t="s">
        <v>1550</v>
      </c>
      <c r="D6680" t="s">
        <v>1293</v>
      </c>
      <c r="F6680" s="76">
        <v>661</v>
      </c>
      <c r="G6680" s="57" t="s">
        <v>13819</v>
      </c>
      <c r="H6680" s="57" t="s">
        <v>7531</v>
      </c>
    </row>
    <row r="6681" spans="2:8" ht="13.5" customHeight="1">
      <c r="B6681" t="s">
        <v>11928</v>
      </c>
      <c r="D6681" t="s">
        <v>11979</v>
      </c>
      <c r="F6681" s="76">
        <v>1</v>
      </c>
      <c r="G6681" s="57" t="s">
        <v>13819</v>
      </c>
      <c r="H6681" s="57" t="s">
        <v>7543</v>
      </c>
    </row>
    <row r="6682" spans="2:8" ht="13.5" customHeight="1">
      <c r="B6682" t="s">
        <v>11929</v>
      </c>
      <c r="D6682" t="s">
        <v>11980</v>
      </c>
      <c r="F6682" s="76">
        <v>1</v>
      </c>
      <c r="G6682" s="57" t="s">
        <v>13819</v>
      </c>
      <c r="H6682" s="57" t="s">
        <v>7543</v>
      </c>
    </row>
    <row r="6683" spans="2:8" ht="13.5" customHeight="1">
      <c r="B6683" t="s">
        <v>6489</v>
      </c>
      <c r="D6683" t="s">
        <v>11981</v>
      </c>
      <c r="F6683" s="76">
        <v>2</v>
      </c>
      <c r="G6683" s="57" t="s">
        <v>13819</v>
      </c>
      <c r="H6683" s="57" t="s">
        <v>7543</v>
      </c>
    </row>
    <row r="6684" spans="2:8" ht="13.5" customHeight="1">
      <c r="B6684" t="s">
        <v>11930</v>
      </c>
      <c r="D6684" t="s">
        <v>11982</v>
      </c>
      <c r="F6684" s="76">
        <v>2</v>
      </c>
      <c r="G6684" s="57" t="s">
        <v>13819</v>
      </c>
      <c r="H6684" s="57" t="s">
        <v>7543</v>
      </c>
    </row>
    <row r="6685" spans="2:8" ht="13.5" customHeight="1">
      <c r="B6685" t="s">
        <v>11931</v>
      </c>
      <c r="D6685" t="s">
        <v>11983</v>
      </c>
      <c r="F6685" s="76">
        <v>2</v>
      </c>
      <c r="G6685" s="57" t="s">
        <v>13819</v>
      </c>
      <c r="H6685" s="57" t="s">
        <v>7543</v>
      </c>
    </row>
    <row r="6686" spans="2:8" ht="13.5" customHeight="1">
      <c r="B6686" t="s">
        <v>11932</v>
      </c>
      <c r="D6686" t="s">
        <v>11984</v>
      </c>
      <c r="F6686" s="76">
        <v>3</v>
      </c>
      <c r="G6686" s="57" t="s">
        <v>13819</v>
      </c>
      <c r="H6686" s="57" t="s">
        <v>7543</v>
      </c>
    </row>
    <row r="6687" spans="2:8" ht="13.5" customHeight="1">
      <c r="B6687" t="s">
        <v>7520</v>
      </c>
      <c r="D6687" t="s">
        <v>11985</v>
      </c>
      <c r="F6687" s="76">
        <v>4</v>
      </c>
      <c r="G6687" s="57" t="s">
        <v>13819</v>
      </c>
      <c r="H6687" s="57" t="s">
        <v>7543</v>
      </c>
    </row>
    <row r="6688" spans="2:8" ht="13.5" customHeight="1">
      <c r="B6688" t="s">
        <v>3223</v>
      </c>
      <c r="D6688" t="s">
        <v>11986</v>
      </c>
      <c r="F6688" s="76">
        <v>4</v>
      </c>
      <c r="G6688" s="57" t="s">
        <v>13819</v>
      </c>
      <c r="H6688" s="57" t="s">
        <v>7543</v>
      </c>
    </row>
    <row r="6689" spans="2:8" ht="13.5" customHeight="1">
      <c r="B6689" t="s">
        <v>11933</v>
      </c>
      <c r="D6689" t="s">
        <v>11987</v>
      </c>
      <c r="F6689" s="76">
        <v>4</v>
      </c>
      <c r="G6689" s="57" t="s">
        <v>13819</v>
      </c>
      <c r="H6689" s="57" t="s">
        <v>7543</v>
      </c>
    </row>
    <row r="6690" spans="2:8" ht="13.5" customHeight="1">
      <c r="B6690" t="s">
        <v>11934</v>
      </c>
      <c r="D6690" t="s">
        <v>11988</v>
      </c>
      <c r="F6690" s="76">
        <v>5</v>
      </c>
      <c r="G6690" s="57" t="s">
        <v>13819</v>
      </c>
      <c r="H6690" s="57" t="s">
        <v>7543</v>
      </c>
    </row>
    <row r="6691" spans="2:8" ht="13.5" customHeight="1">
      <c r="B6691" t="s">
        <v>11935</v>
      </c>
      <c r="D6691" t="s">
        <v>11989</v>
      </c>
      <c r="F6691" s="76">
        <v>5</v>
      </c>
      <c r="G6691" s="57" t="s">
        <v>13819</v>
      </c>
      <c r="H6691" s="57" t="s">
        <v>7543</v>
      </c>
    </row>
    <row r="6692" spans="2:8" ht="13.5" customHeight="1">
      <c r="B6692" t="s">
        <v>11936</v>
      </c>
      <c r="D6692" t="s">
        <v>11990</v>
      </c>
      <c r="F6692" s="76">
        <v>6</v>
      </c>
      <c r="G6692" s="57" t="s">
        <v>13819</v>
      </c>
      <c r="H6692" s="57" t="s">
        <v>7543</v>
      </c>
    </row>
    <row r="6693" spans="2:8" ht="13.5" customHeight="1">
      <c r="B6693" t="s">
        <v>11937</v>
      </c>
      <c r="D6693" t="s">
        <v>11991</v>
      </c>
      <c r="F6693" s="76">
        <v>6</v>
      </c>
      <c r="G6693" s="57" t="s">
        <v>13819</v>
      </c>
      <c r="H6693" s="57" t="s">
        <v>7543</v>
      </c>
    </row>
    <row r="6694" spans="2:8" ht="13.5" customHeight="1">
      <c r="B6694" t="s">
        <v>11938</v>
      </c>
      <c r="D6694" t="s">
        <v>11992</v>
      </c>
      <c r="F6694" s="76">
        <v>6</v>
      </c>
      <c r="G6694" s="57" t="s">
        <v>13819</v>
      </c>
      <c r="H6694" s="57" t="s">
        <v>7543</v>
      </c>
    </row>
    <row r="6695" spans="2:8" ht="13.5" customHeight="1">
      <c r="B6695" t="s">
        <v>11939</v>
      </c>
      <c r="D6695" t="s">
        <v>11993</v>
      </c>
      <c r="F6695" s="76">
        <v>8</v>
      </c>
      <c r="G6695" s="57" t="s">
        <v>13819</v>
      </c>
      <c r="H6695" s="57" t="s">
        <v>7543</v>
      </c>
    </row>
    <row r="6696" spans="2:8" ht="13.5" customHeight="1">
      <c r="B6696" t="s">
        <v>11940</v>
      </c>
      <c r="D6696" t="s">
        <v>11994</v>
      </c>
      <c r="F6696" s="76">
        <v>8</v>
      </c>
      <c r="G6696" s="57" t="s">
        <v>13819</v>
      </c>
      <c r="H6696" s="57" t="s">
        <v>7543</v>
      </c>
    </row>
    <row r="6697" spans="2:8" ht="13.5" customHeight="1">
      <c r="B6697" t="s">
        <v>3189</v>
      </c>
      <c r="D6697" t="s">
        <v>3190</v>
      </c>
      <c r="F6697" s="76">
        <v>9</v>
      </c>
      <c r="G6697" s="57" t="s">
        <v>13819</v>
      </c>
      <c r="H6697" s="57" t="s">
        <v>7543</v>
      </c>
    </row>
    <row r="6698" spans="2:8" ht="13.5" customHeight="1">
      <c r="B6698" t="s">
        <v>237</v>
      </c>
      <c r="D6698" t="s">
        <v>11995</v>
      </c>
      <c r="F6698" s="76">
        <v>10</v>
      </c>
      <c r="G6698" s="57" t="s">
        <v>13819</v>
      </c>
      <c r="H6698" s="57" t="s">
        <v>7543</v>
      </c>
    </row>
    <row r="6699" spans="2:8" ht="13.5" customHeight="1">
      <c r="B6699" t="s">
        <v>11941</v>
      </c>
      <c r="D6699" t="s">
        <v>11996</v>
      </c>
      <c r="F6699" s="76">
        <v>10</v>
      </c>
      <c r="G6699" s="57" t="s">
        <v>13819</v>
      </c>
      <c r="H6699" s="57" t="s">
        <v>7543</v>
      </c>
    </row>
    <row r="6700" spans="2:8" ht="13.5" customHeight="1">
      <c r="B6700" t="s">
        <v>11942</v>
      </c>
      <c r="D6700" t="s">
        <v>11997</v>
      </c>
      <c r="F6700" s="76">
        <v>10</v>
      </c>
      <c r="G6700" s="57" t="s">
        <v>13819</v>
      </c>
      <c r="H6700" s="57" t="s">
        <v>7543</v>
      </c>
    </row>
    <row r="6701" spans="2:8" ht="13.5" customHeight="1">
      <c r="B6701" t="s">
        <v>11943</v>
      </c>
      <c r="D6701" t="s">
        <v>11998</v>
      </c>
      <c r="F6701" s="76">
        <v>10</v>
      </c>
      <c r="G6701" s="57" t="s">
        <v>13819</v>
      </c>
      <c r="H6701" s="57" t="s">
        <v>7543</v>
      </c>
    </row>
    <row r="6702" spans="2:8" ht="13.5" customHeight="1">
      <c r="B6702" t="s">
        <v>11944</v>
      </c>
      <c r="D6702" t="s">
        <v>11999</v>
      </c>
      <c r="F6702" s="76">
        <v>10</v>
      </c>
      <c r="G6702" s="57" t="s">
        <v>13819</v>
      </c>
      <c r="H6702" s="57" t="s">
        <v>7543</v>
      </c>
    </row>
    <row r="6703" spans="2:8" ht="13.5" customHeight="1">
      <c r="B6703" t="s">
        <v>11945</v>
      </c>
      <c r="D6703" t="s">
        <v>12000</v>
      </c>
      <c r="F6703" s="76">
        <v>12</v>
      </c>
      <c r="G6703" s="57" t="s">
        <v>13819</v>
      </c>
      <c r="H6703" s="57" t="s">
        <v>7543</v>
      </c>
    </row>
    <row r="6704" spans="2:8" ht="13.5" customHeight="1">
      <c r="B6704" t="s">
        <v>11946</v>
      </c>
      <c r="D6704" t="s">
        <v>12001</v>
      </c>
      <c r="F6704" s="76">
        <v>14</v>
      </c>
      <c r="G6704" s="57" t="s">
        <v>13819</v>
      </c>
      <c r="H6704" s="57" t="s">
        <v>7543</v>
      </c>
    </row>
    <row r="6705" spans="2:8" ht="13.5" customHeight="1">
      <c r="B6705" t="s">
        <v>4133</v>
      </c>
      <c r="D6705" t="s">
        <v>12002</v>
      </c>
      <c r="F6705" s="76">
        <v>15</v>
      </c>
      <c r="G6705" s="57" t="s">
        <v>13819</v>
      </c>
      <c r="H6705" s="57" t="s">
        <v>7543</v>
      </c>
    </row>
    <row r="6706" spans="2:8" ht="13.5" customHeight="1">
      <c r="B6706" t="s">
        <v>11947</v>
      </c>
      <c r="D6706">
        <v>2042830001</v>
      </c>
      <c r="F6706" s="76">
        <v>15</v>
      </c>
      <c r="G6706" s="57" t="s">
        <v>13819</v>
      </c>
      <c r="H6706" s="57" t="s">
        <v>7543</v>
      </c>
    </row>
    <row r="6707" spans="2:8" ht="13.5" customHeight="1">
      <c r="B6707" t="s">
        <v>11948</v>
      </c>
      <c r="D6707" t="s">
        <v>12003</v>
      </c>
      <c r="F6707" s="76">
        <v>16</v>
      </c>
      <c r="G6707" s="57" t="s">
        <v>13819</v>
      </c>
      <c r="H6707" s="57" t="s">
        <v>7543</v>
      </c>
    </row>
    <row r="6708" spans="2:8" ht="13.5" customHeight="1">
      <c r="B6708" t="s">
        <v>828</v>
      </c>
      <c r="D6708" t="s">
        <v>4626</v>
      </c>
      <c r="F6708" s="76">
        <v>17</v>
      </c>
      <c r="G6708" s="57" t="s">
        <v>13819</v>
      </c>
      <c r="H6708" s="57" t="s">
        <v>7543</v>
      </c>
    </row>
    <row r="6709" spans="2:8" ht="13.5" customHeight="1">
      <c r="B6709" t="s">
        <v>11949</v>
      </c>
      <c r="D6709" t="s">
        <v>12004</v>
      </c>
      <c r="F6709" s="76">
        <v>19</v>
      </c>
      <c r="G6709" s="57" t="s">
        <v>13819</v>
      </c>
      <c r="H6709" s="57" t="s">
        <v>7543</v>
      </c>
    </row>
    <row r="6710" spans="2:8" ht="13.5" customHeight="1">
      <c r="B6710" t="s">
        <v>7401</v>
      </c>
      <c r="D6710" t="s">
        <v>12005</v>
      </c>
      <c r="F6710" s="76">
        <v>19</v>
      </c>
      <c r="G6710" s="57" t="s">
        <v>13819</v>
      </c>
      <c r="H6710" s="57" t="s">
        <v>7543</v>
      </c>
    </row>
    <row r="6711" spans="2:8" ht="13.5" customHeight="1">
      <c r="B6711" t="s">
        <v>11950</v>
      </c>
      <c r="D6711" t="s">
        <v>12006</v>
      </c>
      <c r="F6711" s="76">
        <v>21</v>
      </c>
      <c r="G6711" s="57" t="s">
        <v>13819</v>
      </c>
      <c r="H6711" s="57" t="s">
        <v>7543</v>
      </c>
    </row>
    <row r="6712" spans="2:8" ht="13.5" customHeight="1">
      <c r="B6712" t="s">
        <v>11951</v>
      </c>
      <c r="D6712" t="s">
        <v>12007</v>
      </c>
      <c r="F6712" s="76">
        <v>24</v>
      </c>
      <c r="G6712" s="57" t="s">
        <v>13819</v>
      </c>
      <c r="H6712" s="57" t="s">
        <v>7543</v>
      </c>
    </row>
    <row r="6713" spans="2:8" ht="13.5" customHeight="1">
      <c r="B6713" t="s">
        <v>11952</v>
      </c>
      <c r="D6713" t="s">
        <v>12008</v>
      </c>
      <c r="F6713" s="76">
        <v>25</v>
      </c>
      <c r="G6713" s="57" t="s">
        <v>13819</v>
      </c>
      <c r="H6713" s="57" t="s">
        <v>7543</v>
      </c>
    </row>
    <row r="6714" spans="2:8" ht="13.5" customHeight="1">
      <c r="B6714" t="s">
        <v>11953</v>
      </c>
      <c r="D6714" t="s">
        <v>12009</v>
      </c>
      <c r="F6714" s="76">
        <v>30</v>
      </c>
      <c r="G6714" s="57" t="s">
        <v>13819</v>
      </c>
      <c r="H6714" s="57" t="s">
        <v>7543</v>
      </c>
    </row>
    <row r="6715" spans="2:8" ht="13.5" customHeight="1">
      <c r="B6715" t="s">
        <v>11954</v>
      </c>
      <c r="D6715" t="s">
        <v>452</v>
      </c>
      <c r="F6715" s="76">
        <v>33</v>
      </c>
      <c r="G6715" s="57" t="s">
        <v>13819</v>
      </c>
      <c r="H6715" s="57" t="s">
        <v>7543</v>
      </c>
    </row>
    <row r="6716" spans="2:8" ht="13.5" customHeight="1">
      <c r="B6716" t="s">
        <v>11955</v>
      </c>
      <c r="D6716" t="s">
        <v>12010</v>
      </c>
      <c r="F6716" s="76">
        <v>36</v>
      </c>
      <c r="G6716" s="57" t="s">
        <v>13819</v>
      </c>
      <c r="H6716" s="57" t="s">
        <v>7543</v>
      </c>
    </row>
    <row r="6717" spans="2:8" ht="13.5" customHeight="1">
      <c r="B6717" t="s">
        <v>11956</v>
      </c>
      <c r="D6717" t="s">
        <v>12011</v>
      </c>
      <c r="F6717" s="76">
        <v>37</v>
      </c>
      <c r="G6717" s="57" t="s">
        <v>13819</v>
      </c>
      <c r="H6717" s="57" t="s">
        <v>7543</v>
      </c>
    </row>
    <row r="6718" spans="2:8" ht="13.5" customHeight="1">
      <c r="B6718" t="s">
        <v>11957</v>
      </c>
      <c r="D6718" t="s">
        <v>12012</v>
      </c>
      <c r="F6718" s="76">
        <v>42</v>
      </c>
      <c r="G6718" s="57" t="s">
        <v>13819</v>
      </c>
      <c r="H6718" s="57" t="s">
        <v>7543</v>
      </c>
    </row>
    <row r="6719" spans="2:8" ht="13.5" customHeight="1">
      <c r="B6719" t="s">
        <v>11958</v>
      </c>
      <c r="D6719" t="s">
        <v>12013</v>
      </c>
      <c r="F6719" s="76">
        <v>49</v>
      </c>
      <c r="G6719" s="57" t="s">
        <v>13819</v>
      </c>
      <c r="H6719" s="57" t="s">
        <v>7543</v>
      </c>
    </row>
    <row r="6720" spans="2:8" ht="13.5" customHeight="1">
      <c r="B6720" t="s">
        <v>11959</v>
      </c>
      <c r="D6720" t="s">
        <v>848</v>
      </c>
      <c r="F6720" s="76">
        <v>88</v>
      </c>
      <c r="G6720" s="57" t="s">
        <v>13819</v>
      </c>
      <c r="H6720" s="57" t="s">
        <v>7543</v>
      </c>
    </row>
    <row r="6721" spans="2:8" ht="13.5" customHeight="1">
      <c r="B6721" t="s">
        <v>11960</v>
      </c>
      <c r="D6721" t="s">
        <v>12014</v>
      </c>
      <c r="F6721" s="76">
        <v>2</v>
      </c>
      <c r="G6721" s="57" t="s">
        <v>13819</v>
      </c>
      <c r="H6721" s="57" t="s">
        <v>1358</v>
      </c>
    </row>
    <row r="6722" spans="2:8" ht="13.5" customHeight="1">
      <c r="B6722" t="s">
        <v>11961</v>
      </c>
      <c r="D6722" t="s">
        <v>12015</v>
      </c>
      <c r="F6722" s="76">
        <v>56</v>
      </c>
      <c r="G6722" s="57" t="s">
        <v>13819</v>
      </c>
      <c r="H6722" s="57" t="s">
        <v>1358</v>
      </c>
    </row>
    <row r="6723" spans="2:8" ht="13.5" customHeight="1">
      <c r="B6723" t="s">
        <v>11962</v>
      </c>
      <c r="D6723" t="s">
        <v>12016</v>
      </c>
      <c r="F6723" s="76">
        <v>536</v>
      </c>
      <c r="G6723" s="57" t="s">
        <v>13819</v>
      </c>
      <c r="H6723" s="57" t="s">
        <v>1358</v>
      </c>
    </row>
    <row r="6724" spans="2:8" ht="13.5" customHeight="1">
      <c r="B6724" s="203" t="s">
        <v>11963</v>
      </c>
      <c r="D6724" s="203" t="s">
        <v>11963</v>
      </c>
      <c r="F6724" s="76">
        <v>1355</v>
      </c>
      <c r="G6724" s="57" t="s">
        <v>13819</v>
      </c>
      <c r="H6724" s="57" t="s">
        <v>1358</v>
      </c>
    </row>
    <row r="6725" spans="2:8" ht="13.5" customHeight="1">
      <c r="B6725" t="s">
        <v>11964</v>
      </c>
      <c r="D6725" t="s">
        <v>12017</v>
      </c>
      <c r="F6725" s="76">
        <v>1</v>
      </c>
      <c r="G6725" s="57" t="s">
        <v>13819</v>
      </c>
      <c r="H6725" s="57" t="s">
        <v>7549</v>
      </c>
    </row>
    <row r="6726" spans="2:8" ht="13.5" customHeight="1">
      <c r="B6726" t="s">
        <v>4668</v>
      </c>
      <c r="D6726" t="s">
        <v>12018</v>
      </c>
      <c r="F6726" s="76">
        <v>1</v>
      </c>
      <c r="G6726" s="57" t="s">
        <v>13819</v>
      </c>
      <c r="H6726" s="57" t="s">
        <v>7549</v>
      </c>
    </row>
    <row r="6727" spans="2:8" ht="13.5" customHeight="1">
      <c r="B6727" t="s">
        <v>11496</v>
      </c>
      <c r="D6727" t="s">
        <v>12019</v>
      </c>
      <c r="F6727" s="76">
        <v>2</v>
      </c>
      <c r="G6727" s="57" t="s">
        <v>13819</v>
      </c>
      <c r="H6727" s="57" t="s">
        <v>7549</v>
      </c>
    </row>
    <row r="6728" spans="2:8" ht="13.5" customHeight="1">
      <c r="B6728" t="s">
        <v>11965</v>
      </c>
      <c r="D6728">
        <v>5025780200</v>
      </c>
      <c r="F6728" s="76">
        <v>4</v>
      </c>
      <c r="G6728" s="57" t="s">
        <v>13819</v>
      </c>
      <c r="H6728" s="57" t="s">
        <v>7549</v>
      </c>
    </row>
    <row r="6729" spans="2:8" ht="13.5" customHeight="1">
      <c r="B6729" t="s">
        <v>11966</v>
      </c>
      <c r="D6729" t="s">
        <v>12020</v>
      </c>
      <c r="F6729" s="76">
        <v>5</v>
      </c>
      <c r="G6729" s="57" t="s">
        <v>13819</v>
      </c>
      <c r="H6729" s="57" t="s">
        <v>7549</v>
      </c>
    </row>
    <row r="6730" spans="2:8" ht="13.5" customHeight="1">
      <c r="B6730" t="s">
        <v>11967</v>
      </c>
      <c r="D6730" t="s">
        <v>12021</v>
      </c>
      <c r="F6730" s="76">
        <v>5</v>
      </c>
      <c r="G6730" s="57" t="s">
        <v>13819</v>
      </c>
      <c r="H6730" s="57" t="s">
        <v>7549</v>
      </c>
    </row>
    <row r="6731" spans="2:8" ht="13.5" customHeight="1">
      <c r="B6731" t="s">
        <v>11968</v>
      </c>
      <c r="D6731" t="s">
        <v>12022</v>
      </c>
      <c r="F6731" s="76">
        <v>5</v>
      </c>
      <c r="G6731" s="57" t="s">
        <v>13819</v>
      </c>
      <c r="H6731" s="57" t="s">
        <v>7549</v>
      </c>
    </row>
    <row r="6732" spans="2:8" ht="13.5" customHeight="1">
      <c r="B6732" t="s">
        <v>11969</v>
      </c>
      <c r="D6732" t="s">
        <v>12023</v>
      </c>
      <c r="F6732" s="76">
        <v>5</v>
      </c>
      <c r="G6732" s="57" t="s">
        <v>13819</v>
      </c>
      <c r="H6732" s="57" t="s">
        <v>7549</v>
      </c>
    </row>
    <row r="6733" spans="2:8" ht="13.5" customHeight="1">
      <c r="B6733" t="s">
        <v>9945</v>
      </c>
      <c r="D6733" t="s">
        <v>12024</v>
      </c>
      <c r="F6733" s="76">
        <v>8</v>
      </c>
      <c r="G6733" s="57" t="s">
        <v>13819</v>
      </c>
      <c r="H6733" s="57" t="s">
        <v>7549</v>
      </c>
    </row>
    <row r="6734" spans="2:8" ht="13.5" customHeight="1">
      <c r="B6734" t="s">
        <v>11970</v>
      </c>
      <c r="D6734" t="s">
        <v>12025</v>
      </c>
      <c r="F6734" s="76">
        <v>8</v>
      </c>
      <c r="G6734" s="57" t="s">
        <v>13819</v>
      </c>
      <c r="H6734" s="57" t="s">
        <v>7549</v>
      </c>
    </row>
    <row r="6735" spans="2:8" ht="13.5" customHeight="1">
      <c r="B6735" t="s">
        <v>11971</v>
      </c>
      <c r="D6735">
        <v>2157111125</v>
      </c>
      <c r="F6735" s="76">
        <v>10</v>
      </c>
      <c r="G6735" s="57" t="s">
        <v>13819</v>
      </c>
      <c r="H6735" s="57" t="s">
        <v>7549</v>
      </c>
    </row>
    <row r="6736" spans="2:8" ht="13.5" customHeight="1">
      <c r="B6736" t="s">
        <v>11972</v>
      </c>
      <c r="D6736" t="s">
        <v>12026</v>
      </c>
      <c r="F6736" s="76">
        <v>21</v>
      </c>
      <c r="G6736" s="57" t="s">
        <v>13819</v>
      </c>
      <c r="H6736" s="57" t="s">
        <v>7549</v>
      </c>
    </row>
    <row r="6737" spans="2:8" ht="13.5" customHeight="1">
      <c r="B6737" t="s">
        <v>11973</v>
      </c>
      <c r="D6737" t="s">
        <v>12027</v>
      </c>
      <c r="F6737" s="76">
        <v>30</v>
      </c>
      <c r="G6737" s="57" t="s">
        <v>13819</v>
      </c>
      <c r="H6737" s="57" t="s">
        <v>7549</v>
      </c>
    </row>
    <row r="6738" spans="2:8" ht="13.5" customHeight="1">
      <c r="B6738" t="s">
        <v>11974</v>
      </c>
      <c r="D6738" t="s">
        <v>12028</v>
      </c>
      <c r="F6738" s="76">
        <v>30</v>
      </c>
      <c r="G6738" s="57" t="s">
        <v>13819</v>
      </c>
      <c r="H6738" s="57" t="s">
        <v>7549</v>
      </c>
    </row>
    <row r="6739" spans="2:8" ht="13.5" customHeight="1">
      <c r="B6739" t="s">
        <v>11975</v>
      </c>
      <c r="D6739" t="s">
        <v>12029</v>
      </c>
      <c r="F6739" s="76">
        <v>32</v>
      </c>
      <c r="G6739" s="57" t="s">
        <v>13819</v>
      </c>
      <c r="H6739" s="57" t="s">
        <v>7549</v>
      </c>
    </row>
    <row r="6740" spans="2:8" ht="13.5" customHeight="1">
      <c r="B6740" t="s">
        <v>11976</v>
      </c>
      <c r="D6740" t="s">
        <v>12030</v>
      </c>
      <c r="F6740" s="76">
        <v>50</v>
      </c>
      <c r="G6740" s="57" t="s">
        <v>13819</v>
      </c>
      <c r="H6740" s="57" t="s">
        <v>7549</v>
      </c>
    </row>
    <row r="6741" spans="2:8" ht="13.5" customHeight="1">
      <c r="B6741" t="s">
        <v>11977</v>
      </c>
      <c r="D6741" t="s">
        <v>12031</v>
      </c>
      <c r="F6741" s="76">
        <v>60</v>
      </c>
      <c r="G6741" s="57" t="s">
        <v>13819</v>
      </c>
      <c r="H6741" s="57" t="s">
        <v>7549</v>
      </c>
    </row>
    <row r="6742" spans="2:8" ht="13.5" customHeight="1">
      <c r="B6742" t="s">
        <v>11978</v>
      </c>
      <c r="D6742" t="s">
        <v>12032</v>
      </c>
      <c r="F6742" s="76">
        <v>76</v>
      </c>
      <c r="G6742" s="57" t="s">
        <v>13819</v>
      </c>
      <c r="H6742" s="57" t="s">
        <v>7549</v>
      </c>
    </row>
    <row r="6743" spans="2:8" ht="13.5" customHeight="1">
      <c r="B6743" t="s">
        <v>12033</v>
      </c>
      <c r="D6743" t="s">
        <v>12079</v>
      </c>
      <c r="F6743" s="76">
        <v>1</v>
      </c>
      <c r="G6743" s="57" t="s">
        <v>13819</v>
      </c>
      <c r="H6743" s="57" t="s">
        <v>13777</v>
      </c>
    </row>
    <row r="6744" spans="2:8" ht="13.5" customHeight="1">
      <c r="B6744" t="s">
        <v>12034</v>
      </c>
      <c r="D6744" t="s">
        <v>12080</v>
      </c>
      <c r="F6744" s="76">
        <v>1</v>
      </c>
      <c r="G6744" s="57" t="s">
        <v>13819</v>
      </c>
      <c r="H6744" s="57" t="s">
        <v>13777</v>
      </c>
    </row>
    <row r="6745" spans="2:8" ht="13.5" customHeight="1">
      <c r="B6745" t="s">
        <v>12035</v>
      </c>
      <c r="D6745" t="s">
        <v>12081</v>
      </c>
      <c r="F6745" s="76">
        <v>2</v>
      </c>
      <c r="G6745" s="57" t="s">
        <v>13819</v>
      </c>
      <c r="H6745" s="57" t="s">
        <v>13777</v>
      </c>
    </row>
    <row r="6746" spans="2:8" ht="13.5" customHeight="1">
      <c r="B6746" t="s">
        <v>12036</v>
      </c>
      <c r="D6746" t="s">
        <v>12082</v>
      </c>
      <c r="F6746" s="76">
        <v>3</v>
      </c>
      <c r="G6746" s="57" t="s">
        <v>13819</v>
      </c>
      <c r="H6746" s="57" t="s">
        <v>13777</v>
      </c>
    </row>
    <row r="6747" spans="2:8" ht="13.5" customHeight="1">
      <c r="B6747" t="s">
        <v>12037</v>
      </c>
      <c r="D6747" t="s">
        <v>12083</v>
      </c>
      <c r="F6747" s="76">
        <v>3</v>
      </c>
      <c r="G6747" s="57" t="s">
        <v>13819</v>
      </c>
      <c r="H6747" s="57" t="s">
        <v>13777</v>
      </c>
    </row>
    <row r="6748" spans="2:8" ht="13.5" customHeight="1">
      <c r="B6748" t="s">
        <v>12038</v>
      </c>
      <c r="D6748" t="s">
        <v>12038</v>
      </c>
      <c r="F6748" s="76">
        <v>4</v>
      </c>
      <c r="G6748" s="57" t="s">
        <v>13819</v>
      </c>
      <c r="H6748" s="57" t="s">
        <v>13777</v>
      </c>
    </row>
    <row r="6749" spans="2:8" ht="13.5" customHeight="1">
      <c r="B6749" t="s">
        <v>12039</v>
      </c>
      <c r="D6749" t="s">
        <v>12084</v>
      </c>
      <c r="F6749" s="76">
        <v>4</v>
      </c>
      <c r="G6749" s="57" t="s">
        <v>13819</v>
      </c>
      <c r="H6749" s="57" t="s">
        <v>13777</v>
      </c>
    </row>
    <row r="6750" spans="2:8" ht="13.5" customHeight="1">
      <c r="B6750" t="s">
        <v>12040</v>
      </c>
      <c r="D6750" t="s">
        <v>12085</v>
      </c>
      <c r="F6750" s="76">
        <v>5</v>
      </c>
      <c r="G6750" s="57" t="s">
        <v>13819</v>
      </c>
      <c r="H6750" s="57" t="s">
        <v>13777</v>
      </c>
    </row>
    <row r="6751" spans="2:8" ht="13.5" customHeight="1">
      <c r="B6751" t="s">
        <v>12041</v>
      </c>
      <c r="D6751" t="s">
        <v>12086</v>
      </c>
      <c r="F6751" s="76">
        <v>5</v>
      </c>
      <c r="G6751" s="57" t="s">
        <v>13819</v>
      </c>
      <c r="H6751" s="57" t="s">
        <v>13777</v>
      </c>
    </row>
    <row r="6752" spans="2:8" ht="13.5" customHeight="1">
      <c r="B6752" t="s">
        <v>12042</v>
      </c>
      <c r="D6752" t="s">
        <v>12087</v>
      </c>
      <c r="F6752" s="76">
        <v>12</v>
      </c>
      <c r="G6752" s="57" t="s">
        <v>13819</v>
      </c>
      <c r="H6752" s="57" t="s">
        <v>13777</v>
      </c>
    </row>
    <row r="6753" spans="2:8" ht="13.5" customHeight="1">
      <c r="B6753"/>
      <c r="D6753" t="s">
        <v>12088</v>
      </c>
      <c r="F6753" s="76">
        <v>16</v>
      </c>
      <c r="G6753" s="57" t="s">
        <v>13819</v>
      </c>
      <c r="H6753" s="57" t="s">
        <v>13777</v>
      </c>
    </row>
    <row r="6754" spans="2:8" ht="13.5" customHeight="1">
      <c r="B6754" t="s">
        <v>12043</v>
      </c>
      <c r="D6754" t="s">
        <v>12089</v>
      </c>
      <c r="F6754" s="76">
        <v>20</v>
      </c>
      <c r="G6754" s="57" t="s">
        <v>13819</v>
      </c>
      <c r="H6754" s="57" t="s">
        <v>13777</v>
      </c>
    </row>
    <row r="6755" spans="2:8" ht="13.5" customHeight="1">
      <c r="B6755" t="s">
        <v>12044</v>
      </c>
      <c r="D6755" t="s">
        <v>12090</v>
      </c>
      <c r="F6755" s="76">
        <v>75</v>
      </c>
      <c r="G6755" s="57" t="s">
        <v>13819</v>
      </c>
      <c r="H6755" s="57" t="s">
        <v>13777</v>
      </c>
    </row>
    <row r="6756" spans="2:8" ht="13.5" customHeight="1">
      <c r="B6756" t="s">
        <v>12045</v>
      </c>
      <c r="D6756" t="s">
        <v>12091</v>
      </c>
      <c r="F6756" s="76">
        <v>86</v>
      </c>
      <c r="G6756" s="57" t="s">
        <v>13819</v>
      </c>
      <c r="H6756" s="57" t="s">
        <v>13777</v>
      </c>
    </row>
    <row r="6757" spans="2:8" ht="13.5" customHeight="1">
      <c r="B6757" t="s">
        <v>12046</v>
      </c>
      <c r="D6757" t="s">
        <v>12092</v>
      </c>
      <c r="F6757" s="76">
        <v>86</v>
      </c>
      <c r="G6757" s="57" t="s">
        <v>13819</v>
      </c>
      <c r="H6757" s="57" t="s">
        <v>13777</v>
      </c>
    </row>
    <row r="6758" spans="2:8" ht="13.5" customHeight="1">
      <c r="B6758" t="s">
        <v>12047</v>
      </c>
      <c r="D6758" t="s">
        <v>12093</v>
      </c>
      <c r="F6758" s="76">
        <v>138</v>
      </c>
      <c r="G6758" s="57" t="s">
        <v>13819</v>
      </c>
      <c r="H6758" s="57" t="s">
        <v>13777</v>
      </c>
    </row>
    <row r="6759" spans="2:8" ht="13.5" customHeight="1">
      <c r="B6759" t="s">
        <v>12048</v>
      </c>
      <c r="D6759" t="s">
        <v>12094</v>
      </c>
      <c r="F6759" s="76">
        <v>8</v>
      </c>
      <c r="G6759" s="57" t="s">
        <v>13819</v>
      </c>
      <c r="H6759" s="57" t="s">
        <v>13778</v>
      </c>
    </row>
    <row r="6760" spans="2:8" ht="13.5" customHeight="1">
      <c r="B6760" t="s">
        <v>12049</v>
      </c>
      <c r="D6760">
        <v>5055650501</v>
      </c>
      <c r="F6760" s="76">
        <v>1</v>
      </c>
      <c r="G6760" s="57" t="s">
        <v>13819</v>
      </c>
      <c r="H6760" s="57" t="s">
        <v>7535</v>
      </c>
    </row>
    <row r="6761" spans="2:8" ht="13.5" customHeight="1">
      <c r="B6761" t="s">
        <v>12050</v>
      </c>
      <c r="D6761" t="s">
        <v>12095</v>
      </c>
      <c r="F6761" s="76">
        <v>1</v>
      </c>
      <c r="G6761" s="57" t="s">
        <v>13819</v>
      </c>
      <c r="H6761" s="57" t="s">
        <v>7535</v>
      </c>
    </row>
    <row r="6762" spans="2:8" ht="13.5" customHeight="1">
      <c r="B6762" t="s">
        <v>12051</v>
      </c>
      <c r="D6762" t="s">
        <v>12096</v>
      </c>
      <c r="F6762" s="76">
        <v>1</v>
      </c>
      <c r="G6762" s="57" t="s">
        <v>13819</v>
      </c>
      <c r="H6762" s="57" t="s">
        <v>7535</v>
      </c>
    </row>
    <row r="6763" spans="2:8" ht="13.5" customHeight="1">
      <c r="B6763" t="s">
        <v>12052</v>
      </c>
      <c r="D6763" t="s">
        <v>12097</v>
      </c>
      <c r="F6763" s="76">
        <v>1</v>
      </c>
      <c r="G6763" s="57" t="s">
        <v>13819</v>
      </c>
      <c r="H6763" s="57" t="s">
        <v>7535</v>
      </c>
    </row>
    <row r="6764" spans="2:8" ht="13.5" customHeight="1">
      <c r="B6764" t="s">
        <v>12053</v>
      </c>
      <c r="D6764" t="s">
        <v>12098</v>
      </c>
      <c r="F6764" s="76">
        <v>3</v>
      </c>
      <c r="G6764" s="57" t="s">
        <v>13819</v>
      </c>
      <c r="H6764" s="57" t="s">
        <v>7535</v>
      </c>
    </row>
    <row r="6765" spans="2:8" ht="13.5" customHeight="1">
      <c r="B6765" t="s">
        <v>12054</v>
      </c>
      <c r="D6765" t="s">
        <v>12099</v>
      </c>
      <c r="F6765" s="76">
        <v>3</v>
      </c>
      <c r="G6765" s="57" t="s">
        <v>13819</v>
      </c>
      <c r="H6765" s="57" t="s">
        <v>7535</v>
      </c>
    </row>
    <row r="6766" spans="2:8" ht="13.5" customHeight="1">
      <c r="B6766" t="s">
        <v>12055</v>
      </c>
      <c r="D6766">
        <v>1723101104</v>
      </c>
      <c r="F6766" s="76">
        <v>3</v>
      </c>
      <c r="G6766" s="57" t="s">
        <v>13819</v>
      </c>
      <c r="H6766" s="57" t="s">
        <v>7535</v>
      </c>
    </row>
    <row r="6767" spans="2:8" ht="13.5" customHeight="1">
      <c r="B6767" t="s">
        <v>12056</v>
      </c>
      <c r="D6767" t="s">
        <v>12100</v>
      </c>
      <c r="F6767" s="76">
        <v>3</v>
      </c>
      <c r="G6767" s="57" t="s">
        <v>13819</v>
      </c>
      <c r="H6767" s="57" t="s">
        <v>7535</v>
      </c>
    </row>
    <row r="6768" spans="2:8" ht="13.5" customHeight="1">
      <c r="B6768" t="s">
        <v>12057</v>
      </c>
      <c r="D6768" t="s">
        <v>12101</v>
      </c>
      <c r="F6768" s="76">
        <v>3</v>
      </c>
      <c r="G6768" s="57" t="s">
        <v>13819</v>
      </c>
      <c r="H6768" s="57" t="s">
        <v>7535</v>
      </c>
    </row>
    <row r="6769" spans="2:8" ht="13.5" customHeight="1">
      <c r="B6769" t="s">
        <v>12058</v>
      </c>
      <c r="D6769" t="s">
        <v>12102</v>
      </c>
      <c r="F6769" s="76">
        <v>4</v>
      </c>
      <c r="G6769" s="57" t="s">
        <v>13819</v>
      </c>
      <c r="H6769" s="57" t="s">
        <v>7535</v>
      </c>
    </row>
    <row r="6770" spans="2:8" ht="13.5" customHeight="1">
      <c r="B6770" t="s">
        <v>12059</v>
      </c>
      <c r="D6770" t="s">
        <v>12103</v>
      </c>
      <c r="F6770" s="76">
        <v>4</v>
      </c>
      <c r="G6770" s="57" t="s">
        <v>13819</v>
      </c>
      <c r="H6770" s="57" t="s">
        <v>7535</v>
      </c>
    </row>
    <row r="6771" spans="2:8" ht="13.5" customHeight="1">
      <c r="B6771" t="s">
        <v>12060</v>
      </c>
      <c r="D6771" t="s">
        <v>12104</v>
      </c>
      <c r="F6771" s="76">
        <v>5</v>
      </c>
      <c r="G6771" s="57" t="s">
        <v>13819</v>
      </c>
      <c r="H6771" s="57" t="s">
        <v>7535</v>
      </c>
    </row>
    <row r="6772" spans="2:8" ht="13.5" customHeight="1">
      <c r="B6772" t="s">
        <v>12061</v>
      </c>
      <c r="D6772" t="s">
        <v>12105</v>
      </c>
      <c r="F6772" s="76">
        <v>5</v>
      </c>
      <c r="G6772" s="57" t="s">
        <v>13819</v>
      </c>
      <c r="H6772" s="57" t="s">
        <v>7535</v>
      </c>
    </row>
    <row r="6773" spans="2:8" ht="13.5" customHeight="1">
      <c r="B6773" t="s">
        <v>12062</v>
      </c>
      <c r="D6773" t="s">
        <v>12106</v>
      </c>
      <c r="F6773" s="76">
        <v>5</v>
      </c>
      <c r="G6773" s="57" t="s">
        <v>13819</v>
      </c>
      <c r="H6773" s="57" t="s">
        <v>7535</v>
      </c>
    </row>
    <row r="6774" spans="2:8" ht="13.5" customHeight="1">
      <c r="B6774" t="s">
        <v>12063</v>
      </c>
      <c r="D6774">
        <v>1723101103</v>
      </c>
      <c r="F6774" s="76">
        <v>10</v>
      </c>
      <c r="G6774" s="57" t="s">
        <v>13819</v>
      </c>
      <c r="H6774" s="57" t="s">
        <v>7535</v>
      </c>
    </row>
    <row r="6775" spans="2:8" ht="13.5" customHeight="1">
      <c r="B6775" t="s">
        <v>12064</v>
      </c>
      <c r="D6775" t="s">
        <v>12107</v>
      </c>
      <c r="F6775" s="76">
        <v>11</v>
      </c>
      <c r="G6775" s="57" t="s">
        <v>13819</v>
      </c>
      <c r="H6775" s="57" t="s">
        <v>7535</v>
      </c>
    </row>
    <row r="6776" spans="2:8" ht="13.5" customHeight="1">
      <c r="B6776" t="s">
        <v>12065</v>
      </c>
      <c r="D6776" t="s">
        <v>12108</v>
      </c>
      <c r="F6776" s="76">
        <v>11</v>
      </c>
      <c r="G6776" s="57" t="s">
        <v>13819</v>
      </c>
      <c r="H6776" s="57" t="s">
        <v>7535</v>
      </c>
    </row>
    <row r="6777" spans="2:8" ht="13.5" customHeight="1">
      <c r="B6777" t="s">
        <v>12066</v>
      </c>
      <c r="D6777" t="s">
        <v>12109</v>
      </c>
      <c r="F6777" s="76">
        <v>11</v>
      </c>
      <c r="G6777" s="57" t="s">
        <v>13819</v>
      </c>
      <c r="H6777" s="57" t="s">
        <v>7535</v>
      </c>
    </row>
    <row r="6778" spans="2:8" ht="13.5" customHeight="1">
      <c r="B6778" t="s">
        <v>12067</v>
      </c>
      <c r="D6778" t="s">
        <v>12110</v>
      </c>
      <c r="F6778" s="76">
        <v>12</v>
      </c>
      <c r="G6778" s="57" t="s">
        <v>13819</v>
      </c>
      <c r="H6778" s="57" t="s">
        <v>7535</v>
      </c>
    </row>
    <row r="6779" spans="2:8" ht="13.5" customHeight="1">
      <c r="B6779" t="s">
        <v>12068</v>
      </c>
      <c r="D6779" t="s">
        <v>12111</v>
      </c>
      <c r="F6779" s="76">
        <v>20</v>
      </c>
      <c r="G6779" s="57" t="s">
        <v>13819</v>
      </c>
      <c r="H6779" s="57" t="s">
        <v>7535</v>
      </c>
    </row>
    <row r="6780" spans="2:8" ht="13.5" customHeight="1">
      <c r="B6780" t="s">
        <v>12069</v>
      </c>
      <c r="D6780" t="s">
        <v>12112</v>
      </c>
      <c r="F6780" s="76">
        <v>23</v>
      </c>
      <c r="G6780" s="57" t="s">
        <v>13819</v>
      </c>
      <c r="H6780" s="57" t="s">
        <v>7535</v>
      </c>
    </row>
    <row r="6781" spans="2:8" ht="13.5" customHeight="1">
      <c r="B6781" t="s">
        <v>12070</v>
      </c>
      <c r="D6781" t="s">
        <v>12113</v>
      </c>
      <c r="F6781" s="76">
        <v>23</v>
      </c>
      <c r="G6781" s="57" t="s">
        <v>13819</v>
      </c>
      <c r="H6781" s="57" t="s">
        <v>7535</v>
      </c>
    </row>
    <row r="6782" spans="2:8" ht="13.5" customHeight="1">
      <c r="B6782" t="s">
        <v>12071</v>
      </c>
      <c r="D6782" t="s">
        <v>12114</v>
      </c>
      <c r="F6782" s="76">
        <v>24</v>
      </c>
      <c r="G6782" s="57" t="s">
        <v>13819</v>
      </c>
      <c r="H6782" s="57" t="s">
        <v>7535</v>
      </c>
    </row>
    <row r="6783" spans="2:8" ht="13.5" customHeight="1">
      <c r="B6783"/>
      <c r="D6783" t="s">
        <v>12115</v>
      </c>
      <c r="F6783" s="76">
        <v>24</v>
      </c>
      <c r="G6783" s="57" t="s">
        <v>13819</v>
      </c>
      <c r="H6783" s="57" t="s">
        <v>7535</v>
      </c>
    </row>
    <row r="6784" spans="2:8" ht="13.5" customHeight="1">
      <c r="B6784" t="s">
        <v>12072</v>
      </c>
      <c r="D6784" t="s">
        <v>12116</v>
      </c>
      <c r="F6784" s="76">
        <v>24</v>
      </c>
      <c r="G6784" s="57" t="s">
        <v>13819</v>
      </c>
      <c r="H6784" s="57" t="s">
        <v>7535</v>
      </c>
    </row>
    <row r="6785" spans="2:8" ht="13.5" customHeight="1">
      <c r="B6785" t="s">
        <v>12073</v>
      </c>
      <c r="D6785" t="s">
        <v>12117</v>
      </c>
      <c r="F6785" s="76">
        <v>27</v>
      </c>
      <c r="G6785" s="57" t="s">
        <v>13819</v>
      </c>
      <c r="H6785" s="57" t="s">
        <v>7535</v>
      </c>
    </row>
    <row r="6786" spans="2:8" ht="13.5" customHeight="1">
      <c r="B6786" t="s">
        <v>12074</v>
      </c>
      <c r="D6786" t="s">
        <v>12118</v>
      </c>
      <c r="F6786" s="76">
        <v>31</v>
      </c>
      <c r="G6786" s="57" t="s">
        <v>13819</v>
      </c>
      <c r="H6786" s="57" t="s">
        <v>7535</v>
      </c>
    </row>
    <row r="6787" spans="2:8" ht="13.5" customHeight="1">
      <c r="B6787" t="s">
        <v>12075</v>
      </c>
      <c r="D6787" t="s">
        <v>12119</v>
      </c>
      <c r="F6787" s="76">
        <v>40</v>
      </c>
      <c r="G6787" s="57" t="s">
        <v>13819</v>
      </c>
      <c r="H6787" s="57" t="s">
        <v>7535</v>
      </c>
    </row>
    <row r="6788" spans="2:8" ht="13.5" customHeight="1">
      <c r="B6788" t="s">
        <v>12076</v>
      </c>
      <c r="D6788" t="s">
        <v>12120</v>
      </c>
      <c r="F6788" s="76">
        <v>40</v>
      </c>
      <c r="G6788" s="57" t="s">
        <v>13819</v>
      </c>
      <c r="H6788" s="57" t="s">
        <v>7535</v>
      </c>
    </row>
    <row r="6789" spans="2:8" ht="13.5" customHeight="1">
      <c r="B6789"/>
      <c r="D6789" t="s">
        <v>12121</v>
      </c>
      <c r="F6789" s="76">
        <v>51</v>
      </c>
      <c r="G6789" s="57" t="s">
        <v>13819</v>
      </c>
      <c r="H6789" s="57" t="s">
        <v>7535</v>
      </c>
    </row>
    <row r="6790" spans="2:8" ht="13.5" customHeight="1">
      <c r="B6790" t="s">
        <v>12077</v>
      </c>
      <c r="D6790" t="s">
        <v>12122</v>
      </c>
      <c r="F6790" s="76">
        <v>51</v>
      </c>
      <c r="G6790" s="57" t="s">
        <v>13819</v>
      </c>
      <c r="H6790" s="57" t="s">
        <v>7535</v>
      </c>
    </row>
    <row r="6791" spans="2:8" ht="13.5" customHeight="1">
      <c r="B6791" t="s">
        <v>12078</v>
      </c>
      <c r="D6791" t="s">
        <v>12123</v>
      </c>
      <c r="F6791" s="76">
        <v>60</v>
      </c>
      <c r="G6791" s="57" t="s">
        <v>13819</v>
      </c>
      <c r="H6791" s="57" t="s">
        <v>7535</v>
      </c>
    </row>
    <row r="6792" spans="2:8" ht="13.5" customHeight="1">
      <c r="B6792" t="s">
        <v>12124</v>
      </c>
      <c r="D6792" t="s">
        <v>12227</v>
      </c>
      <c r="F6792" s="76">
        <v>1</v>
      </c>
      <c r="G6792" s="57" t="s">
        <v>13819</v>
      </c>
      <c r="H6792" s="57" t="s">
        <v>7550</v>
      </c>
    </row>
    <row r="6793" spans="2:8" ht="13.5" customHeight="1">
      <c r="B6793" t="s">
        <v>12125</v>
      </c>
      <c r="D6793">
        <v>5025781000</v>
      </c>
      <c r="F6793" s="76">
        <v>1</v>
      </c>
      <c r="G6793" s="57" t="s">
        <v>13819</v>
      </c>
      <c r="H6793" s="57" t="s">
        <v>7550</v>
      </c>
    </row>
    <row r="6794" spans="2:8" ht="13.5" customHeight="1">
      <c r="B6794" t="s">
        <v>12126</v>
      </c>
      <c r="D6794" t="s">
        <v>12228</v>
      </c>
      <c r="F6794" s="76">
        <v>1</v>
      </c>
      <c r="G6794" s="57" t="s">
        <v>13819</v>
      </c>
      <c r="H6794" s="57" t="s">
        <v>7550</v>
      </c>
    </row>
    <row r="6795" spans="2:8" ht="13.5" customHeight="1">
      <c r="B6795" t="s">
        <v>12127</v>
      </c>
      <c r="D6795" t="s">
        <v>12229</v>
      </c>
      <c r="F6795" s="76">
        <v>2</v>
      </c>
      <c r="G6795" s="57" t="s">
        <v>13819</v>
      </c>
      <c r="H6795" s="57" t="s">
        <v>7550</v>
      </c>
    </row>
    <row r="6796" spans="2:8" ht="13.5" customHeight="1">
      <c r="B6796" t="s">
        <v>2086</v>
      </c>
      <c r="D6796" t="s">
        <v>12230</v>
      </c>
      <c r="F6796" s="76">
        <v>2</v>
      </c>
      <c r="G6796" s="57" t="s">
        <v>13819</v>
      </c>
      <c r="H6796" s="57" t="s">
        <v>7550</v>
      </c>
    </row>
    <row r="6797" spans="2:8" ht="13.5" customHeight="1">
      <c r="B6797" t="s">
        <v>12128</v>
      </c>
      <c r="D6797" t="s">
        <v>12231</v>
      </c>
      <c r="F6797" s="76">
        <v>2</v>
      </c>
      <c r="G6797" s="57" t="s">
        <v>13819</v>
      </c>
      <c r="H6797" s="57" t="s">
        <v>7550</v>
      </c>
    </row>
    <row r="6798" spans="2:8" ht="13.5" customHeight="1">
      <c r="B6798" t="s">
        <v>12129</v>
      </c>
      <c r="D6798" t="s">
        <v>12232</v>
      </c>
      <c r="F6798" s="76">
        <v>2</v>
      </c>
      <c r="G6798" s="57" t="s">
        <v>13819</v>
      </c>
      <c r="H6798" s="57" t="s">
        <v>7550</v>
      </c>
    </row>
    <row r="6799" spans="2:8" ht="13.5" customHeight="1">
      <c r="B6799"/>
      <c r="D6799">
        <v>1704936</v>
      </c>
      <c r="F6799" s="76">
        <v>2</v>
      </c>
      <c r="G6799" s="57" t="s">
        <v>13819</v>
      </c>
      <c r="H6799" s="57" t="s">
        <v>7550</v>
      </c>
    </row>
    <row r="6800" spans="2:8" ht="13.5" customHeight="1">
      <c r="B6800"/>
      <c r="D6800" t="s">
        <v>12233</v>
      </c>
      <c r="F6800" s="76">
        <v>2</v>
      </c>
      <c r="G6800" s="57" t="s">
        <v>13819</v>
      </c>
      <c r="H6800" s="57" t="s">
        <v>7550</v>
      </c>
    </row>
    <row r="6801" spans="2:8" ht="13.5" customHeight="1">
      <c r="B6801" t="s">
        <v>12130</v>
      </c>
      <c r="D6801" t="s">
        <v>12234</v>
      </c>
      <c r="F6801" s="76">
        <v>2</v>
      </c>
      <c r="G6801" s="57" t="s">
        <v>13819</v>
      </c>
      <c r="H6801" s="57" t="s">
        <v>7550</v>
      </c>
    </row>
    <row r="6802" spans="2:8" ht="13.5" customHeight="1">
      <c r="B6802" t="s">
        <v>12131</v>
      </c>
      <c r="D6802" t="s">
        <v>12235</v>
      </c>
      <c r="F6802" s="76">
        <v>4</v>
      </c>
      <c r="G6802" s="57" t="s">
        <v>13819</v>
      </c>
      <c r="H6802" s="57" t="s">
        <v>7550</v>
      </c>
    </row>
    <row r="6803" spans="2:8" ht="13.5" customHeight="1">
      <c r="B6803" t="s">
        <v>12132</v>
      </c>
      <c r="D6803" t="s">
        <v>12236</v>
      </c>
      <c r="F6803" s="76">
        <v>4</v>
      </c>
      <c r="G6803" s="57" t="s">
        <v>13819</v>
      </c>
      <c r="H6803" s="57" t="s">
        <v>7550</v>
      </c>
    </row>
    <row r="6804" spans="2:8" ht="13.5" customHeight="1">
      <c r="B6804" t="s">
        <v>12133</v>
      </c>
      <c r="D6804" t="s">
        <v>12237</v>
      </c>
      <c r="F6804" s="76">
        <v>4</v>
      </c>
      <c r="G6804" s="57" t="s">
        <v>13819</v>
      </c>
      <c r="H6804" s="57" t="s">
        <v>7550</v>
      </c>
    </row>
    <row r="6805" spans="2:8" ht="13.5" customHeight="1">
      <c r="B6805" t="s">
        <v>12134</v>
      </c>
      <c r="D6805" t="s">
        <v>12238</v>
      </c>
      <c r="F6805" s="76">
        <v>4</v>
      </c>
      <c r="G6805" s="57" t="s">
        <v>13819</v>
      </c>
      <c r="H6805" s="57" t="s">
        <v>7550</v>
      </c>
    </row>
    <row r="6806" spans="2:8" ht="13.5" customHeight="1">
      <c r="B6806" t="s">
        <v>12135</v>
      </c>
      <c r="D6806" t="s">
        <v>12239</v>
      </c>
      <c r="F6806" s="76">
        <v>4</v>
      </c>
      <c r="G6806" s="57" t="s">
        <v>13819</v>
      </c>
      <c r="H6806" s="57" t="s">
        <v>7550</v>
      </c>
    </row>
    <row r="6807" spans="2:8" ht="13.5" customHeight="1">
      <c r="B6807" t="s">
        <v>12136</v>
      </c>
      <c r="D6807" t="s">
        <v>12240</v>
      </c>
      <c r="F6807" s="76">
        <v>4</v>
      </c>
      <c r="G6807" s="57" t="s">
        <v>13819</v>
      </c>
      <c r="H6807" s="57" t="s">
        <v>7550</v>
      </c>
    </row>
    <row r="6808" spans="2:8" ht="13.5" customHeight="1">
      <c r="B6808" t="s">
        <v>12137</v>
      </c>
      <c r="D6808" t="s">
        <v>12241</v>
      </c>
      <c r="F6808" s="76">
        <v>5</v>
      </c>
      <c r="G6808" s="57" t="s">
        <v>13819</v>
      </c>
      <c r="H6808" s="57" t="s">
        <v>7550</v>
      </c>
    </row>
    <row r="6809" spans="2:8" ht="13.5" customHeight="1">
      <c r="B6809" t="s">
        <v>12138</v>
      </c>
      <c r="D6809" t="s">
        <v>12242</v>
      </c>
      <c r="F6809" s="76">
        <v>5</v>
      </c>
      <c r="G6809" s="57" t="s">
        <v>13819</v>
      </c>
      <c r="H6809" s="57" t="s">
        <v>7550</v>
      </c>
    </row>
    <row r="6810" spans="2:8" ht="13.5" customHeight="1">
      <c r="B6810" t="s">
        <v>12139</v>
      </c>
      <c r="D6810">
        <v>7448041104</v>
      </c>
      <c r="F6810" s="76">
        <v>6</v>
      </c>
      <c r="G6810" s="57" t="s">
        <v>13819</v>
      </c>
      <c r="H6810" s="57" t="s">
        <v>7550</v>
      </c>
    </row>
    <row r="6811" spans="2:8" ht="13.5" customHeight="1">
      <c r="B6811" t="s">
        <v>12140</v>
      </c>
      <c r="D6811" t="s">
        <v>12243</v>
      </c>
      <c r="F6811" s="76">
        <v>6</v>
      </c>
      <c r="G6811" s="57" t="s">
        <v>13819</v>
      </c>
      <c r="H6811" s="57" t="s">
        <v>7550</v>
      </c>
    </row>
    <row r="6812" spans="2:8" ht="13.5" customHeight="1">
      <c r="B6812" t="s">
        <v>12141</v>
      </c>
      <c r="D6812" t="s">
        <v>12244</v>
      </c>
      <c r="F6812" s="76">
        <v>6</v>
      </c>
      <c r="G6812" s="57" t="s">
        <v>13819</v>
      </c>
      <c r="H6812" s="57" t="s">
        <v>7550</v>
      </c>
    </row>
    <row r="6813" spans="2:8" ht="13.5" customHeight="1">
      <c r="B6813" t="s">
        <v>12142</v>
      </c>
      <c r="D6813" t="s">
        <v>12245</v>
      </c>
      <c r="F6813" s="76">
        <v>6</v>
      </c>
      <c r="G6813" s="57" t="s">
        <v>13819</v>
      </c>
      <c r="H6813" s="57" t="s">
        <v>7550</v>
      </c>
    </row>
    <row r="6814" spans="2:8" ht="13.5" customHeight="1">
      <c r="B6814" t="s">
        <v>2086</v>
      </c>
      <c r="D6814" t="s">
        <v>12246</v>
      </c>
      <c r="F6814" s="76">
        <v>8</v>
      </c>
      <c r="G6814" s="57" t="s">
        <v>13819</v>
      </c>
      <c r="H6814" s="57" t="s">
        <v>7550</v>
      </c>
    </row>
    <row r="6815" spans="2:8" ht="13.5" customHeight="1">
      <c r="B6815" t="s">
        <v>12143</v>
      </c>
      <c r="D6815" t="s">
        <v>12247</v>
      </c>
      <c r="F6815" s="76">
        <v>8</v>
      </c>
      <c r="G6815" s="57" t="s">
        <v>13819</v>
      </c>
      <c r="H6815" s="57" t="s">
        <v>7550</v>
      </c>
    </row>
    <row r="6816" spans="2:8" ht="13.5" customHeight="1">
      <c r="B6816" t="s">
        <v>12144</v>
      </c>
      <c r="D6816" t="s">
        <v>12248</v>
      </c>
      <c r="F6816" s="76">
        <v>10</v>
      </c>
      <c r="G6816" s="57" t="s">
        <v>13819</v>
      </c>
      <c r="H6816" s="57" t="s">
        <v>7550</v>
      </c>
    </row>
    <row r="6817" spans="2:8" ht="13.5" customHeight="1">
      <c r="B6817"/>
      <c r="D6817" t="s">
        <v>12249</v>
      </c>
      <c r="F6817" s="76">
        <v>11</v>
      </c>
      <c r="G6817" s="57" t="s">
        <v>13819</v>
      </c>
      <c r="H6817" s="57" t="s">
        <v>7550</v>
      </c>
    </row>
    <row r="6818" spans="2:8" ht="13.5" customHeight="1">
      <c r="B6818" t="s">
        <v>12145</v>
      </c>
      <c r="D6818" t="s">
        <v>12250</v>
      </c>
      <c r="F6818" s="76">
        <v>12</v>
      </c>
      <c r="G6818" s="57" t="s">
        <v>13819</v>
      </c>
      <c r="H6818" s="57" t="s">
        <v>7550</v>
      </c>
    </row>
    <row r="6819" spans="2:8" ht="13.5" customHeight="1">
      <c r="B6819" t="s">
        <v>12146</v>
      </c>
      <c r="D6819" t="s">
        <v>12251</v>
      </c>
      <c r="F6819" s="76">
        <v>12</v>
      </c>
      <c r="G6819" s="57" t="s">
        <v>13819</v>
      </c>
      <c r="H6819" s="57" t="s">
        <v>7550</v>
      </c>
    </row>
    <row r="6820" spans="2:8" ht="13.5" customHeight="1">
      <c r="B6820" t="s">
        <v>12147</v>
      </c>
      <c r="D6820" t="s">
        <v>12252</v>
      </c>
      <c r="F6820" s="76">
        <v>20</v>
      </c>
      <c r="G6820" s="57" t="s">
        <v>13819</v>
      </c>
      <c r="H6820" s="57" t="s">
        <v>7550</v>
      </c>
    </row>
    <row r="6821" spans="2:8" ht="13.5" customHeight="1">
      <c r="B6821" t="s">
        <v>12148</v>
      </c>
      <c r="D6821" t="s">
        <v>12253</v>
      </c>
      <c r="F6821" s="76">
        <v>20</v>
      </c>
      <c r="G6821" s="57" t="s">
        <v>13819</v>
      </c>
      <c r="H6821" s="57" t="s">
        <v>7550</v>
      </c>
    </row>
    <row r="6822" spans="2:8" ht="13.5" customHeight="1">
      <c r="B6822" t="s">
        <v>12149</v>
      </c>
      <c r="D6822" t="s">
        <v>12254</v>
      </c>
      <c r="F6822" s="76">
        <v>23</v>
      </c>
      <c r="G6822" s="57" t="s">
        <v>13819</v>
      </c>
      <c r="H6822" s="57" t="s">
        <v>7550</v>
      </c>
    </row>
    <row r="6823" spans="2:8" ht="13.5" customHeight="1">
      <c r="B6823"/>
      <c r="D6823" t="s">
        <v>12255</v>
      </c>
      <c r="F6823" s="76">
        <v>23</v>
      </c>
      <c r="G6823" s="57" t="s">
        <v>13819</v>
      </c>
      <c r="H6823" s="57" t="s">
        <v>7550</v>
      </c>
    </row>
    <row r="6824" spans="2:8" ht="13.5" customHeight="1">
      <c r="B6824" t="s">
        <v>12150</v>
      </c>
      <c r="D6824" t="s">
        <v>12256</v>
      </c>
      <c r="F6824" s="76">
        <v>35</v>
      </c>
      <c r="G6824" s="57" t="s">
        <v>13819</v>
      </c>
      <c r="H6824" s="57" t="s">
        <v>7550</v>
      </c>
    </row>
    <row r="6825" spans="2:8" ht="13.5" customHeight="1">
      <c r="B6825" t="s">
        <v>6946</v>
      </c>
      <c r="D6825" t="s">
        <v>12257</v>
      </c>
      <c r="F6825" s="76">
        <v>37</v>
      </c>
      <c r="G6825" s="57" t="s">
        <v>13819</v>
      </c>
      <c r="H6825" s="57" t="s">
        <v>7550</v>
      </c>
    </row>
    <row r="6826" spans="2:8" ht="13.5" customHeight="1">
      <c r="B6826" t="s">
        <v>12151</v>
      </c>
      <c r="D6826" t="s">
        <v>12258</v>
      </c>
      <c r="F6826" s="76">
        <v>52</v>
      </c>
      <c r="G6826" s="57" t="s">
        <v>13819</v>
      </c>
      <c r="H6826" s="57" t="s">
        <v>7550</v>
      </c>
    </row>
    <row r="6827" spans="2:8" ht="13.5" customHeight="1">
      <c r="B6827" t="s">
        <v>12152</v>
      </c>
      <c r="D6827" t="s">
        <v>12259</v>
      </c>
      <c r="F6827" s="76">
        <v>55</v>
      </c>
      <c r="G6827" s="57" t="s">
        <v>13819</v>
      </c>
      <c r="H6827" s="57" t="s">
        <v>7550</v>
      </c>
    </row>
    <row r="6828" spans="2:8" ht="13.5" customHeight="1">
      <c r="B6828" t="s">
        <v>12134</v>
      </c>
      <c r="D6828" t="s">
        <v>12260</v>
      </c>
      <c r="F6828" s="76">
        <v>65</v>
      </c>
      <c r="G6828" s="57" t="s">
        <v>13819</v>
      </c>
      <c r="H6828" s="57" t="s">
        <v>7550</v>
      </c>
    </row>
    <row r="6829" spans="2:8" ht="13.5" customHeight="1">
      <c r="B6829" t="s">
        <v>12153</v>
      </c>
      <c r="D6829" t="s">
        <v>12261</v>
      </c>
      <c r="F6829" s="76">
        <v>161</v>
      </c>
      <c r="G6829" s="57" t="s">
        <v>13819</v>
      </c>
      <c r="H6829" s="57" t="s">
        <v>7550</v>
      </c>
    </row>
    <row r="6830" spans="2:8" ht="13.5" customHeight="1">
      <c r="B6830" t="s">
        <v>12154</v>
      </c>
      <c r="D6830" t="s">
        <v>12262</v>
      </c>
      <c r="F6830" s="76">
        <v>226</v>
      </c>
      <c r="G6830" s="57" t="s">
        <v>13819</v>
      </c>
      <c r="H6830" s="57" t="s">
        <v>7550</v>
      </c>
    </row>
    <row r="6831" spans="2:8" ht="13.5" customHeight="1">
      <c r="B6831" t="s">
        <v>12144</v>
      </c>
      <c r="D6831" t="s">
        <v>12263</v>
      </c>
      <c r="F6831" s="76">
        <v>777</v>
      </c>
      <c r="G6831" s="57" t="s">
        <v>13819</v>
      </c>
      <c r="H6831" s="57" t="s">
        <v>7550</v>
      </c>
    </row>
    <row r="6832" spans="2:8" ht="13.5" customHeight="1">
      <c r="B6832" t="s">
        <v>12155</v>
      </c>
      <c r="D6832">
        <v>1751189</v>
      </c>
      <c r="F6832" s="76">
        <v>1</v>
      </c>
      <c r="G6832" s="57" t="s">
        <v>13819</v>
      </c>
      <c r="H6832" s="57" t="s">
        <v>13779</v>
      </c>
    </row>
    <row r="6833" spans="2:8" ht="13.5" customHeight="1">
      <c r="B6833" t="s">
        <v>12156</v>
      </c>
      <c r="D6833" t="s">
        <v>12156</v>
      </c>
      <c r="F6833" s="76">
        <v>1</v>
      </c>
      <c r="G6833" s="57" t="s">
        <v>13819</v>
      </c>
      <c r="H6833" s="57" t="s">
        <v>13779</v>
      </c>
    </row>
    <row r="6834" spans="2:8" ht="13.5" customHeight="1">
      <c r="B6834" t="s">
        <v>12157</v>
      </c>
      <c r="D6834" t="s">
        <v>12264</v>
      </c>
      <c r="F6834" s="76">
        <v>1</v>
      </c>
      <c r="G6834" s="57" t="s">
        <v>13819</v>
      </c>
      <c r="H6834" s="57" t="s">
        <v>13779</v>
      </c>
    </row>
    <row r="6835" spans="2:8" ht="13.5" customHeight="1">
      <c r="B6835" t="s">
        <v>12158</v>
      </c>
      <c r="D6835" t="s">
        <v>12265</v>
      </c>
      <c r="F6835" s="76">
        <v>1</v>
      </c>
      <c r="G6835" s="57" t="s">
        <v>13819</v>
      </c>
      <c r="H6835" s="57" t="s">
        <v>13779</v>
      </c>
    </row>
    <row r="6836" spans="2:8" ht="13.5" customHeight="1">
      <c r="B6836" t="s">
        <v>12159</v>
      </c>
      <c r="D6836" t="s">
        <v>12266</v>
      </c>
      <c r="F6836" s="76">
        <v>1</v>
      </c>
      <c r="G6836" s="57" t="s">
        <v>13819</v>
      </c>
      <c r="H6836" s="57" t="s">
        <v>13779</v>
      </c>
    </row>
    <row r="6837" spans="2:8" ht="13.5" customHeight="1">
      <c r="B6837" t="s">
        <v>12160</v>
      </c>
      <c r="D6837" t="s">
        <v>12267</v>
      </c>
      <c r="F6837" s="76">
        <v>1</v>
      </c>
      <c r="G6837" s="57" t="s">
        <v>13819</v>
      </c>
      <c r="H6837" s="57" t="s">
        <v>13779</v>
      </c>
    </row>
    <row r="6838" spans="2:8" ht="13.5" customHeight="1">
      <c r="B6838" t="s">
        <v>12161</v>
      </c>
      <c r="D6838" t="s">
        <v>12268</v>
      </c>
      <c r="F6838" s="76">
        <v>1</v>
      </c>
      <c r="G6838" s="57" t="s">
        <v>13819</v>
      </c>
      <c r="H6838" s="57" t="s">
        <v>13779</v>
      </c>
    </row>
    <row r="6839" spans="2:8" ht="13.5" customHeight="1">
      <c r="B6839" t="s">
        <v>11212</v>
      </c>
      <c r="D6839" t="s">
        <v>12269</v>
      </c>
      <c r="F6839" s="76">
        <v>2</v>
      </c>
      <c r="G6839" s="57" t="s">
        <v>13819</v>
      </c>
      <c r="H6839" s="57" t="s">
        <v>13779</v>
      </c>
    </row>
    <row r="6840" spans="2:8" ht="13.5" customHeight="1">
      <c r="B6840" t="s">
        <v>12162</v>
      </c>
      <c r="D6840" t="s">
        <v>12270</v>
      </c>
      <c r="F6840" s="76">
        <v>2</v>
      </c>
      <c r="G6840" s="57" t="s">
        <v>13819</v>
      </c>
      <c r="H6840" s="57" t="s">
        <v>13779</v>
      </c>
    </row>
    <row r="6841" spans="2:8" ht="13.5" customHeight="1">
      <c r="B6841" t="s">
        <v>10319</v>
      </c>
      <c r="D6841" t="s">
        <v>12271</v>
      </c>
      <c r="F6841" s="76">
        <v>2</v>
      </c>
      <c r="G6841" s="57" t="s">
        <v>13819</v>
      </c>
      <c r="H6841" s="57" t="s">
        <v>13779</v>
      </c>
    </row>
    <row r="6842" spans="2:8" ht="13.5" customHeight="1">
      <c r="B6842" t="s">
        <v>12163</v>
      </c>
      <c r="D6842">
        <v>733660061</v>
      </c>
      <c r="F6842" s="76">
        <v>2</v>
      </c>
      <c r="G6842" s="57" t="s">
        <v>13819</v>
      </c>
      <c r="H6842" s="57" t="s">
        <v>13779</v>
      </c>
    </row>
    <row r="6843" spans="2:8" ht="13.5" customHeight="1">
      <c r="B6843" t="s">
        <v>12164</v>
      </c>
      <c r="D6843" t="s">
        <v>12272</v>
      </c>
      <c r="F6843" s="76">
        <v>2</v>
      </c>
      <c r="G6843" s="57" t="s">
        <v>13819</v>
      </c>
      <c r="H6843" s="57" t="s">
        <v>13779</v>
      </c>
    </row>
    <row r="6844" spans="2:8" ht="13.5" customHeight="1">
      <c r="B6844" t="s">
        <v>12165</v>
      </c>
      <c r="D6844" t="s">
        <v>12273</v>
      </c>
      <c r="F6844" s="76">
        <v>2</v>
      </c>
      <c r="G6844" s="57" t="s">
        <v>13819</v>
      </c>
      <c r="H6844" s="57" t="s">
        <v>13779</v>
      </c>
    </row>
    <row r="6845" spans="2:8" ht="13.5" customHeight="1">
      <c r="B6845" t="s">
        <v>11496</v>
      </c>
      <c r="D6845" t="s">
        <v>12274</v>
      </c>
      <c r="F6845" s="76">
        <v>2</v>
      </c>
      <c r="G6845" s="57" t="s">
        <v>13819</v>
      </c>
      <c r="H6845" s="57" t="s">
        <v>13779</v>
      </c>
    </row>
    <row r="6846" spans="2:8" ht="13.5" customHeight="1">
      <c r="B6846" t="s">
        <v>12166</v>
      </c>
      <c r="D6846" t="s">
        <v>12275</v>
      </c>
      <c r="F6846" s="76">
        <v>2</v>
      </c>
      <c r="G6846" s="57" t="s">
        <v>13819</v>
      </c>
      <c r="H6846" s="57" t="s">
        <v>13779</v>
      </c>
    </row>
    <row r="6847" spans="2:8" ht="13.5" customHeight="1">
      <c r="B6847" t="s">
        <v>12167</v>
      </c>
      <c r="D6847" t="s">
        <v>12276</v>
      </c>
      <c r="F6847" s="76">
        <v>2</v>
      </c>
      <c r="G6847" s="57" t="s">
        <v>13819</v>
      </c>
      <c r="H6847" s="57" t="s">
        <v>13779</v>
      </c>
    </row>
    <row r="6848" spans="2:8" ht="13.5" customHeight="1">
      <c r="B6848" t="s">
        <v>12168</v>
      </c>
      <c r="D6848" t="s">
        <v>12277</v>
      </c>
      <c r="F6848" s="76">
        <v>2</v>
      </c>
      <c r="G6848" s="57" t="s">
        <v>13819</v>
      </c>
      <c r="H6848" s="57" t="s">
        <v>13779</v>
      </c>
    </row>
    <row r="6849" spans="2:8" ht="13.5" customHeight="1">
      <c r="B6849" t="s">
        <v>12169</v>
      </c>
      <c r="D6849" t="s">
        <v>12278</v>
      </c>
      <c r="F6849" s="76">
        <v>3</v>
      </c>
      <c r="G6849" s="57" t="s">
        <v>13819</v>
      </c>
      <c r="H6849" s="57" t="s">
        <v>13779</v>
      </c>
    </row>
    <row r="6850" spans="2:8" ht="13.5" customHeight="1">
      <c r="B6850" t="s">
        <v>12170</v>
      </c>
      <c r="D6850" t="s">
        <v>12279</v>
      </c>
      <c r="F6850" s="76">
        <v>3</v>
      </c>
      <c r="G6850" s="57" t="s">
        <v>13819</v>
      </c>
      <c r="H6850" s="57" t="s">
        <v>13779</v>
      </c>
    </row>
    <row r="6851" spans="2:8" ht="13.5" customHeight="1">
      <c r="B6851" t="s">
        <v>12171</v>
      </c>
      <c r="D6851" t="s">
        <v>12280</v>
      </c>
      <c r="F6851" s="76">
        <v>3</v>
      </c>
      <c r="G6851" s="57" t="s">
        <v>13819</v>
      </c>
      <c r="H6851" s="57" t="s">
        <v>13779</v>
      </c>
    </row>
    <row r="6852" spans="2:8" ht="13.5" customHeight="1">
      <c r="B6852" t="s">
        <v>12172</v>
      </c>
      <c r="D6852" t="s">
        <v>12172</v>
      </c>
      <c r="F6852" s="76">
        <v>3</v>
      </c>
      <c r="G6852" s="57" t="s">
        <v>13819</v>
      </c>
      <c r="H6852" s="57" t="s">
        <v>13779</v>
      </c>
    </row>
    <row r="6853" spans="2:8" ht="13.5" customHeight="1">
      <c r="B6853" t="s">
        <v>12173</v>
      </c>
      <c r="D6853" t="s">
        <v>12281</v>
      </c>
      <c r="F6853" s="76">
        <v>3</v>
      </c>
      <c r="G6853" s="57" t="s">
        <v>13819</v>
      </c>
      <c r="H6853" s="57" t="s">
        <v>13779</v>
      </c>
    </row>
    <row r="6854" spans="2:8" ht="13.5" customHeight="1">
      <c r="B6854" t="s">
        <v>12174</v>
      </c>
      <c r="D6854" t="s">
        <v>12282</v>
      </c>
      <c r="F6854" s="76">
        <v>4</v>
      </c>
      <c r="G6854" s="57" t="s">
        <v>13819</v>
      </c>
      <c r="H6854" s="57" t="s">
        <v>13779</v>
      </c>
    </row>
    <row r="6855" spans="2:8" ht="13.5" customHeight="1">
      <c r="B6855" s="204" t="s">
        <v>12175</v>
      </c>
      <c r="D6855" s="205" t="s">
        <v>12283</v>
      </c>
      <c r="F6855" s="76">
        <v>4</v>
      </c>
      <c r="G6855" s="57" t="s">
        <v>13819</v>
      </c>
      <c r="H6855" s="57" t="s">
        <v>13779</v>
      </c>
    </row>
    <row r="6856" spans="2:8" ht="13.5" customHeight="1">
      <c r="B6856" t="s">
        <v>12176</v>
      </c>
      <c r="D6856" t="s">
        <v>12284</v>
      </c>
      <c r="F6856" s="76">
        <v>7</v>
      </c>
      <c r="G6856" s="57" t="s">
        <v>13819</v>
      </c>
      <c r="H6856" s="57" t="s">
        <v>13779</v>
      </c>
    </row>
    <row r="6857" spans="2:8" ht="13.5" customHeight="1">
      <c r="B6857" t="s">
        <v>12177</v>
      </c>
      <c r="D6857">
        <v>5031481690</v>
      </c>
      <c r="F6857" s="76">
        <v>8</v>
      </c>
      <c r="G6857" s="57" t="s">
        <v>13819</v>
      </c>
      <c r="H6857" s="57" t="s">
        <v>13779</v>
      </c>
    </row>
    <row r="6858" spans="2:8" ht="13.5" customHeight="1">
      <c r="B6858" t="s">
        <v>12178</v>
      </c>
      <c r="D6858" t="s">
        <v>12285</v>
      </c>
      <c r="F6858" s="76">
        <v>9</v>
      </c>
      <c r="G6858" s="57" t="s">
        <v>13819</v>
      </c>
      <c r="H6858" s="57" t="s">
        <v>13779</v>
      </c>
    </row>
    <row r="6859" spans="2:8" ht="13.5" customHeight="1">
      <c r="B6859" t="s">
        <v>12179</v>
      </c>
      <c r="D6859" t="s">
        <v>12286</v>
      </c>
      <c r="F6859" s="76">
        <v>10</v>
      </c>
      <c r="G6859" s="57" t="s">
        <v>13819</v>
      </c>
      <c r="H6859" s="57" t="s">
        <v>13779</v>
      </c>
    </row>
    <row r="6860" spans="2:8" ht="13.5" customHeight="1">
      <c r="B6860" t="s">
        <v>12180</v>
      </c>
      <c r="D6860" t="s">
        <v>12287</v>
      </c>
      <c r="F6860" s="76">
        <v>10</v>
      </c>
      <c r="G6860" s="57" t="s">
        <v>13819</v>
      </c>
      <c r="H6860" s="57" t="s">
        <v>13779</v>
      </c>
    </row>
    <row r="6861" spans="2:8" ht="13.5" customHeight="1">
      <c r="B6861" t="s">
        <v>12181</v>
      </c>
      <c r="D6861" t="s">
        <v>12288</v>
      </c>
      <c r="F6861" s="76">
        <v>10</v>
      </c>
      <c r="G6861" s="57" t="s">
        <v>13819</v>
      </c>
      <c r="H6861" s="57" t="s">
        <v>13779</v>
      </c>
    </row>
    <row r="6862" spans="2:8" ht="13.5" customHeight="1">
      <c r="B6862" t="s">
        <v>12182</v>
      </c>
      <c r="D6862" t="s">
        <v>12289</v>
      </c>
      <c r="F6862" s="76">
        <v>10</v>
      </c>
      <c r="G6862" s="57" t="s">
        <v>13819</v>
      </c>
      <c r="H6862" s="57" t="s">
        <v>13779</v>
      </c>
    </row>
    <row r="6863" spans="2:8" ht="13.5" customHeight="1">
      <c r="B6863" t="s">
        <v>12183</v>
      </c>
      <c r="D6863" t="s">
        <v>12290</v>
      </c>
      <c r="F6863" s="76">
        <v>10</v>
      </c>
      <c r="G6863" s="57" t="s">
        <v>13819</v>
      </c>
      <c r="H6863" s="57" t="s">
        <v>13779</v>
      </c>
    </row>
    <row r="6864" spans="2:8" ht="13.5" customHeight="1">
      <c r="B6864" t="s">
        <v>9696</v>
      </c>
      <c r="D6864" t="s">
        <v>12291</v>
      </c>
      <c r="F6864" s="76">
        <v>16</v>
      </c>
      <c r="G6864" s="57" t="s">
        <v>13819</v>
      </c>
      <c r="H6864" s="57" t="s">
        <v>13779</v>
      </c>
    </row>
    <row r="6865" spans="2:8" ht="13.5" customHeight="1">
      <c r="B6865" t="s">
        <v>12184</v>
      </c>
      <c r="D6865" t="s">
        <v>12292</v>
      </c>
      <c r="F6865" s="76">
        <v>2</v>
      </c>
      <c r="G6865" s="57" t="s">
        <v>13819</v>
      </c>
      <c r="H6865" s="57" t="s">
        <v>13780</v>
      </c>
    </row>
    <row r="6866" spans="2:8" ht="13.5" customHeight="1">
      <c r="B6866" t="s">
        <v>12185</v>
      </c>
      <c r="D6866" t="s">
        <v>12293</v>
      </c>
      <c r="F6866" s="76">
        <v>2</v>
      </c>
      <c r="G6866" s="57" t="s">
        <v>13819</v>
      </c>
      <c r="H6866" s="57" t="s">
        <v>13780</v>
      </c>
    </row>
    <row r="6867" spans="2:8" ht="13.5" customHeight="1">
      <c r="B6867" t="s">
        <v>12186</v>
      </c>
      <c r="D6867" t="s">
        <v>12294</v>
      </c>
      <c r="F6867" s="76">
        <v>2</v>
      </c>
      <c r="G6867" s="57" t="s">
        <v>13819</v>
      </c>
      <c r="H6867" s="57" t="s">
        <v>13780</v>
      </c>
    </row>
    <row r="6868" spans="2:8" ht="13.5" customHeight="1">
      <c r="B6868" t="s">
        <v>12187</v>
      </c>
      <c r="D6868" t="s">
        <v>12295</v>
      </c>
      <c r="F6868" s="76">
        <v>2</v>
      </c>
      <c r="G6868" s="57" t="s">
        <v>13819</v>
      </c>
      <c r="H6868" s="57" t="s">
        <v>13780</v>
      </c>
    </row>
    <row r="6869" spans="2:8" ht="13.5" customHeight="1">
      <c r="B6869" t="s">
        <v>12188</v>
      </c>
      <c r="D6869" t="s">
        <v>12296</v>
      </c>
      <c r="F6869" s="76">
        <v>2</v>
      </c>
      <c r="G6869" s="57" t="s">
        <v>13819</v>
      </c>
      <c r="H6869" s="57" t="s">
        <v>13780</v>
      </c>
    </row>
    <row r="6870" spans="2:8" ht="13.5" customHeight="1">
      <c r="B6870" t="s">
        <v>774</v>
      </c>
      <c r="D6870" t="s">
        <v>12297</v>
      </c>
      <c r="F6870" s="76">
        <v>3</v>
      </c>
      <c r="G6870" s="57" t="s">
        <v>13819</v>
      </c>
      <c r="H6870" s="57" t="s">
        <v>13780</v>
      </c>
    </row>
    <row r="6871" spans="2:8" ht="13.5" customHeight="1">
      <c r="B6871" t="s">
        <v>12189</v>
      </c>
      <c r="D6871" t="s">
        <v>12298</v>
      </c>
      <c r="F6871" s="76">
        <v>4</v>
      </c>
      <c r="G6871" s="57" t="s">
        <v>13819</v>
      </c>
      <c r="H6871" s="57" t="s">
        <v>13780</v>
      </c>
    </row>
    <row r="6872" spans="2:8" ht="13.5" customHeight="1">
      <c r="B6872" t="s">
        <v>12190</v>
      </c>
      <c r="D6872" t="s">
        <v>12299</v>
      </c>
      <c r="F6872" s="76">
        <v>5</v>
      </c>
      <c r="G6872" s="57" t="s">
        <v>13819</v>
      </c>
      <c r="H6872" s="57" t="s">
        <v>13780</v>
      </c>
    </row>
    <row r="6873" spans="2:8" ht="13.5" customHeight="1">
      <c r="B6873" t="s">
        <v>12191</v>
      </c>
      <c r="D6873" t="s">
        <v>12300</v>
      </c>
      <c r="F6873" s="76">
        <v>5</v>
      </c>
      <c r="G6873" s="57" t="s">
        <v>13819</v>
      </c>
      <c r="H6873" s="57" t="s">
        <v>13780</v>
      </c>
    </row>
    <row r="6874" spans="2:8" ht="13.5" customHeight="1">
      <c r="B6874" t="s">
        <v>12192</v>
      </c>
      <c r="D6874" t="s">
        <v>12301</v>
      </c>
      <c r="F6874" s="76">
        <v>6</v>
      </c>
      <c r="G6874" s="57" t="s">
        <v>13819</v>
      </c>
      <c r="H6874" s="57" t="s">
        <v>13780</v>
      </c>
    </row>
    <row r="6875" spans="2:8" ht="13.5" customHeight="1">
      <c r="B6875" t="s">
        <v>12193</v>
      </c>
      <c r="D6875" t="s">
        <v>12302</v>
      </c>
      <c r="F6875" s="76">
        <v>6</v>
      </c>
      <c r="G6875" s="57" t="s">
        <v>13819</v>
      </c>
      <c r="H6875" s="57" t="s">
        <v>13780</v>
      </c>
    </row>
    <row r="6876" spans="2:8" ht="13.5" customHeight="1">
      <c r="B6876" t="s">
        <v>12194</v>
      </c>
      <c r="D6876" t="s">
        <v>12303</v>
      </c>
      <c r="F6876" s="76">
        <v>9</v>
      </c>
      <c r="G6876" s="57" t="s">
        <v>13819</v>
      </c>
      <c r="H6876" s="57" t="s">
        <v>13780</v>
      </c>
    </row>
    <row r="6877" spans="2:8" ht="13.5" customHeight="1">
      <c r="B6877" t="s">
        <v>12195</v>
      </c>
      <c r="D6877" t="s">
        <v>12304</v>
      </c>
      <c r="F6877" s="76">
        <v>10</v>
      </c>
      <c r="G6877" s="57" t="s">
        <v>13819</v>
      </c>
      <c r="H6877" s="57" t="s">
        <v>13780</v>
      </c>
    </row>
    <row r="6878" spans="2:8" ht="13.5" customHeight="1">
      <c r="B6878" t="s">
        <v>9380</v>
      </c>
      <c r="D6878" t="s">
        <v>9502</v>
      </c>
      <c r="F6878" s="76">
        <v>10</v>
      </c>
      <c r="G6878" s="57" t="s">
        <v>13819</v>
      </c>
      <c r="H6878" s="57" t="s">
        <v>13780</v>
      </c>
    </row>
    <row r="6879" spans="2:8" ht="13.5" customHeight="1">
      <c r="B6879" t="s">
        <v>5200</v>
      </c>
      <c r="D6879" t="s">
        <v>12305</v>
      </c>
      <c r="F6879" s="76">
        <v>10</v>
      </c>
      <c r="G6879" s="57" t="s">
        <v>13819</v>
      </c>
      <c r="H6879" s="57" t="s">
        <v>13780</v>
      </c>
    </row>
    <row r="6880" spans="2:8" ht="13.5" customHeight="1">
      <c r="B6880" t="s">
        <v>12196</v>
      </c>
      <c r="D6880" t="s">
        <v>12306</v>
      </c>
      <c r="F6880" s="76">
        <v>13</v>
      </c>
      <c r="G6880" s="57" t="s">
        <v>13819</v>
      </c>
      <c r="H6880" s="57" t="s">
        <v>13780</v>
      </c>
    </row>
    <row r="6881" spans="2:8" ht="13.5" customHeight="1">
      <c r="B6881" t="s">
        <v>12197</v>
      </c>
      <c r="D6881" t="s">
        <v>12307</v>
      </c>
      <c r="F6881" s="76">
        <v>15</v>
      </c>
      <c r="G6881" s="57" t="s">
        <v>13819</v>
      </c>
      <c r="H6881" s="57" t="s">
        <v>13780</v>
      </c>
    </row>
    <row r="6882" spans="2:8" ht="13.5" customHeight="1">
      <c r="B6882" t="s">
        <v>12198</v>
      </c>
      <c r="D6882" t="s">
        <v>12308</v>
      </c>
      <c r="F6882" s="76">
        <v>21</v>
      </c>
      <c r="G6882" s="57" t="s">
        <v>13819</v>
      </c>
      <c r="H6882" s="57" t="s">
        <v>13780</v>
      </c>
    </row>
    <row r="6883" spans="2:8" ht="13.5" customHeight="1">
      <c r="B6883" t="s">
        <v>12199</v>
      </c>
      <c r="D6883" t="s">
        <v>12309</v>
      </c>
      <c r="F6883" s="76">
        <v>23</v>
      </c>
      <c r="G6883" s="57" t="s">
        <v>13819</v>
      </c>
      <c r="H6883" s="57" t="s">
        <v>13780</v>
      </c>
    </row>
    <row r="6884" spans="2:8" ht="13.5" customHeight="1">
      <c r="B6884" t="s">
        <v>10249</v>
      </c>
      <c r="D6884" t="s">
        <v>12310</v>
      </c>
      <c r="F6884" s="76">
        <v>35</v>
      </c>
      <c r="G6884" s="57" t="s">
        <v>13819</v>
      </c>
      <c r="H6884" s="57" t="s">
        <v>13780</v>
      </c>
    </row>
    <row r="6885" spans="2:8" ht="13.5" customHeight="1">
      <c r="B6885" t="s">
        <v>12200</v>
      </c>
      <c r="D6885" t="s">
        <v>12311</v>
      </c>
      <c r="F6885" s="76">
        <v>39</v>
      </c>
      <c r="G6885" s="57" t="s">
        <v>13819</v>
      </c>
      <c r="H6885" s="57" t="s">
        <v>13780</v>
      </c>
    </row>
    <row r="6886" spans="2:8" ht="13.5" customHeight="1">
      <c r="B6886" t="s">
        <v>12145</v>
      </c>
      <c r="D6886" t="s">
        <v>12312</v>
      </c>
      <c r="F6886" s="76">
        <v>45</v>
      </c>
      <c r="G6886" s="57" t="s">
        <v>13819</v>
      </c>
      <c r="H6886" s="57" t="s">
        <v>13780</v>
      </c>
    </row>
    <row r="6887" spans="2:8" ht="13.5" customHeight="1">
      <c r="B6887" t="s">
        <v>12201</v>
      </c>
      <c r="D6887" t="s">
        <v>12313</v>
      </c>
      <c r="F6887" s="76">
        <v>48</v>
      </c>
      <c r="G6887" s="57" t="s">
        <v>13819</v>
      </c>
      <c r="H6887" s="57" t="s">
        <v>13780</v>
      </c>
    </row>
    <row r="6888" spans="2:8" ht="13.5" customHeight="1">
      <c r="B6888" t="s">
        <v>12202</v>
      </c>
      <c r="D6888" t="s">
        <v>12314</v>
      </c>
      <c r="F6888" s="76">
        <v>50</v>
      </c>
      <c r="G6888" s="57" t="s">
        <v>13819</v>
      </c>
      <c r="H6888" s="57" t="s">
        <v>13780</v>
      </c>
    </row>
    <row r="6889" spans="2:8" ht="13.5" customHeight="1">
      <c r="B6889" t="s">
        <v>12203</v>
      </c>
      <c r="D6889" t="s">
        <v>12315</v>
      </c>
      <c r="F6889" s="76">
        <v>68</v>
      </c>
      <c r="G6889" s="57" t="s">
        <v>13819</v>
      </c>
      <c r="H6889" s="57" t="s">
        <v>13780</v>
      </c>
    </row>
    <row r="6890" spans="2:8" ht="13.5" customHeight="1">
      <c r="B6890" t="s">
        <v>12204</v>
      </c>
      <c r="D6890">
        <v>8996</v>
      </c>
      <c r="F6890" s="76">
        <v>110</v>
      </c>
      <c r="G6890" s="57" t="s">
        <v>13819</v>
      </c>
      <c r="H6890" s="57" t="s">
        <v>13780</v>
      </c>
    </row>
    <row r="6891" spans="2:8" ht="13.5" customHeight="1">
      <c r="B6891" t="s">
        <v>10249</v>
      </c>
      <c r="D6891" t="s">
        <v>12316</v>
      </c>
      <c r="F6891" s="76">
        <v>119</v>
      </c>
      <c r="G6891" s="57" t="s">
        <v>13819</v>
      </c>
      <c r="H6891" s="57" t="s">
        <v>13780</v>
      </c>
    </row>
    <row r="6892" spans="2:8" ht="13.5" customHeight="1">
      <c r="B6892" t="s">
        <v>12205</v>
      </c>
      <c r="D6892" t="s">
        <v>6313</v>
      </c>
      <c r="F6892" s="76">
        <v>315</v>
      </c>
      <c r="G6892" s="57" t="s">
        <v>13819</v>
      </c>
      <c r="H6892" s="57" t="s">
        <v>13780</v>
      </c>
    </row>
    <row r="6893" spans="2:8" ht="13.5" customHeight="1">
      <c r="B6893" t="s">
        <v>9387</v>
      </c>
      <c r="D6893" t="s">
        <v>9509</v>
      </c>
      <c r="F6893" s="76">
        <v>1457</v>
      </c>
      <c r="G6893" s="57" t="s">
        <v>13819</v>
      </c>
      <c r="H6893" s="57" t="s">
        <v>13780</v>
      </c>
    </row>
    <row r="6894" spans="2:8" ht="13.5" customHeight="1">
      <c r="B6894" t="s">
        <v>12206</v>
      </c>
      <c r="D6894" t="s">
        <v>12317</v>
      </c>
      <c r="F6894" s="76">
        <v>2</v>
      </c>
      <c r="G6894" s="57" t="s">
        <v>13819</v>
      </c>
      <c r="H6894" s="57" t="s">
        <v>13781</v>
      </c>
    </row>
    <row r="6895" spans="2:8" ht="13.5" customHeight="1">
      <c r="B6895" t="s">
        <v>12207</v>
      </c>
      <c r="D6895" t="s">
        <v>12318</v>
      </c>
      <c r="F6895" s="76">
        <v>2</v>
      </c>
      <c r="G6895" s="57" t="s">
        <v>13819</v>
      </c>
      <c r="H6895" s="57" t="s">
        <v>13781</v>
      </c>
    </row>
    <row r="6896" spans="2:8" ht="13.5" customHeight="1">
      <c r="B6896" t="s">
        <v>12208</v>
      </c>
      <c r="D6896" t="s">
        <v>12319</v>
      </c>
      <c r="F6896" s="76">
        <v>2</v>
      </c>
      <c r="G6896" s="57" t="s">
        <v>13819</v>
      </c>
      <c r="H6896" s="57" t="s">
        <v>13781</v>
      </c>
    </row>
    <row r="6897" spans="2:8" ht="13.5" customHeight="1">
      <c r="B6897" t="s">
        <v>12209</v>
      </c>
      <c r="D6897" t="s">
        <v>12320</v>
      </c>
      <c r="F6897" s="76">
        <v>3</v>
      </c>
      <c r="G6897" s="57" t="s">
        <v>13819</v>
      </c>
      <c r="H6897" s="57" t="s">
        <v>13781</v>
      </c>
    </row>
    <row r="6898" spans="2:8" ht="13.5" customHeight="1">
      <c r="B6898"/>
      <c r="D6898" t="s">
        <v>12321</v>
      </c>
      <c r="F6898" s="76">
        <v>3</v>
      </c>
      <c r="G6898" s="57" t="s">
        <v>13819</v>
      </c>
      <c r="H6898" s="57" t="s">
        <v>13781</v>
      </c>
    </row>
    <row r="6899" spans="2:8" ht="13.5" customHeight="1">
      <c r="B6899" t="s">
        <v>12164</v>
      </c>
      <c r="D6899" t="s">
        <v>12322</v>
      </c>
      <c r="F6899" s="76">
        <v>3</v>
      </c>
      <c r="G6899" s="57" t="s">
        <v>13819</v>
      </c>
      <c r="H6899" s="57" t="s">
        <v>13781</v>
      </c>
    </row>
    <row r="6900" spans="2:8" ht="13.5" customHeight="1">
      <c r="B6900" t="s">
        <v>12210</v>
      </c>
      <c r="D6900">
        <v>193240003</v>
      </c>
      <c r="F6900" s="76">
        <v>4</v>
      </c>
      <c r="G6900" s="57" t="s">
        <v>13819</v>
      </c>
      <c r="H6900" s="57" t="s">
        <v>13781</v>
      </c>
    </row>
    <row r="6901" spans="2:8" ht="13.5" customHeight="1">
      <c r="B6901" t="s">
        <v>12211</v>
      </c>
      <c r="D6901" t="s">
        <v>12323</v>
      </c>
      <c r="F6901" s="76">
        <v>4</v>
      </c>
      <c r="G6901" s="57" t="s">
        <v>13819</v>
      </c>
      <c r="H6901" s="57" t="s">
        <v>13781</v>
      </c>
    </row>
    <row r="6902" spans="2:8" ht="13.5" customHeight="1">
      <c r="B6902" t="s">
        <v>12212</v>
      </c>
      <c r="D6902" t="s">
        <v>12324</v>
      </c>
      <c r="F6902" s="76">
        <v>4</v>
      </c>
      <c r="G6902" s="57" t="s">
        <v>13819</v>
      </c>
      <c r="H6902" s="57" t="s">
        <v>13781</v>
      </c>
    </row>
    <row r="6903" spans="2:8" ht="13.5" customHeight="1">
      <c r="B6903" t="s">
        <v>12213</v>
      </c>
      <c r="D6903">
        <v>797581149</v>
      </c>
      <c r="F6903" s="76">
        <v>5</v>
      </c>
      <c r="G6903" s="57" t="s">
        <v>13819</v>
      </c>
      <c r="H6903" s="57" t="s">
        <v>13781</v>
      </c>
    </row>
    <row r="6904" spans="2:8" ht="13.5" customHeight="1">
      <c r="B6904" t="s">
        <v>12049</v>
      </c>
      <c r="D6904">
        <v>5055650201</v>
      </c>
      <c r="F6904" s="76">
        <v>5</v>
      </c>
      <c r="G6904" s="57" t="s">
        <v>13819</v>
      </c>
      <c r="H6904" s="57" t="s">
        <v>13781</v>
      </c>
    </row>
    <row r="6905" spans="2:8" ht="13.5" customHeight="1">
      <c r="B6905" t="s">
        <v>5664</v>
      </c>
      <c r="D6905" t="s">
        <v>12325</v>
      </c>
      <c r="F6905" s="76">
        <v>8</v>
      </c>
      <c r="G6905" s="57" t="s">
        <v>13819</v>
      </c>
      <c r="H6905" s="57" t="s">
        <v>13781</v>
      </c>
    </row>
    <row r="6906" spans="2:8" ht="13.5" customHeight="1">
      <c r="B6906" t="s">
        <v>12214</v>
      </c>
      <c r="D6906" t="s">
        <v>12326</v>
      </c>
      <c r="F6906" s="76">
        <v>8</v>
      </c>
      <c r="G6906" s="57" t="s">
        <v>13819</v>
      </c>
      <c r="H6906" s="57" t="s">
        <v>13781</v>
      </c>
    </row>
    <row r="6907" spans="2:8" ht="13.5" customHeight="1">
      <c r="B6907" t="s">
        <v>12215</v>
      </c>
      <c r="D6907" t="s">
        <v>12327</v>
      </c>
      <c r="F6907" s="76">
        <v>9</v>
      </c>
      <c r="G6907" s="57" t="s">
        <v>13819</v>
      </c>
      <c r="H6907" s="57" t="s">
        <v>13781</v>
      </c>
    </row>
    <row r="6908" spans="2:8" ht="13.5" customHeight="1">
      <c r="B6908" t="s">
        <v>12216</v>
      </c>
      <c r="D6908">
        <v>5031491600</v>
      </c>
      <c r="F6908" s="76">
        <v>12</v>
      </c>
      <c r="G6908" s="57" t="s">
        <v>13819</v>
      </c>
      <c r="H6908" s="57" t="s">
        <v>13781</v>
      </c>
    </row>
    <row r="6909" spans="2:8" ht="13.5" customHeight="1">
      <c r="B6909" t="s">
        <v>12217</v>
      </c>
      <c r="D6909" t="s">
        <v>12328</v>
      </c>
      <c r="F6909" s="76">
        <v>14</v>
      </c>
      <c r="G6909" s="57" t="s">
        <v>13819</v>
      </c>
      <c r="H6909" s="57" t="s">
        <v>13781</v>
      </c>
    </row>
    <row r="6910" spans="2:8" ht="13.5" customHeight="1">
      <c r="B6910"/>
      <c r="D6910" t="s">
        <v>12329</v>
      </c>
      <c r="F6910" s="76">
        <v>15</v>
      </c>
      <c r="G6910" s="57" t="s">
        <v>13819</v>
      </c>
      <c r="H6910" s="57" t="s">
        <v>13781</v>
      </c>
    </row>
    <row r="6911" spans="2:8" ht="13.5" customHeight="1">
      <c r="B6911" t="s">
        <v>12218</v>
      </c>
      <c r="D6911" t="s">
        <v>12330</v>
      </c>
      <c r="F6911" s="76">
        <v>20</v>
      </c>
      <c r="G6911" s="57" t="s">
        <v>13819</v>
      </c>
      <c r="H6911" s="57" t="s">
        <v>13781</v>
      </c>
    </row>
    <row r="6912" spans="2:8" ht="13.5" customHeight="1">
      <c r="B6912" t="s">
        <v>12219</v>
      </c>
      <c r="D6912" t="s">
        <v>12331</v>
      </c>
      <c r="F6912" s="76">
        <v>24</v>
      </c>
      <c r="G6912" s="57" t="s">
        <v>13819</v>
      </c>
      <c r="H6912" s="57" t="s">
        <v>13781</v>
      </c>
    </row>
    <row r="6913" spans="2:8" ht="13.5" customHeight="1">
      <c r="B6913" t="s">
        <v>12220</v>
      </c>
      <c r="D6913">
        <v>5051102091</v>
      </c>
      <c r="F6913" s="76">
        <v>25</v>
      </c>
      <c r="G6913" s="57" t="s">
        <v>13819</v>
      </c>
      <c r="H6913" s="57" t="s">
        <v>13781</v>
      </c>
    </row>
    <row r="6914" spans="2:8" ht="13.5" customHeight="1">
      <c r="B6914" t="s">
        <v>12221</v>
      </c>
      <c r="D6914" t="s">
        <v>12332</v>
      </c>
      <c r="F6914" s="76">
        <v>30</v>
      </c>
      <c r="G6914" s="57" t="s">
        <v>13819</v>
      </c>
      <c r="H6914" s="57" t="s">
        <v>13781</v>
      </c>
    </row>
    <row r="6915" spans="2:8" ht="13.5" customHeight="1">
      <c r="B6915" t="s">
        <v>12222</v>
      </c>
      <c r="D6915" t="s">
        <v>12333</v>
      </c>
      <c r="F6915" s="76">
        <v>34</v>
      </c>
      <c r="G6915" s="57" t="s">
        <v>13819</v>
      </c>
      <c r="H6915" s="57" t="s">
        <v>13781</v>
      </c>
    </row>
    <row r="6916" spans="2:8" ht="13.5" customHeight="1">
      <c r="B6916" t="s">
        <v>12223</v>
      </c>
      <c r="D6916" t="s">
        <v>12334</v>
      </c>
      <c r="F6916" s="76">
        <v>38</v>
      </c>
      <c r="G6916" s="57" t="s">
        <v>13819</v>
      </c>
      <c r="H6916" s="57" t="s">
        <v>13781</v>
      </c>
    </row>
    <row r="6917" spans="2:8" ht="13.5" customHeight="1">
      <c r="B6917" t="s">
        <v>12224</v>
      </c>
      <c r="D6917" t="s">
        <v>12335</v>
      </c>
      <c r="F6917" s="76">
        <v>42</v>
      </c>
      <c r="G6917" s="57" t="s">
        <v>13819</v>
      </c>
      <c r="H6917" s="57" t="s">
        <v>13781</v>
      </c>
    </row>
    <row r="6918" spans="2:8" ht="13.5" customHeight="1">
      <c r="B6918" t="s">
        <v>9376</v>
      </c>
      <c r="D6918" t="s">
        <v>9496</v>
      </c>
      <c r="F6918" s="76">
        <v>44</v>
      </c>
      <c r="G6918" s="57" t="s">
        <v>13819</v>
      </c>
      <c r="H6918" s="57" t="s">
        <v>13781</v>
      </c>
    </row>
    <row r="6919" spans="2:8" ht="13.5" customHeight="1">
      <c r="B6919" t="s">
        <v>12225</v>
      </c>
      <c r="D6919" t="s">
        <v>12336</v>
      </c>
      <c r="F6919" s="76">
        <v>70</v>
      </c>
      <c r="G6919" s="57" t="s">
        <v>13819</v>
      </c>
      <c r="H6919" s="57" t="s">
        <v>13781</v>
      </c>
    </row>
    <row r="6920" spans="2:8" ht="13.5" customHeight="1">
      <c r="B6920" t="s">
        <v>12226</v>
      </c>
      <c r="D6920" t="s">
        <v>12337</v>
      </c>
      <c r="F6920" s="76">
        <v>85</v>
      </c>
      <c r="G6920" s="57" t="s">
        <v>13819</v>
      </c>
      <c r="H6920" s="57" t="s">
        <v>13781</v>
      </c>
    </row>
    <row r="6921" spans="2:8" ht="13.5" customHeight="1">
      <c r="B6921" t="s">
        <v>12171</v>
      </c>
      <c r="D6921" t="s">
        <v>12374</v>
      </c>
      <c r="F6921" s="76">
        <v>1</v>
      </c>
      <c r="G6921" s="57" t="s">
        <v>13819</v>
      </c>
      <c r="H6921" s="57" t="s">
        <v>13782</v>
      </c>
    </row>
    <row r="6922" spans="2:8" ht="13.5" customHeight="1">
      <c r="B6922" t="s">
        <v>12338</v>
      </c>
      <c r="D6922" t="s">
        <v>12375</v>
      </c>
      <c r="F6922" s="76">
        <v>1</v>
      </c>
      <c r="G6922" s="57" t="s">
        <v>13819</v>
      </c>
      <c r="H6922" s="57" t="s">
        <v>13782</v>
      </c>
    </row>
    <row r="6923" spans="2:8" ht="13.5" customHeight="1">
      <c r="B6923" t="s">
        <v>12339</v>
      </c>
      <c r="D6923" t="s">
        <v>12376</v>
      </c>
      <c r="F6923" s="76">
        <v>1</v>
      </c>
      <c r="G6923" s="57" t="s">
        <v>13819</v>
      </c>
      <c r="H6923" s="57" t="s">
        <v>13782</v>
      </c>
    </row>
    <row r="6924" spans="2:8" ht="13.5" customHeight="1">
      <c r="B6924" t="s">
        <v>12340</v>
      </c>
      <c r="D6924" t="s">
        <v>12377</v>
      </c>
      <c r="F6924" s="76">
        <v>1</v>
      </c>
      <c r="G6924" s="57" t="s">
        <v>13819</v>
      </c>
      <c r="H6924" s="57" t="s">
        <v>13782</v>
      </c>
    </row>
    <row r="6925" spans="2:8" ht="13.5" customHeight="1">
      <c r="B6925" t="s">
        <v>12341</v>
      </c>
      <c r="D6925" t="s">
        <v>12378</v>
      </c>
      <c r="F6925" s="76">
        <v>5</v>
      </c>
      <c r="G6925" s="57" t="s">
        <v>13819</v>
      </c>
      <c r="H6925" s="57" t="s">
        <v>13782</v>
      </c>
    </row>
    <row r="6926" spans="2:8" ht="13.5" customHeight="1">
      <c r="B6926" t="s">
        <v>12342</v>
      </c>
      <c r="D6926" t="s">
        <v>12379</v>
      </c>
      <c r="F6926" s="76">
        <v>6</v>
      </c>
      <c r="G6926" s="57" t="s">
        <v>13819</v>
      </c>
      <c r="H6926" s="57" t="s">
        <v>13782</v>
      </c>
    </row>
    <row r="6927" spans="2:8" ht="13.5" customHeight="1">
      <c r="B6927" t="s">
        <v>12343</v>
      </c>
      <c r="D6927" t="s">
        <v>12380</v>
      </c>
      <c r="F6927" s="76">
        <v>13</v>
      </c>
      <c r="G6927" s="57" t="s">
        <v>13819</v>
      </c>
      <c r="H6927" s="57" t="s">
        <v>13782</v>
      </c>
    </row>
    <row r="6928" spans="2:8" ht="13.5" customHeight="1">
      <c r="B6928"/>
      <c r="D6928" t="s">
        <v>12381</v>
      </c>
      <c r="F6928" s="76">
        <v>15</v>
      </c>
      <c r="G6928" s="57" t="s">
        <v>13819</v>
      </c>
      <c r="H6928" s="57" t="s">
        <v>13782</v>
      </c>
    </row>
    <row r="6929" spans="2:8" ht="13.5" customHeight="1">
      <c r="B6929" t="s">
        <v>12344</v>
      </c>
      <c r="D6929" t="s">
        <v>12382</v>
      </c>
      <c r="F6929" s="76">
        <v>17</v>
      </c>
      <c r="G6929" s="57" t="s">
        <v>13819</v>
      </c>
      <c r="H6929" s="57" t="s">
        <v>13782</v>
      </c>
    </row>
    <row r="6930" spans="2:8" ht="13.5" customHeight="1">
      <c r="B6930" t="s">
        <v>12345</v>
      </c>
      <c r="D6930">
        <v>5025790000</v>
      </c>
      <c r="F6930" s="76">
        <v>27</v>
      </c>
      <c r="G6930" s="57" t="s">
        <v>13819</v>
      </c>
      <c r="H6930" s="57" t="s">
        <v>13782</v>
      </c>
    </row>
    <row r="6931" spans="2:8" ht="13.5" customHeight="1">
      <c r="B6931" t="s">
        <v>12346</v>
      </c>
      <c r="D6931" t="s">
        <v>12383</v>
      </c>
      <c r="F6931" s="76">
        <v>44</v>
      </c>
      <c r="G6931" s="57" t="s">
        <v>13819</v>
      </c>
      <c r="H6931" s="57" t="s">
        <v>13782</v>
      </c>
    </row>
    <row r="6932" spans="2:8" ht="13.5" customHeight="1">
      <c r="B6932" t="s">
        <v>12347</v>
      </c>
      <c r="D6932" t="s">
        <v>12384</v>
      </c>
      <c r="F6932" s="76">
        <v>104</v>
      </c>
      <c r="G6932" s="57" t="s">
        <v>13819</v>
      </c>
      <c r="H6932" s="57" t="s">
        <v>13782</v>
      </c>
    </row>
    <row r="6933" spans="2:8" ht="13.5" customHeight="1">
      <c r="B6933" t="s">
        <v>12348</v>
      </c>
      <c r="D6933" t="s">
        <v>12385</v>
      </c>
      <c r="F6933" s="76">
        <v>112</v>
      </c>
      <c r="G6933" s="57" t="s">
        <v>13819</v>
      </c>
      <c r="H6933" s="57" t="s">
        <v>13782</v>
      </c>
    </row>
    <row r="6934" spans="2:8" ht="13.5" customHeight="1">
      <c r="B6934" t="s">
        <v>12349</v>
      </c>
      <c r="D6934" t="s">
        <v>12386</v>
      </c>
      <c r="F6934" s="76">
        <v>216</v>
      </c>
      <c r="G6934" s="57" t="s">
        <v>13819</v>
      </c>
      <c r="H6934" s="57" t="s">
        <v>13782</v>
      </c>
    </row>
    <row r="6935" spans="2:8" ht="13.5" customHeight="1">
      <c r="B6935" t="s">
        <v>12350</v>
      </c>
      <c r="D6935" t="s">
        <v>12387</v>
      </c>
      <c r="F6935" s="76">
        <v>2</v>
      </c>
      <c r="G6935" s="57" t="s">
        <v>13819</v>
      </c>
      <c r="H6935" s="57" t="s">
        <v>13783</v>
      </c>
    </row>
    <row r="6936" spans="2:8" ht="13.5" customHeight="1">
      <c r="B6936" t="s">
        <v>12351</v>
      </c>
      <c r="D6936" t="s">
        <v>12388</v>
      </c>
      <c r="F6936" s="76">
        <v>2</v>
      </c>
      <c r="G6936" s="57" t="s">
        <v>13819</v>
      </c>
      <c r="H6936" s="57" t="s">
        <v>13783</v>
      </c>
    </row>
    <row r="6937" spans="2:8" ht="13.5" customHeight="1">
      <c r="B6937" t="s">
        <v>12352</v>
      </c>
      <c r="D6937" t="s">
        <v>12389</v>
      </c>
      <c r="F6937" s="76">
        <v>4</v>
      </c>
      <c r="G6937" s="57" t="s">
        <v>13819</v>
      </c>
      <c r="H6937" s="57" t="s">
        <v>13783</v>
      </c>
    </row>
    <row r="6938" spans="2:8" ht="13.5" customHeight="1">
      <c r="B6938" t="s">
        <v>12353</v>
      </c>
      <c r="D6938" t="s">
        <v>12390</v>
      </c>
      <c r="F6938" s="76">
        <v>5</v>
      </c>
      <c r="G6938" s="57" t="s">
        <v>13819</v>
      </c>
      <c r="H6938" s="57" t="s">
        <v>13783</v>
      </c>
    </row>
    <row r="6939" spans="2:8" ht="13.5" customHeight="1">
      <c r="B6939" t="s">
        <v>12354</v>
      </c>
      <c r="D6939" t="s">
        <v>1160</v>
      </c>
      <c r="F6939" s="76">
        <v>56</v>
      </c>
      <c r="G6939" s="57" t="s">
        <v>13819</v>
      </c>
      <c r="H6939" s="57" t="s">
        <v>2669</v>
      </c>
    </row>
    <row r="6940" spans="2:8" ht="13.5" customHeight="1">
      <c r="B6940" t="s">
        <v>12355</v>
      </c>
      <c r="D6940" t="s">
        <v>846</v>
      </c>
      <c r="F6940" s="76">
        <v>76</v>
      </c>
      <c r="G6940" s="57" t="s">
        <v>13819</v>
      </c>
      <c r="H6940" s="57" t="s">
        <v>2669</v>
      </c>
    </row>
    <row r="6941" spans="2:8" ht="13.5" customHeight="1">
      <c r="B6941" t="s">
        <v>12356</v>
      </c>
      <c r="D6941" t="s">
        <v>12391</v>
      </c>
      <c r="F6941" s="76">
        <v>99</v>
      </c>
      <c r="G6941" s="57" t="s">
        <v>13819</v>
      </c>
      <c r="H6941" s="57" t="s">
        <v>2669</v>
      </c>
    </row>
    <row r="6942" spans="2:8" ht="13.5" customHeight="1">
      <c r="B6942" t="s">
        <v>12357</v>
      </c>
      <c r="D6942" t="s">
        <v>12392</v>
      </c>
      <c r="F6942" s="76">
        <v>110</v>
      </c>
      <c r="G6942" s="57" t="s">
        <v>13819</v>
      </c>
      <c r="H6942" s="57" t="s">
        <v>2669</v>
      </c>
    </row>
    <row r="6943" spans="2:8" ht="13.5" customHeight="1">
      <c r="B6943" t="s">
        <v>4376</v>
      </c>
      <c r="D6943" t="s">
        <v>12393</v>
      </c>
      <c r="F6943" s="76">
        <v>130</v>
      </c>
      <c r="G6943" s="57" t="s">
        <v>13819</v>
      </c>
      <c r="H6943" s="57" t="s">
        <v>2669</v>
      </c>
    </row>
    <row r="6944" spans="2:8" ht="13.5" customHeight="1">
      <c r="B6944" t="s">
        <v>12358</v>
      </c>
      <c r="D6944" t="s">
        <v>12394</v>
      </c>
      <c r="F6944" s="76">
        <v>159</v>
      </c>
      <c r="G6944" s="57" t="s">
        <v>13819</v>
      </c>
      <c r="H6944" s="57" t="s">
        <v>2669</v>
      </c>
    </row>
    <row r="6945" spans="2:8" ht="13.5" customHeight="1">
      <c r="B6945" t="s">
        <v>9796</v>
      </c>
      <c r="D6945" t="s">
        <v>12395</v>
      </c>
      <c r="F6945" s="76">
        <v>368</v>
      </c>
      <c r="G6945" s="57" t="s">
        <v>13819</v>
      </c>
      <c r="H6945" s="57" t="s">
        <v>2669</v>
      </c>
    </row>
    <row r="6946" spans="2:8" ht="13.5" customHeight="1">
      <c r="B6946" t="s">
        <v>12359</v>
      </c>
      <c r="D6946" t="s">
        <v>12396</v>
      </c>
      <c r="F6946" s="76">
        <v>384</v>
      </c>
      <c r="G6946" s="57" t="s">
        <v>13819</v>
      </c>
      <c r="H6946" s="57" t="s">
        <v>2669</v>
      </c>
    </row>
    <row r="6947" spans="2:8" ht="13.5" customHeight="1">
      <c r="B6947" t="s">
        <v>12360</v>
      </c>
      <c r="D6947" t="s">
        <v>8064</v>
      </c>
      <c r="F6947" s="76">
        <v>480</v>
      </c>
      <c r="G6947" s="57" t="s">
        <v>13819</v>
      </c>
      <c r="H6947" s="57" t="s">
        <v>2669</v>
      </c>
    </row>
    <row r="6948" spans="2:8" ht="13.5" customHeight="1">
      <c r="B6948" t="s">
        <v>12361</v>
      </c>
      <c r="D6948" t="s">
        <v>12397</v>
      </c>
      <c r="F6948" s="76">
        <v>618</v>
      </c>
      <c r="G6948" s="57" t="s">
        <v>13819</v>
      </c>
      <c r="H6948" s="57" t="s">
        <v>2669</v>
      </c>
    </row>
    <row r="6949" spans="2:8" ht="13.5" customHeight="1">
      <c r="B6949" t="s">
        <v>12362</v>
      </c>
      <c r="D6949" t="s">
        <v>12398</v>
      </c>
      <c r="F6949" s="76">
        <v>769</v>
      </c>
      <c r="G6949" s="57" t="s">
        <v>13819</v>
      </c>
      <c r="H6949" s="57" t="s">
        <v>2669</v>
      </c>
    </row>
    <row r="6950" spans="2:8" ht="13.5" customHeight="1">
      <c r="B6950" t="s">
        <v>12363</v>
      </c>
      <c r="D6950" t="s">
        <v>2022</v>
      </c>
      <c r="F6950" s="76">
        <v>1317</v>
      </c>
      <c r="G6950" s="57" t="s">
        <v>13819</v>
      </c>
      <c r="H6950" s="57" t="s">
        <v>2669</v>
      </c>
    </row>
    <row r="6951" spans="2:8" ht="13.5" customHeight="1">
      <c r="B6951" t="s">
        <v>12364</v>
      </c>
      <c r="D6951" t="s">
        <v>2991</v>
      </c>
      <c r="F6951" s="76">
        <v>1326</v>
      </c>
      <c r="G6951" s="57" t="s">
        <v>13819</v>
      </c>
      <c r="H6951" s="57" t="s">
        <v>2669</v>
      </c>
    </row>
    <row r="6952" spans="2:8" ht="13.5" customHeight="1">
      <c r="B6952" t="s">
        <v>12365</v>
      </c>
      <c r="D6952" t="s">
        <v>4847</v>
      </c>
      <c r="F6952" s="76">
        <v>1715</v>
      </c>
      <c r="G6952" s="57" t="s">
        <v>13819</v>
      </c>
      <c r="H6952" s="57" t="s">
        <v>2669</v>
      </c>
    </row>
    <row r="6953" spans="2:8" ht="13.5" customHeight="1">
      <c r="B6953" t="s">
        <v>3590</v>
      </c>
      <c r="D6953" t="s">
        <v>5285</v>
      </c>
      <c r="F6953" s="76">
        <v>2267</v>
      </c>
      <c r="G6953" s="57" t="s">
        <v>13819</v>
      </c>
      <c r="H6953" s="57" t="s">
        <v>2669</v>
      </c>
    </row>
    <row r="6954" spans="2:8" ht="13.5" customHeight="1">
      <c r="B6954" t="s">
        <v>12366</v>
      </c>
      <c r="D6954" t="s">
        <v>12399</v>
      </c>
      <c r="F6954" s="76">
        <v>2280</v>
      </c>
      <c r="G6954" s="57" t="s">
        <v>13819</v>
      </c>
      <c r="H6954" s="57" t="s">
        <v>2669</v>
      </c>
    </row>
    <row r="6955" spans="2:8" ht="13.5" customHeight="1">
      <c r="B6955" t="s">
        <v>12367</v>
      </c>
      <c r="D6955" t="s">
        <v>4615</v>
      </c>
      <c r="F6955" s="76">
        <v>2296</v>
      </c>
      <c r="G6955" s="57" t="s">
        <v>13819</v>
      </c>
      <c r="H6955" s="57" t="s">
        <v>2669</v>
      </c>
    </row>
    <row r="6956" spans="2:8" ht="13.5" customHeight="1">
      <c r="B6956" t="s">
        <v>12368</v>
      </c>
      <c r="D6956" t="s">
        <v>5206</v>
      </c>
      <c r="F6956" s="76">
        <v>2413</v>
      </c>
      <c r="G6956" s="57" t="s">
        <v>13819</v>
      </c>
      <c r="H6956" s="57" t="s">
        <v>2669</v>
      </c>
    </row>
    <row r="6957" spans="2:8" ht="13.5" customHeight="1">
      <c r="B6957" t="s">
        <v>12369</v>
      </c>
      <c r="D6957" t="s">
        <v>12400</v>
      </c>
      <c r="F6957" s="76">
        <v>2500</v>
      </c>
      <c r="G6957" s="57" t="s">
        <v>13819</v>
      </c>
      <c r="H6957" s="57" t="s">
        <v>2669</v>
      </c>
    </row>
    <row r="6958" spans="2:8" ht="13.5" customHeight="1">
      <c r="B6958" t="s">
        <v>12370</v>
      </c>
      <c r="D6958" t="s">
        <v>2891</v>
      </c>
      <c r="F6958" s="76">
        <v>2729</v>
      </c>
      <c r="G6958" s="57" t="s">
        <v>13819</v>
      </c>
      <c r="H6958" s="57" t="s">
        <v>2669</v>
      </c>
    </row>
    <row r="6959" spans="2:8" ht="13.5" customHeight="1">
      <c r="B6959" t="s">
        <v>12371</v>
      </c>
      <c r="D6959" t="s">
        <v>6921</v>
      </c>
      <c r="F6959" s="76">
        <v>2769</v>
      </c>
      <c r="G6959" s="57" t="s">
        <v>13819</v>
      </c>
      <c r="H6959" s="57" t="s">
        <v>2669</v>
      </c>
    </row>
    <row r="6960" spans="2:8" ht="13.5" customHeight="1">
      <c r="B6960" t="s">
        <v>302</v>
      </c>
      <c r="D6960" t="s">
        <v>7588</v>
      </c>
      <c r="F6960" s="76">
        <v>3615</v>
      </c>
      <c r="G6960" s="57" t="s">
        <v>13819</v>
      </c>
      <c r="H6960" s="57" t="s">
        <v>2669</v>
      </c>
    </row>
    <row r="6961" spans="2:8" ht="13.5" customHeight="1">
      <c r="B6961" t="s">
        <v>12372</v>
      </c>
      <c r="D6961" t="s">
        <v>12401</v>
      </c>
      <c r="F6961" s="76">
        <v>4000</v>
      </c>
      <c r="G6961" s="57" t="s">
        <v>13819</v>
      </c>
      <c r="H6961" s="57" t="s">
        <v>2669</v>
      </c>
    </row>
    <row r="6962" spans="2:8" ht="13.5" customHeight="1">
      <c r="B6962" t="s">
        <v>12373</v>
      </c>
      <c r="D6962" t="s">
        <v>12402</v>
      </c>
      <c r="F6962" s="76">
        <v>4000</v>
      </c>
      <c r="G6962" s="57" t="s">
        <v>13819</v>
      </c>
      <c r="H6962" s="57" t="s">
        <v>2669</v>
      </c>
    </row>
    <row r="6963" spans="2:8" ht="13.5" customHeight="1">
      <c r="B6963" t="s">
        <v>1082</v>
      </c>
      <c r="D6963" t="s">
        <v>1083</v>
      </c>
      <c r="F6963" s="76">
        <v>6985</v>
      </c>
      <c r="G6963" s="57" t="s">
        <v>13819</v>
      </c>
      <c r="H6963" s="57" t="s">
        <v>2669</v>
      </c>
    </row>
    <row r="6964" spans="2:8" ht="13.5" customHeight="1">
      <c r="B6964" t="s">
        <v>12403</v>
      </c>
      <c r="D6964" t="s">
        <v>12431</v>
      </c>
      <c r="F6964" s="76">
        <v>1</v>
      </c>
      <c r="G6964" s="57" t="s">
        <v>13819</v>
      </c>
      <c r="H6964" s="57" t="s">
        <v>13784</v>
      </c>
    </row>
    <row r="6965" spans="2:8" ht="13.5" customHeight="1">
      <c r="B6965" t="s">
        <v>12404</v>
      </c>
      <c r="D6965" t="s">
        <v>12432</v>
      </c>
      <c r="F6965" s="76">
        <v>1</v>
      </c>
      <c r="G6965" s="57" t="s">
        <v>13819</v>
      </c>
      <c r="H6965" s="57" t="s">
        <v>13784</v>
      </c>
    </row>
    <row r="6966" spans="2:8" ht="13.5" customHeight="1">
      <c r="B6966" t="s">
        <v>7582</v>
      </c>
      <c r="D6966" t="s">
        <v>12433</v>
      </c>
      <c r="F6966" s="76">
        <v>1</v>
      </c>
      <c r="G6966" s="57" t="s">
        <v>13819</v>
      </c>
      <c r="H6966" s="57" t="s">
        <v>13784</v>
      </c>
    </row>
    <row r="6967" spans="2:8" ht="13.5" customHeight="1">
      <c r="B6967" t="s">
        <v>12405</v>
      </c>
      <c r="D6967" t="s">
        <v>12434</v>
      </c>
      <c r="F6967" s="76">
        <v>2</v>
      </c>
      <c r="G6967" s="57" t="s">
        <v>13819</v>
      </c>
      <c r="H6967" s="57" t="s">
        <v>13784</v>
      </c>
    </row>
    <row r="6968" spans="2:8" ht="13.5" customHeight="1">
      <c r="B6968" t="s">
        <v>12406</v>
      </c>
      <c r="D6968" t="s">
        <v>12435</v>
      </c>
      <c r="F6968" s="76">
        <v>2</v>
      </c>
      <c r="G6968" s="57" t="s">
        <v>13819</v>
      </c>
      <c r="H6968" s="57" t="s">
        <v>13784</v>
      </c>
    </row>
    <row r="6969" spans="2:8" ht="13.5" customHeight="1">
      <c r="B6969" t="s">
        <v>12407</v>
      </c>
      <c r="D6969" t="s">
        <v>12436</v>
      </c>
      <c r="F6969" s="76">
        <v>2</v>
      </c>
      <c r="G6969" s="57" t="s">
        <v>13819</v>
      </c>
      <c r="H6969" s="57" t="s">
        <v>13784</v>
      </c>
    </row>
    <row r="6970" spans="2:8" ht="13.5" customHeight="1">
      <c r="B6970" t="s">
        <v>12408</v>
      </c>
      <c r="D6970" t="s">
        <v>12437</v>
      </c>
      <c r="F6970" s="76">
        <v>2</v>
      </c>
      <c r="G6970" s="57" t="s">
        <v>13819</v>
      </c>
      <c r="H6970" s="57" t="s">
        <v>13784</v>
      </c>
    </row>
    <row r="6971" spans="2:8" ht="13.5" customHeight="1">
      <c r="B6971" t="s">
        <v>4080</v>
      </c>
      <c r="D6971" t="s">
        <v>12438</v>
      </c>
      <c r="F6971" s="76">
        <v>5</v>
      </c>
      <c r="G6971" s="57" t="s">
        <v>13819</v>
      </c>
      <c r="H6971" s="57" t="s">
        <v>13784</v>
      </c>
    </row>
    <row r="6972" spans="2:8" ht="13.5" customHeight="1">
      <c r="B6972" t="s">
        <v>12409</v>
      </c>
      <c r="D6972" t="s">
        <v>12439</v>
      </c>
      <c r="F6972" s="76">
        <v>6</v>
      </c>
      <c r="G6972" s="57" t="s">
        <v>13819</v>
      </c>
      <c r="H6972" s="57" t="s">
        <v>13784</v>
      </c>
    </row>
    <row r="6973" spans="2:8" ht="13.5" customHeight="1">
      <c r="B6973" t="s">
        <v>12410</v>
      </c>
      <c r="D6973" t="s">
        <v>12440</v>
      </c>
      <c r="F6973" s="76">
        <v>6</v>
      </c>
      <c r="G6973" s="57" t="s">
        <v>13819</v>
      </c>
      <c r="H6973" s="57" t="s">
        <v>13784</v>
      </c>
    </row>
    <row r="6974" spans="2:8" ht="13.5" customHeight="1">
      <c r="B6974" t="s">
        <v>12411</v>
      </c>
      <c r="D6974" t="s">
        <v>12441</v>
      </c>
      <c r="F6974" s="76">
        <v>9</v>
      </c>
      <c r="G6974" s="57" t="s">
        <v>13819</v>
      </c>
      <c r="H6974" s="57" t="s">
        <v>13784</v>
      </c>
    </row>
    <row r="6975" spans="2:8" ht="13.5" customHeight="1">
      <c r="B6975" t="s">
        <v>12412</v>
      </c>
      <c r="D6975" t="s">
        <v>12442</v>
      </c>
      <c r="F6975" s="76">
        <v>9</v>
      </c>
      <c r="G6975" s="57" t="s">
        <v>13819</v>
      </c>
      <c r="H6975" s="57" t="s">
        <v>13784</v>
      </c>
    </row>
    <row r="6976" spans="2:8" ht="13.5" customHeight="1">
      <c r="B6976" t="s">
        <v>12413</v>
      </c>
      <c r="D6976" t="s">
        <v>12443</v>
      </c>
      <c r="F6976" s="76">
        <v>10</v>
      </c>
      <c r="G6976" s="57" t="s">
        <v>13819</v>
      </c>
      <c r="H6976" s="57" t="s">
        <v>13784</v>
      </c>
    </row>
    <row r="6977" spans="2:8" ht="13.5" customHeight="1">
      <c r="B6977" t="s">
        <v>12414</v>
      </c>
      <c r="D6977" t="s">
        <v>12444</v>
      </c>
      <c r="F6977" s="76">
        <v>10</v>
      </c>
      <c r="G6977" s="57" t="s">
        <v>13819</v>
      </c>
      <c r="H6977" s="57" t="s">
        <v>13784</v>
      </c>
    </row>
    <row r="6978" spans="2:8" ht="13.5" customHeight="1">
      <c r="B6978" t="s">
        <v>12415</v>
      </c>
      <c r="D6978" t="s">
        <v>12445</v>
      </c>
      <c r="F6978" s="76">
        <v>12</v>
      </c>
      <c r="G6978" s="57" t="s">
        <v>13819</v>
      </c>
      <c r="H6978" s="57" t="s">
        <v>13784</v>
      </c>
    </row>
    <row r="6979" spans="2:8" ht="13.5" customHeight="1">
      <c r="B6979" t="s">
        <v>12416</v>
      </c>
      <c r="D6979" t="s">
        <v>12446</v>
      </c>
      <c r="F6979" s="76">
        <v>12</v>
      </c>
      <c r="G6979" s="57" t="s">
        <v>13819</v>
      </c>
      <c r="H6979" s="57" t="s">
        <v>13784</v>
      </c>
    </row>
    <row r="6980" spans="2:8" ht="13.5" customHeight="1">
      <c r="B6980" t="s">
        <v>12417</v>
      </c>
      <c r="D6980" t="s">
        <v>12447</v>
      </c>
      <c r="F6980" s="76">
        <v>14</v>
      </c>
      <c r="G6980" s="57" t="s">
        <v>13819</v>
      </c>
      <c r="H6980" s="57" t="s">
        <v>13784</v>
      </c>
    </row>
    <row r="6981" spans="2:8" ht="13.5" customHeight="1">
      <c r="B6981" t="s">
        <v>12418</v>
      </c>
      <c r="D6981" t="s">
        <v>12448</v>
      </c>
      <c r="F6981" s="76">
        <v>14</v>
      </c>
      <c r="G6981" s="57" t="s">
        <v>13819</v>
      </c>
      <c r="H6981" s="57" t="s">
        <v>13784</v>
      </c>
    </row>
    <row r="6982" spans="2:8" ht="13.5" customHeight="1">
      <c r="B6982" t="s">
        <v>12419</v>
      </c>
      <c r="D6982" t="s">
        <v>12449</v>
      </c>
      <c r="F6982" s="76">
        <v>15</v>
      </c>
      <c r="G6982" s="57" t="s">
        <v>13819</v>
      </c>
      <c r="H6982" s="57" t="s">
        <v>13784</v>
      </c>
    </row>
    <row r="6983" spans="2:8" ht="13.5" customHeight="1">
      <c r="B6983" t="s">
        <v>12420</v>
      </c>
      <c r="D6983" t="s">
        <v>12450</v>
      </c>
      <c r="F6983" s="76">
        <v>16</v>
      </c>
      <c r="G6983" s="57" t="s">
        <v>13819</v>
      </c>
      <c r="H6983" s="57" t="s">
        <v>13784</v>
      </c>
    </row>
    <row r="6984" spans="2:8" ht="13.5" customHeight="1">
      <c r="B6984" t="s">
        <v>12421</v>
      </c>
      <c r="D6984" t="s">
        <v>12451</v>
      </c>
      <c r="F6984" s="76">
        <v>16</v>
      </c>
      <c r="G6984" s="57" t="s">
        <v>13819</v>
      </c>
      <c r="H6984" s="57" t="s">
        <v>13784</v>
      </c>
    </row>
    <row r="6985" spans="2:8" ht="13.5" customHeight="1">
      <c r="B6985" t="s">
        <v>12422</v>
      </c>
      <c r="D6985" t="s">
        <v>12452</v>
      </c>
      <c r="F6985" s="76">
        <v>19</v>
      </c>
      <c r="G6985" s="57" t="s">
        <v>13819</v>
      </c>
      <c r="H6985" s="57" t="s">
        <v>13784</v>
      </c>
    </row>
    <row r="6986" spans="2:8" ht="13.5" customHeight="1">
      <c r="B6986" t="s">
        <v>12423</v>
      </c>
      <c r="D6986" t="s">
        <v>12453</v>
      </c>
      <c r="F6986" s="76">
        <v>26</v>
      </c>
      <c r="G6986" s="57" t="s">
        <v>13819</v>
      </c>
      <c r="H6986" s="57" t="s">
        <v>13784</v>
      </c>
    </row>
    <row r="6987" spans="2:8" ht="13.5" customHeight="1">
      <c r="B6987" t="s">
        <v>12424</v>
      </c>
      <c r="D6987" t="s">
        <v>12454</v>
      </c>
      <c r="F6987" s="76">
        <v>34</v>
      </c>
      <c r="G6987" s="57" t="s">
        <v>13819</v>
      </c>
      <c r="H6987" s="57" t="s">
        <v>13784</v>
      </c>
    </row>
    <row r="6988" spans="2:8" ht="13.5" customHeight="1">
      <c r="B6988" t="s">
        <v>12425</v>
      </c>
      <c r="D6988" t="s">
        <v>12455</v>
      </c>
      <c r="F6988" s="76">
        <v>47</v>
      </c>
      <c r="G6988" s="57" t="s">
        <v>13819</v>
      </c>
      <c r="H6988" s="57" t="s">
        <v>13784</v>
      </c>
    </row>
    <row r="6989" spans="2:8" ht="13.5" customHeight="1">
      <c r="B6989" t="s">
        <v>12426</v>
      </c>
      <c r="D6989" t="s">
        <v>12456</v>
      </c>
      <c r="F6989" s="76">
        <v>53</v>
      </c>
      <c r="G6989" s="57" t="s">
        <v>13819</v>
      </c>
      <c r="H6989" s="57" t="s">
        <v>13784</v>
      </c>
    </row>
    <row r="6990" spans="2:8" ht="13.5" customHeight="1">
      <c r="B6990" t="s">
        <v>12427</v>
      </c>
      <c r="D6990" t="s">
        <v>12457</v>
      </c>
      <c r="F6990" s="76">
        <v>54</v>
      </c>
      <c r="G6990" s="57" t="s">
        <v>13819</v>
      </c>
      <c r="H6990" s="57" t="s">
        <v>13784</v>
      </c>
    </row>
    <row r="6991" spans="2:8" ht="13.5" customHeight="1">
      <c r="B6991" t="s">
        <v>12428</v>
      </c>
      <c r="D6991" t="s">
        <v>12458</v>
      </c>
      <c r="F6991" s="76">
        <v>80</v>
      </c>
      <c r="G6991" s="57" t="s">
        <v>13819</v>
      </c>
      <c r="H6991" s="57" t="s">
        <v>13784</v>
      </c>
    </row>
    <row r="6992" spans="2:8" ht="13.5" customHeight="1">
      <c r="B6992" t="s">
        <v>12429</v>
      </c>
      <c r="D6992" t="s">
        <v>12459</v>
      </c>
      <c r="F6992" s="76">
        <v>85</v>
      </c>
      <c r="G6992" s="57" t="s">
        <v>13819</v>
      </c>
      <c r="H6992" s="57" t="s">
        <v>13784</v>
      </c>
    </row>
    <row r="6993" spans="2:8" ht="13.5" customHeight="1">
      <c r="B6993" t="s">
        <v>12430</v>
      </c>
      <c r="D6993" t="s">
        <v>12460</v>
      </c>
      <c r="F6993" s="76">
        <v>340</v>
      </c>
      <c r="G6993" s="57" t="s">
        <v>13819</v>
      </c>
      <c r="H6993" s="57" t="s">
        <v>13784</v>
      </c>
    </row>
    <row r="6994" spans="2:8" ht="13.5" customHeight="1">
      <c r="B6994" t="s">
        <v>9696</v>
      </c>
      <c r="D6994" t="s">
        <v>12494</v>
      </c>
      <c r="F6994" s="76">
        <v>1</v>
      </c>
      <c r="G6994" s="57" t="s">
        <v>13819</v>
      </c>
      <c r="H6994" s="57" t="s">
        <v>13785</v>
      </c>
    </row>
    <row r="6995" spans="2:8" ht="13.5" customHeight="1">
      <c r="B6995" t="s">
        <v>12461</v>
      </c>
      <c r="D6995" t="s">
        <v>12495</v>
      </c>
      <c r="F6995" s="76">
        <v>1</v>
      </c>
      <c r="G6995" s="57" t="s">
        <v>13819</v>
      </c>
      <c r="H6995" s="57" t="s">
        <v>13785</v>
      </c>
    </row>
    <row r="6996" spans="2:8" ht="13.5" customHeight="1">
      <c r="B6996" t="s">
        <v>12462</v>
      </c>
      <c r="D6996" t="s">
        <v>12496</v>
      </c>
      <c r="F6996" s="76">
        <v>1</v>
      </c>
      <c r="G6996" s="57" t="s">
        <v>13819</v>
      </c>
      <c r="H6996" s="57" t="s">
        <v>13785</v>
      </c>
    </row>
    <row r="6997" spans="2:8" ht="13.5" customHeight="1">
      <c r="B6997" t="s">
        <v>12463</v>
      </c>
      <c r="D6997" t="s">
        <v>12497</v>
      </c>
      <c r="F6997" s="76">
        <v>2</v>
      </c>
      <c r="G6997" s="57" t="s">
        <v>13819</v>
      </c>
      <c r="H6997" s="57" t="s">
        <v>13785</v>
      </c>
    </row>
    <row r="6998" spans="2:8" ht="13.5" customHeight="1">
      <c r="B6998" t="s">
        <v>12464</v>
      </c>
      <c r="D6998" t="s">
        <v>12498</v>
      </c>
      <c r="F6998" s="76">
        <v>2</v>
      </c>
      <c r="G6998" s="57" t="s">
        <v>13819</v>
      </c>
      <c r="H6998" s="57" t="s">
        <v>13785</v>
      </c>
    </row>
    <row r="6999" spans="2:8" ht="13.5" customHeight="1">
      <c r="B6999" t="s">
        <v>12465</v>
      </c>
      <c r="D6999" t="s">
        <v>12499</v>
      </c>
      <c r="F6999" s="76">
        <v>2</v>
      </c>
      <c r="G6999" s="57" t="s">
        <v>13819</v>
      </c>
      <c r="H6999" s="57" t="s">
        <v>13785</v>
      </c>
    </row>
    <row r="7000" spans="2:8" ht="13.5" customHeight="1">
      <c r="B7000" t="s">
        <v>295</v>
      </c>
      <c r="D7000" t="s">
        <v>12500</v>
      </c>
      <c r="F7000" s="76">
        <v>2</v>
      </c>
      <c r="G7000" s="57" t="s">
        <v>13819</v>
      </c>
      <c r="H7000" s="57" t="s">
        <v>13785</v>
      </c>
    </row>
    <row r="7001" spans="2:8" ht="13.5" customHeight="1">
      <c r="B7001" t="s">
        <v>12466</v>
      </c>
      <c r="D7001" t="s">
        <v>12501</v>
      </c>
      <c r="F7001" s="76">
        <v>3</v>
      </c>
      <c r="G7001" s="57" t="s">
        <v>13819</v>
      </c>
      <c r="H7001" s="57" t="s">
        <v>13785</v>
      </c>
    </row>
    <row r="7002" spans="2:8" ht="13.5" customHeight="1">
      <c r="B7002" t="s">
        <v>12467</v>
      </c>
      <c r="D7002" t="s">
        <v>12502</v>
      </c>
      <c r="F7002" s="76">
        <v>4</v>
      </c>
      <c r="G7002" s="57" t="s">
        <v>13819</v>
      </c>
      <c r="H7002" s="57" t="s">
        <v>13785</v>
      </c>
    </row>
    <row r="7003" spans="2:8" ht="13.5" customHeight="1">
      <c r="B7003" t="s">
        <v>12468</v>
      </c>
      <c r="D7003" t="s">
        <v>12503</v>
      </c>
      <c r="F7003" s="76">
        <v>4</v>
      </c>
      <c r="G7003" s="57" t="s">
        <v>13819</v>
      </c>
      <c r="H7003" s="57" t="s">
        <v>13785</v>
      </c>
    </row>
    <row r="7004" spans="2:8" ht="13.5" customHeight="1">
      <c r="B7004" t="s">
        <v>12469</v>
      </c>
      <c r="D7004" t="s">
        <v>12504</v>
      </c>
      <c r="F7004" s="76">
        <v>4</v>
      </c>
      <c r="G7004" s="57" t="s">
        <v>13819</v>
      </c>
      <c r="H7004" s="57" t="s">
        <v>13785</v>
      </c>
    </row>
    <row r="7005" spans="2:8" ht="13.5" customHeight="1">
      <c r="B7005" t="s">
        <v>10260</v>
      </c>
      <c r="D7005" t="s">
        <v>12505</v>
      </c>
      <c r="F7005" s="76">
        <v>4</v>
      </c>
      <c r="G7005" s="57" t="s">
        <v>13819</v>
      </c>
      <c r="H7005" s="57" t="s">
        <v>13785</v>
      </c>
    </row>
    <row r="7006" spans="2:8" ht="13.5" customHeight="1">
      <c r="B7006" t="s">
        <v>12470</v>
      </c>
      <c r="D7006" t="s">
        <v>12506</v>
      </c>
      <c r="F7006" s="76">
        <v>6</v>
      </c>
      <c r="G7006" s="57" t="s">
        <v>13819</v>
      </c>
      <c r="H7006" s="57" t="s">
        <v>13785</v>
      </c>
    </row>
    <row r="7007" spans="2:8" ht="13.5" customHeight="1">
      <c r="B7007" t="s">
        <v>12471</v>
      </c>
      <c r="D7007" t="s">
        <v>12507</v>
      </c>
      <c r="F7007" s="76">
        <v>7</v>
      </c>
      <c r="G7007" s="57" t="s">
        <v>13819</v>
      </c>
      <c r="H7007" s="57" t="s">
        <v>13785</v>
      </c>
    </row>
    <row r="7008" spans="2:8" ht="13.5" customHeight="1">
      <c r="B7008" t="s">
        <v>1075</v>
      </c>
      <c r="D7008" t="s">
        <v>1076</v>
      </c>
      <c r="F7008" s="76">
        <v>7</v>
      </c>
      <c r="G7008" s="57" t="s">
        <v>13819</v>
      </c>
      <c r="H7008" s="57" t="s">
        <v>13785</v>
      </c>
    </row>
    <row r="7009" spans="2:8" ht="13.5" customHeight="1">
      <c r="B7009" t="s">
        <v>12472</v>
      </c>
      <c r="D7009" t="s">
        <v>12508</v>
      </c>
      <c r="F7009" s="76">
        <v>7</v>
      </c>
      <c r="G7009" s="57" t="s">
        <v>13819</v>
      </c>
      <c r="H7009" s="57" t="s">
        <v>13785</v>
      </c>
    </row>
    <row r="7010" spans="2:8" ht="13.5" customHeight="1">
      <c r="B7010" t="s">
        <v>12473</v>
      </c>
      <c r="D7010" t="s">
        <v>12509</v>
      </c>
      <c r="F7010" s="76">
        <v>8</v>
      </c>
      <c r="G7010" s="57" t="s">
        <v>13819</v>
      </c>
      <c r="H7010" s="57" t="s">
        <v>13785</v>
      </c>
    </row>
    <row r="7011" spans="2:8" ht="13.5" customHeight="1">
      <c r="B7011" t="s">
        <v>12474</v>
      </c>
      <c r="D7011" t="s">
        <v>12510</v>
      </c>
      <c r="F7011" s="76">
        <v>8</v>
      </c>
      <c r="G7011" s="57" t="s">
        <v>13819</v>
      </c>
      <c r="H7011" s="57" t="s">
        <v>13785</v>
      </c>
    </row>
    <row r="7012" spans="2:8" ht="13.5" customHeight="1">
      <c r="B7012" t="s">
        <v>12475</v>
      </c>
      <c r="D7012" t="s">
        <v>12511</v>
      </c>
      <c r="F7012" s="76">
        <v>8</v>
      </c>
      <c r="G7012" s="57" t="s">
        <v>13819</v>
      </c>
      <c r="H7012" s="57" t="s">
        <v>13785</v>
      </c>
    </row>
    <row r="7013" spans="2:8" ht="13.5" customHeight="1">
      <c r="B7013" t="s">
        <v>12476</v>
      </c>
      <c r="D7013" t="s">
        <v>12512</v>
      </c>
      <c r="F7013" s="76">
        <v>8</v>
      </c>
      <c r="G7013" s="57" t="s">
        <v>13819</v>
      </c>
      <c r="H7013" s="57" t="s">
        <v>13785</v>
      </c>
    </row>
    <row r="7014" spans="2:8" ht="13.5" customHeight="1">
      <c r="B7014" t="s">
        <v>3560</v>
      </c>
      <c r="D7014" t="s">
        <v>7798</v>
      </c>
      <c r="F7014" s="76">
        <v>8</v>
      </c>
      <c r="G7014" s="57" t="s">
        <v>13819</v>
      </c>
      <c r="H7014" s="57" t="s">
        <v>13785</v>
      </c>
    </row>
    <row r="7015" spans="2:8" ht="13.5" customHeight="1">
      <c r="B7015" t="s">
        <v>12477</v>
      </c>
      <c r="D7015" t="s">
        <v>12513</v>
      </c>
      <c r="F7015" s="76">
        <v>8</v>
      </c>
      <c r="G7015" s="57" t="s">
        <v>13819</v>
      </c>
      <c r="H7015" s="57" t="s">
        <v>13785</v>
      </c>
    </row>
    <row r="7016" spans="2:8" ht="13.5" customHeight="1">
      <c r="B7016" t="s">
        <v>12478</v>
      </c>
      <c r="D7016" t="s">
        <v>12514</v>
      </c>
      <c r="F7016" s="76">
        <v>8</v>
      </c>
      <c r="G7016" s="57" t="s">
        <v>13819</v>
      </c>
      <c r="H7016" s="57" t="s">
        <v>13785</v>
      </c>
    </row>
    <row r="7017" spans="2:8" ht="13.5" customHeight="1">
      <c r="B7017" t="s">
        <v>12479</v>
      </c>
      <c r="D7017" t="s">
        <v>12515</v>
      </c>
      <c r="F7017" s="76">
        <v>8</v>
      </c>
      <c r="G7017" s="57" t="s">
        <v>13819</v>
      </c>
      <c r="H7017" s="57" t="s">
        <v>13785</v>
      </c>
    </row>
    <row r="7018" spans="2:8" ht="13.5" customHeight="1">
      <c r="B7018" t="s">
        <v>3920</v>
      </c>
      <c r="D7018" t="s">
        <v>12516</v>
      </c>
      <c r="F7018" s="76">
        <v>8</v>
      </c>
      <c r="G7018" s="57" t="s">
        <v>13819</v>
      </c>
      <c r="H7018" s="57" t="s">
        <v>13785</v>
      </c>
    </row>
    <row r="7019" spans="2:8" ht="13.5" customHeight="1">
      <c r="B7019" t="s">
        <v>12480</v>
      </c>
      <c r="D7019" t="s">
        <v>12517</v>
      </c>
      <c r="F7019" s="76">
        <v>9</v>
      </c>
      <c r="G7019" s="57" t="s">
        <v>13819</v>
      </c>
      <c r="H7019" s="57" t="s">
        <v>13785</v>
      </c>
    </row>
    <row r="7020" spans="2:8" ht="13.5" customHeight="1">
      <c r="B7020" t="s">
        <v>12481</v>
      </c>
      <c r="D7020" t="s">
        <v>12518</v>
      </c>
      <c r="F7020" s="76">
        <v>9</v>
      </c>
      <c r="G7020" s="57" t="s">
        <v>13819</v>
      </c>
      <c r="H7020" s="57" t="s">
        <v>13785</v>
      </c>
    </row>
    <row r="7021" spans="2:8" ht="13.5" customHeight="1">
      <c r="B7021" t="s">
        <v>12482</v>
      </c>
      <c r="D7021" t="s">
        <v>12519</v>
      </c>
      <c r="F7021" s="76">
        <v>9</v>
      </c>
      <c r="G7021" s="57" t="s">
        <v>13819</v>
      </c>
      <c r="H7021" s="57" t="s">
        <v>13785</v>
      </c>
    </row>
    <row r="7022" spans="2:8" ht="13.5" customHeight="1">
      <c r="B7022" t="s">
        <v>7675</v>
      </c>
      <c r="D7022" t="s">
        <v>274</v>
      </c>
      <c r="F7022" s="76">
        <v>9</v>
      </c>
      <c r="G7022" s="57" t="s">
        <v>13819</v>
      </c>
      <c r="H7022" s="57" t="s">
        <v>13785</v>
      </c>
    </row>
    <row r="7023" spans="2:8" ht="13.5" customHeight="1">
      <c r="B7023" t="s">
        <v>12483</v>
      </c>
      <c r="D7023" t="s">
        <v>12520</v>
      </c>
      <c r="F7023" s="76">
        <v>10</v>
      </c>
      <c r="G7023" s="57" t="s">
        <v>13819</v>
      </c>
      <c r="H7023" s="57" t="s">
        <v>13785</v>
      </c>
    </row>
    <row r="7024" spans="2:8" ht="13.5" customHeight="1">
      <c r="B7024" t="s">
        <v>12484</v>
      </c>
      <c r="D7024" t="s">
        <v>12521</v>
      </c>
      <c r="F7024" s="76">
        <v>10</v>
      </c>
      <c r="G7024" s="57" t="s">
        <v>13819</v>
      </c>
      <c r="H7024" s="57" t="s">
        <v>13785</v>
      </c>
    </row>
    <row r="7025" spans="2:8" ht="13.5" customHeight="1">
      <c r="B7025" t="s">
        <v>12485</v>
      </c>
      <c r="D7025" t="s">
        <v>12522</v>
      </c>
      <c r="F7025" s="76">
        <v>10</v>
      </c>
      <c r="G7025" s="57" t="s">
        <v>13819</v>
      </c>
      <c r="H7025" s="57" t="s">
        <v>13785</v>
      </c>
    </row>
    <row r="7026" spans="2:8" ht="13.5" customHeight="1">
      <c r="B7026" t="s">
        <v>12486</v>
      </c>
      <c r="D7026" t="s">
        <v>12523</v>
      </c>
      <c r="F7026" s="76">
        <v>18</v>
      </c>
      <c r="G7026" s="57" t="s">
        <v>13819</v>
      </c>
      <c r="H7026" s="57" t="s">
        <v>13785</v>
      </c>
    </row>
    <row r="7027" spans="2:8" ht="13.5" customHeight="1">
      <c r="B7027" t="s">
        <v>12487</v>
      </c>
      <c r="D7027" t="s">
        <v>12524</v>
      </c>
      <c r="F7027" s="76">
        <v>18</v>
      </c>
      <c r="G7027" s="57" t="s">
        <v>13819</v>
      </c>
      <c r="H7027" s="57" t="s">
        <v>13785</v>
      </c>
    </row>
    <row r="7028" spans="2:8" ht="13.5" customHeight="1">
      <c r="B7028" t="s">
        <v>6778</v>
      </c>
      <c r="D7028" t="s">
        <v>8054</v>
      </c>
      <c r="F7028" s="76">
        <v>18</v>
      </c>
      <c r="G7028" s="57" t="s">
        <v>13819</v>
      </c>
      <c r="H7028" s="57" t="s">
        <v>13785</v>
      </c>
    </row>
    <row r="7029" spans="2:8" ht="13.5" customHeight="1">
      <c r="B7029" t="s">
        <v>12488</v>
      </c>
      <c r="D7029" t="s">
        <v>12525</v>
      </c>
      <c r="F7029" s="76">
        <v>18</v>
      </c>
      <c r="G7029" s="57" t="s">
        <v>13819</v>
      </c>
      <c r="H7029" s="57" t="s">
        <v>13785</v>
      </c>
    </row>
    <row r="7030" spans="2:8" ht="13.5" customHeight="1">
      <c r="B7030" t="s">
        <v>12489</v>
      </c>
      <c r="D7030" t="s">
        <v>12526</v>
      </c>
      <c r="F7030" s="76">
        <v>22</v>
      </c>
      <c r="G7030" s="57" t="s">
        <v>13819</v>
      </c>
      <c r="H7030" s="57" t="s">
        <v>13785</v>
      </c>
    </row>
    <row r="7031" spans="2:8" ht="13.5" customHeight="1">
      <c r="B7031" t="s">
        <v>12490</v>
      </c>
      <c r="D7031" t="s">
        <v>12527</v>
      </c>
      <c r="F7031" s="76">
        <v>23</v>
      </c>
      <c r="G7031" s="57" t="s">
        <v>13819</v>
      </c>
      <c r="H7031" s="57" t="s">
        <v>13785</v>
      </c>
    </row>
    <row r="7032" spans="2:8" ht="13.5" customHeight="1">
      <c r="B7032" t="s">
        <v>12491</v>
      </c>
      <c r="D7032" t="s">
        <v>12528</v>
      </c>
      <c r="F7032" s="76">
        <v>35</v>
      </c>
      <c r="G7032" s="57" t="s">
        <v>13819</v>
      </c>
      <c r="H7032" s="57" t="s">
        <v>13785</v>
      </c>
    </row>
    <row r="7033" spans="2:8" ht="13.5" customHeight="1">
      <c r="B7033" t="s">
        <v>3456</v>
      </c>
      <c r="D7033" t="s">
        <v>8189</v>
      </c>
      <c r="F7033" s="76">
        <v>42</v>
      </c>
      <c r="G7033" s="57" t="s">
        <v>13819</v>
      </c>
      <c r="H7033" s="57" t="s">
        <v>13785</v>
      </c>
    </row>
    <row r="7034" spans="2:8" ht="13.5" customHeight="1">
      <c r="B7034" t="s">
        <v>11074</v>
      </c>
      <c r="D7034" t="s">
        <v>12529</v>
      </c>
      <c r="F7034" s="76">
        <v>50</v>
      </c>
      <c r="G7034" s="57" t="s">
        <v>13819</v>
      </c>
      <c r="H7034" s="57" t="s">
        <v>13785</v>
      </c>
    </row>
    <row r="7035" spans="2:8" ht="13.5" customHeight="1">
      <c r="B7035" t="s">
        <v>12492</v>
      </c>
      <c r="D7035" t="s">
        <v>12530</v>
      </c>
      <c r="F7035" s="76">
        <v>75</v>
      </c>
      <c r="G7035" s="57" t="s">
        <v>13819</v>
      </c>
      <c r="H7035" s="57" t="s">
        <v>13785</v>
      </c>
    </row>
    <row r="7036" spans="2:8" ht="13.5" customHeight="1">
      <c r="B7036" t="s">
        <v>12493</v>
      </c>
      <c r="D7036" t="s">
        <v>12531</v>
      </c>
      <c r="F7036" s="76">
        <v>1064</v>
      </c>
      <c r="G7036" s="57" t="s">
        <v>13819</v>
      </c>
      <c r="H7036" s="57" t="s">
        <v>13785</v>
      </c>
    </row>
    <row r="7037" spans="2:8" ht="13.5" customHeight="1">
      <c r="B7037" t="s">
        <v>12532</v>
      </c>
      <c r="D7037" t="s">
        <v>12559</v>
      </c>
      <c r="F7037" s="76">
        <v>1</v>
      </c>
      <c r="G7037" s="57" t="s">
        <v>13819</v>
      </c>
      <c r="H7037" s="57" t="s">
        <v>13786</v>
      </c>
    </row>
    <row r="7038" spans="2:8" ht="13.5" customHeight="1">
      <c r="B7038" t="s">
        <v>12533</v>
      </c>
      <c r="D7038" t="s">
        <v>12560</v>
      </c>
      <c r="F7038" s="76">
        <v>1</v>
      </c>
      <c r="G7038" s="57" t="s">
        <v>13819</v>
      </c>
      <c r="H7038" s="57" t="s">
        <v>13786</v>
      </c>
    </row>
    <row r="7039" spans="2:8" ht="13.5" customHeight="1">
      <c r="B7039" t="s">
        <v>12128</v>
      </c>
      <c r="D7039" t="s">
        <v>12561</v>
      </c>
      <c r="F7039" s="76">
        <v>1</v>
      </c>
      <c r="G7039" s="57" t="s">
        <v>13819</v>
      </c>
      <c r="H7039" s="57" t="s">
        <v>13786</v>
      </c>
    </row>
    <row r="7040" spans="2:8" ht="13.5" customHeight="1">
      <c r="B7040" t="s">
        <v>12534</v>
      </c>
      <c r="D7040" t="s">
        <v>12562</v>
      </c>
      <c r="F7040" s="76">
        <v>2</v>
      </c>
      <c r="G7040" s="57" t="s">
        <v>13819</v>
      </c>
      <c r="H7040" s="57" t="s">
        <v>13786</v>
      </c>
    </row>
    <row r="7041" spans="2:8" ht="13.5" customHeight="1">
      <c r="B7041" t="s">
        <v>12535</v>
      </c>
      <c r="D7041" t="s">
        <v>12563</v>
      </c>
      <c r="F7041" s="76">
        <v>2</v>
      </c>
      <c r="G7041" s="57" t="s">
        <v>13819</v>
      </c>
      <c r="H7041" s="57" t="s">
        <v>13786</v>
      </c>
    </row>
    <row r="7042" spans="2:8" ht="13.5" customHeight="1">
      <c r="B7042" t="s">
        <v>12536</v>
      </c>
      <c r="D7042" t="s">
        <v>12564</v>
      </c>
      <c r="F7042" s="76">
        <v>2</v>
      </c>
      <c r="G7042" s="57" t="s">
        <v>13819</v>
      </c>
      <c r="H7042" s="57" t="s">
        <v>13786</v>
      </c>
    </row>
    <row r="7043" spans="2:8" ht="13.5" customHeight="1">
      <c r="B7043" t="s">
        <v>12537</v>
      </c>
      <c r="D7043" t="s">
        <v>12565</v>
      </c>
      <c r="F7043" s="76">
        <v>2</v>
      </c>
      <c r="G7043" s="57" t="s">
        <v>13819</v>
      </c>
      <c r="H7043" s="57" t="s">
        <v>13786</v>
      </c>
    </row>
    <row r="7044" spans="2:8" ht="13.5" customHeight="1">
      <c r="B7044" t="s">
        <v>12538</v>
      </c>
      <c r="D7044" t="s">
        <v>12566</v>
      </c>
      <c r="F7044" s="76">
        <v>2</v>
      </c>
      <c r="G7044" s="57" t="s">
        <v>13819</v>
      </c>
      <c r="H7044" s="57" t="s">
        <v>13786</v>
      </c>
    </row>
    <row r="7045" spans="2:8" ht="13.5" customHeight="1">
      <c r="B7045" t="s">
        <v>12539</v>
      </c>
      <c r="D7045" t="s">
        <v>12567</v>
      </c>
      <c r="F7045" s="76">
        <v>2</v>
      </c>
      <c r="G7045" s="57" t="s">
        <v>13819</v>
      </c>
      <c r="H7045" s="57" t="s">
        <v>13786</v>
      </c>
    </row>
    <row r="7046" spans="2:8" ht="13.5" customHeight="1">
      <c r="B7046" t="s">
        <v>12540</v>
      </c>
      <c r="D7046" t="s">
        <v>12568</v>
      </c>
      <c r="F7046" s="76">
        <v>2</v>
      </c>
      <c r="G7046" s="57" t="s">
        <v>13819</v>
      </c>
      <c r="H7046" s="57" t="s">
        <v>13786</v>
      </c>
    </row>
    <row r="7047" spans="2:8" ht="13.5" customHeight="1">
      <c r="B7047" t="s">
        <v>12541</v>
      </c>
      <c r="D7047" t="s">
        <v>12569</v>
      </c>
      <c r="F7047" s="76">
        <v>3</v>
      </c>
      <c r="G7047" s="57" t="s">
        <v>13819</v>
      </c>
      <c r="H7047" s="57" t="s">
        <v>13786</v>
      </c>
    </row>
    <row r="7048" spans="2:8" ht="13.5" customHeight="1">
      <c r="B7048" t="s">
        <v>12542</v>
      </c>
      <c r="D7048" t="s">
        <v>3205</v>
      </c>
      <c r="F7048" s="76">
        <v>5</v>
      </c>
      <c r="G7048" s="57" t="s">
        <v>13819</v>
      </c>
      <c r="H7048" s="57" t="s">
        <v>13786</v>
      </c>
    </row>
    <row r="7049" spans="2:8" ht="13.5" customHeight="1">
      <c r="B7049" t="s">
        <v>12543</v>
      </c>
      <c r="D7049" t="s">
        <v>12570</v>
      </c>
      <c r="F7049" s="76">
        <v>5</v>
      </c>
      <c r="G7049" s="57" t="s">
        <v>13819</v>
      </c>
      <c r="H7049" s="57" t="s">
        <v>13786</v>
      </c>
    </row>
    <row r="7050" spans="2:8" ht="13.5" customHeight="1">
      <c r="B7050" t="s">
        <v>12544</v>
      </c>
      <c r="D7050" t="s">
        <v>12571</v>
      </c>
      <c r="F7050" s="76">
        <v>6</v>
      </c>
      <c r="G7050" s="57" t="s">
        <v>13819</v>
      </c>
      <c r="H7050" s="57" t="s">
        <v>13786</v>
      </c>
    </row>
    <row r="7051" spans="2:8" ht="13.5" customHeight="1">
      <c r="B7051" t="s">
        <v>12545</v>
      </c>
      <c r="D7051" t="s">
        <v>12572</v>
      </c>
      <c r="F7051" s="76">
        <v>6</v>
      </c>
      <c r="G7051" s="57" t="s">
        <v>13819</v>
      </c>
      <c r="H7051" s="57" t="s">
        <v>13786</v>
      </c>
    </row>
    <row r="7052" spans="2:8" ht="13.5" customHeight="1">
      <c r="B7052" t="s">
        <v>12546</v>
      </c>
      <c r="D7052" t="s">
        <v>12573</v>
      </c>
      <c r="F7052" s="76">
        <v>6</v>
      </c>
      <c r="G7052" s="57" t="s">
        <v>13819</v>
      </c>
      <c r="H7052" s="57" t="s">
        <v>13786</v>
      </c>
    </row>
    <row r="7053" spans="2:8" ht="13.5" customHeight="1">
      <c r="B7053" t="s">
        <v>12547</v>
      </c>
      <c r="D7053" t="s">
        <v>12574</v>
      </c>
      <c r="F7053" s="76">
        <v>7</v>
      </c>
      <c r="G7053" s="57" t="s">
        <v>13819</v>
      </c>
      <c r="H7053" s="57" t="s">
        <v>13786</v>
      </c>
    </row>
    <row r="7054" spans="2:8" ht="13.5" customHeight="1">
      <c r="B7054" t="s">
        <v>12532</v>
      </c>
      <c r="D7054" t="s">
        <v>12575</v>
      </c>
      <c r="F7054" s="76">
        <v>8</v>
      </c>
      <c r="G7054" s="57" t="s">
        <v>13819</v>
      </c>
      <c r="H7054" s="57" t="s">
        <v>13786</v>
      </c>
    </row>
    <row r="7055" spans="2:8" ht="13.5" customHeight="1">
      <c r="B7055" t="s">
        <v>10467</v>
      </c>
      <c r="D7055" t="s">
        <v>12576</v>
      </c>
      <c r="F7055" s="76">
        <v>8</v>
      </c>
      <c r="G7055" s="57" t="s">
        <v>13819</v>
      </c>
      <c r="H7055" s="57" t="s">
        <v>13786</v>
      </c>
    </row>
    <row r="7056" spans="2:8" ht="13.5" customHeight="1">
      <c r="B7056" t="s">
        <v>12548</v>
      </c>
      <c r="D7056" t="s">
        <v>12577</v>
      </c>
      <c r="F7056" s="76">
        <v>8</v>
      </c>
      <c r="G7056" s="57" t="s">
        <v>13819</v>
      </c>
      <c r="H7056" s="57" t="s">
        <v>13786</v>
      </c>
    </row>
    <row r="7057" spans="2:8" ht="13.5" customHeight="1">
      <c r="B7057" t="s">
        <v>12549</v>
      </c>
      <c r="D7057" t="s">
        <v>12578</v>
      </c>
      <c r="F7057" s="76">
        <v>8</v>
      </c>
      <c r="G7057" s="57" t="s">
        <v>13819</v>
      </c>
      <c r="H7057" s="57" t="s">
        <v>13786</v>
      </c>
    </row>
    <row r="7058" spans="2:8" ht="13.5" customHeight="1">
      <c r="B7058" t="s">
        <v>12550</v>
      </c>
      <c r="D7058" t="s">
        <v>12579</v>
      </c>
      <c r="F7058" s="76">
        <v>8</v>
      </c>
      <c r="G7058" s="57" t="s">
        <v>13819</v>
      </c>
      <c r="H7058" s="57" t="s">
        <v>13786</v>
      </c>
    </row>
    <row r="7059" spans="2:8" ht="13.5" customHeight="1">
      <c r="B7059" t="s">
        <v>12551</v>
      </c>
      <c r="D7059" t="s">
        <v>12580</v>
      </c>
      <c r="F7059" s="76">
        <v>8</v>
      </c>
      <c r="G7059" s="57" t="s">
        <v>13819</v>
      </c>
      <c r="H7059" s="57" t="s">
        <v>13786</v>
      </c>
    </row>
    <row r="7060" spans="2:8" ht="13.5" customHeight="1">
      <c r="B7060" t="s">
        <v>12552</v>
      </c>
      <c r="D7060" t="s">
        <v>12581</v>
      </c>
      <c r="F7060" s="76">
        <v>8</v>
      </c>
      <c r="G7060" s="57" t="s">
        <v>13819</v>
      </c>
      <c r="H7060" s="57" t="s">
        <v>13786</v>
      </c>
    </row>
    <row r="7061" spans="2:8" ht="13.5" customHeight="1">
      <c r="B7061" t="s">
        <v>12553</v>
      </c>
      <c r="D7061" t="s">
        <v>12582</v>
      </c>
      <c r="F7061" s="76">
        <v>8</v>
      </c>
      <c r="G7061" s="57" t="s">
        <v>13819</v>
      </c>
      <c r="H7061" s="57" t="s">
        <v>13786</v>
      </c>
    </row>
    <row r="7062" spans="2:8" ht="13.5" customHeight="1">
      <c r="B7062" t="s">
        <v>11596</v>
      </c>
      <c r="D7062" t="s">
        <v>12583</v>
      </c>
      <c r="F7062" s="76">
        <v>9</v>
      </c>
      <c r="G7062" s="57" t="s">
        <v>13819</v>
      </c>
      <c r="H7062" s="57" t="s">
        <v>13786</v>
      </c>
    </row>
    <row r="7063" spans="2:8" ht="13.5" customHeight="1">
      <c r="B7063" t="s">
        <v>12554</v>
      </c>
      <c r="D7063" t="s">
        <v>12584</v>
      </c>
      <c r="F7063" s="76">
        <v>9</v>
      </c>
      <c r="G7063" s="57" t="s">
        <v>13819</v>
      </c>
      <c r="H7063" s="57" t="s">
        <v>13786</v>
      </c>
    </row>
    <row r="7064" spans="2:8" ht="13.5" customHeight="1">
      <c r="B7064" t="s">
        <v>2771</v>
      </c>
      <c r="D7064" t="s">
        <v>12585</v>
      </c>
      <c r="F7064" s="76">
        <v>12</v>
      </c>
      <c r="G7064" s="57" t="s">
        <v>13819</v>
      </c>
      <c r="H7064" s="57" t="s">
        <v>13786</v>
      </c>
    </row>
    <row r="7065" spans="2:8" ht="13.5" customHeight="1">
      <c r="B7065" t="s">
        <v>12555</v>
      </c>
      <c r="D7065" t="s">
        <v>12586</v>
      </c>
      <c r="F7065" s="76">
        <v>12</v>
      </c>
      <c r="G7065" s="57" t="s">
        <v>13819</v>
      </c>
      <c r="H7065" s="57" t="s">
        <v>13786</v>
      </c>
    </row>
    <row r="7066" spans="2:8" ht="13.5" customHeight="1">
      <c r="B7066" t="s">
        <v>12556</v>
      </c>
      <c r="D7066" t="s">
        <v>12587</v>
      </c>
      <c r="F7066" s="76">
        <v>18</v>
      </c>
      <c r="G7066" s="57" t="s">
        <v>13819</v>
      </c>
      <c r="H7066" s="57" t="s">
        <v>13786</v>
      </c>
    </row>
    <row r="7067" spans="2:8" ht="13.5" customHeight="1">
      <c r="B7067" t="s">
        <v>12557</v>
      </c>
      <c r="D7067" t="s">
        <v>12588</v>
      </c>
      <c r="F7067" s="76">
        <v>72</v>
      </c>
      <c r="G7067" s="57" t="s">
        <v>13819</v>
      </c>
      <c r="H7067" s="57" t="s">
        <v>13786</v>
      </c>
    </row>
    <row r="7068" spans="2:8" ht="13.5" customHeight="1">
      <c r="B7068" t="s">
        <v>12558</v>
      </c>
      <c r="D7068" t="s">
        <v>12589</v>
      </c>
      <c r="F7068" s="76">
        <v>930</v>
      </c>
      <c r="G7068" s="57" t="s">
        <v>13819</v>
      </c>
      <c r="H7068" s="57" t="s">
        <v>13786</v>
      </c>
    </row>
    <row r="7069" spans="2:8" ht="13.5" customHeight="1">
      <c r="B7069" t="s">
        <v>12590</v>
      </c>
      <c r="D7069" t="s">
        <v>12616</v>
      </c>
      <c r="F7069" s="76">
        <v>1</v>
      </c>
      <c r="G7069" s="57" t="s">
        <v>13819</v>
      </c>
      <c r="H7069" s="57" t="s">
        <v>13787</v>
      </c>
    </row>
    <row r="7070" spans="2:8" ht="13.5" customHeight="1">
      <c r="B7070" t="s">
        <v>12591</v>
      </c>
      <c r="D7070" t="s">
        <v>12617</v>
      </c>
      <c r="F7070" s="76">
        <v>1</v>
      </c>
      <c r="G7070" s="57" t="s">
        <v>13819</v>
      </c>
      <c r="H7070" s="57" t="s">
        <v>13787</v>
      </c>
    </row>
    <row r="7071" spans="2:8" ht="13.5" customHeight="1">
      <c r="B7071" t="s">
        <v>12592</v>
      </c>
      <c r="D7071" t="s">
        <v>12618</v>
      </c>
      <c r="F7071" s="76">
        <v>4</v>
      </c>
      <c r="G7071" s="57" t="s">
        <v>13819</v>
      </c>
      <c r="H7071" s="57" t="s">
        <v>13787</v>
      </c>
    </row>
    <row r="7072" spans="2:8" ht="13.5" customHeight="1">
      <c r="B7072" t="s">
        <v>12593</v>
      </c>
      <c r="D7072" t="s">
        <v>12619</v>
      </c>
      <c r="F7072" s="76">
        <v>5</v>
      </c>
      <c r="G7072" s="57" t="s">
        <v>13819</v>
      </c>
      <c r="H7072" s="57" t="s">
        <v>13787</v>
      </c>
    </row>
    <row r="7073" spans="2:8" ht="13.5" customHeight="1">
      <c r="B7073" t="s">
        <v>12594</v>
      </c>
      <c r="D7073" t="s">
        <v>12620</v>
      </c>
      <c r="F7073" s="76">
        <v>5</v>
      </c>
      <c r="G7073" s="57" t="s">
        <v>13819</v>
      </c>
      <c r="H7073" s="57" t="s">
        <v>13787</v>
      </c>
    </row>
    <row r="7074" spans="2:8" ht="13.5" customHeight="1">
      <c r="B7074" t="s">
        <v>296</v>
      </c>
      <c r="D7074" t="s">
        <v>12621</v>
      </c>
      <c r="F7074" s="76">
        <v>5</v>
      </c>
      <c r="G7074" s="57" t="s">
        <v>13819</v>
      </c>
      <c r="H7074" s="57" t="s">
        <v>13787</v>
      </c>
    </row>
    <row r="7075" spans="2:8" ht="13.5" customHeight="1">
      <c r="B7075" t="s">
        <v>12595</v>
      </c>
      <c r="D7075" t="s">
        <v>12622</v>
      </c>
      <c r="F7075" s="76">
        <v>6</v>
      </c>
      <c r="G7075" s="57" t="s">
        <v>13819</v>
      </c>
      <c r="H7075" s="57" t="s">
        <v>13787</v>
      </c>
    </row>
    <row r="7076" spans="2:8" ht="13.5" customHeight="1">
      <c r="B7076" t="s">
        <v>12596</v>
      </c>
      <c r="D7076" t="s">
        <v>12623</v>
      </c>
      <c r="F7076" s="76">
        <v>6</v>
      </c>
      <c r="G7076" s="57" t="s">
        <v>13819</v>
      </c>
      <c r="H7076" s="57" t="s">
        <v>13787</v>
      </c>
    </row>
    <row r="7077" spans="2:8" ht="13.5" customHeight="1">
      <c r="B7077" t="s">
        <v>12597</v>
      </c>
      <c r="D7077" t="s">
        <v>12624</v>
      </c>
      <c r="F7077" s="76">
        <v>10</v>
      </c>
      <c r="G7077" s="57" t="s">
        <v>13819</v>
      </c>
      <c r="H7077" s="57" t="s">
        <v>13787</v>
      </c>
    </row>
    <row r="7078" spans="2:8" ht="13.5" customHeight="1">
      <c r="B7078" t="s">
        <v>1529</v>
      </c>
      <c r="D7078" t="s">
        <v>8304</v>
      </c>
      <c r="F7078" s="76">
        <v>16</v>
      </c>
      <c r="G7078" s="57" t="s">
        <v>13819</v>
      </c>
      <c r="H7078" s="57" t="s">
        <v>13787</v>
      </c>
    </row>
    <row r="7079" spans="2:8" ht="13.5" customHeight="1">
      <c r="B7079" t="s">
        <v>12598</v>
      </c>
      <c r="D7079" t="s">
        <v>12625</v>
      </c>
      <c r="F7079" s="76">
        <v>18</v>
      </c>
      <c r="G7079" s="57" t="s">
        <v>13819</v>
      </c>
      <c r="H7079" s="57" t="s">
        <v>13787</v>
      </c>
    </row>
    <row r="7080" spans="2:8" ht="13.5" customHeight="1">
      <c r="B7080" t="s">
        <v>12599</v>
      </c>
      <c r="D7080" t="s">
        <v>3382</v>
      </c>
      <c r="F7080" s="76">
        <v>18</v>
      </c>
      <c r="G7080" s="57" t="s">
        <v>13819</v>
      </c>
      <c r="H7080" s="57" t="s">
        <v>13787</v>
      </c>
    </row>
    <row r="7081" spans="2:8" ht="13.5" customHeight="1">
      <c r="B7081" t="s">
        <v>12600</v>
      </c>
      <c r="D7081" t="s">
        <v>12626</v>
      </c>
      <c r="F7081" s="76">
        <v>19</v>
      </c>
      <c r="G7081" s="57" t="s">
        <v>13819</v>
      </c>
      <c r="H7081" s="57" t="s">
        <v>13787</v>
      </c>
    </row>
    <row r="7082" spans="2:8" ht="13.5" customHeight="1">
      <c r="B7082" t="s">
        <v>12601</v>
      </c>
      <c r="D7082" t="s">
        <v>12627</v>
      </c>
      <c r="F7082" s="76">
        <v>20</v>
      </c>
      <c r="G7082" s="57" t="s">
        <v>13819</v>
      </c>
      <c r="H7082" s="57" t="s">
        <v>13787</v>
      </c>
    </row>
    <row r="7083" spans="2:8" ht="13.5" customHeight="1">
      <c r="B7083" t="s">
        <v>12602</v>
      </c>
      <c r="D7083" t="s">
        <v>12628</v>
      </c>
      <c r="F7083" s="76">
        <v>20</v>
      </c>
      <c r="G7083" s="57" t="s">
        <v>13819</v>
      </c>
      <c r="H7083" s="57" t="s">
        <v>13787</v>
      </c>
    </row>
    <row r="7084" spans="2:8" ht="13.5" customHeight="1">
      <c r="B7084" t="s">
        <v>12603</v>
      </c>
      <c r="D7084" t="s">
        <v>12629</v>
      </c>
      <c r="F7084" s="76">
        <v>20</v>
      </c>
      <c r="G7084" s="57" t="s">
        <v>13819</v>
      </c>
      <c r="H7084" s="57" t="s">
        <v>13787</v>
      </c>
    </row>
    <row r="7085" spans="2:8" ht="13.5" customHeight="1">
      <c r="B7085" t="s">
        <v>12604</v>
      </c>
      <c r="D7085" t="s">
        <v>12630</v>
      </c>
      <c r="F7085" s="76">
        <v>20</v>
      </c>
      <c r="G7085" s="57" t="s">
        <v>13819</v>
      </c>
      <c r="H7085" s="57" t="s">
        <v>13787</v>
      </c>
    </row>
    <row r="7086" spans="2:8" ht="13.5" customHeight="1">
      <c r="B7086" t="s">
        <v>2856</v>
      </c>
      <c r="D7086" t="s">
        <v>12631</v>
      </c>
      <c r="F7086" s="76">
        <v>20</v>
      </c>
      <c r="G7086" s="57" t="s">
        <v>13819</v>
      </c>
      <c r="H7086" s="57" t="s">
        <v>13787</v>
      </c>
    </row>
    <row r="7087" spans="2:8" ht="13.5" customHeight="1">
      <c r="B7087" t="s">
        <v>12605</v>
      </c>
      <c r="D7087" t="s">
        <v>8234</v>
      </c>
      <c r="F7087" s="76">
        <v>20</v>
      </c>
      <c r="G7087" s="57" t="s">
        <v>13819</v>
      </c>
      <c r="H7087" s="57" t="s">
        <v>13787</v>
      </c>
    </row>
    <row r="7088" spans="2:8" ht="13.5" customHeight="1">
      <c r="B7088" t="s">
        <v>12606</v>
      </c>
      <c r="D7088" t="s">
        <v>12632</v>
      </c>
      <c r="F7088" s="76">
        <v>20</v>
      </c>
      <c r="G7088" s="57" t="s">
        <v>13819</v>
      </c>
      <c r="H7088" s="57" t="s">
        <v>13787</v>
      </c>
    </row>
    <row r="7089" spans="2:8" ht="13.5" customHeight="1">
      <c r="B7089" t="s">
        <v>12607</v>
      </c>
      <c r="D7089" t="s">
        <v>12633</v>
      </c>
      <c r="F7089" s="76">
        <v>20</v>
      </c>
      <c r="G7089" s="57" t="s">
        <v>13819</v>
      </c>
      <c r="H7089" s="57" t="s">
        <v>13787</v>
      </c>
    </row>
    <row r="7090" spans="2:8" ht="13.5" customHeight="1">
      <c r="B7090" t="s">
        <v>12608</v>
      </c>
      <c r="D7090" t="s">
        <v>7802</v>
      </c>
      <c r="F7090" s="76">
        <v>20</v>
      </c>
      <c r="G7090" s="57" t="s">
        <v>13819</v>
      </c>
      <c r="H7090" s="57" t="s">
        <v>13787</v>
      </c>
    </row>
    <row r="7091" spans="2:8" ht="13.5" customHeight="1">
      <c r="B7091" t="s">
        <v>12609</v>
      </c>
      <c r="D7091" t="s">
        <v>12634</v>
      </c>
      <c r="F7091" s="76">
        <v>20</v>
      </c>
      <c r="G7091" s="57" t="s">
        <v>13819</v>
      </c>
      <c r="H7091" s="57" t="s">
        <v>13787</v>
      </c>
    </row>
    <row r="7092" spans="2:8" ht="13.5" customHeight="1">
      <c r="B7092" t="s">
        <v>12610</v>
      </c>
      <c r="D7092" t="s">
        <v>12635</v>
      </c>
      <c r="F7092" s="76">
        <v>20</v>
      </c>
      <c r="G7092" s="57" t="s">
        <v>13819</v>
      </c>
      <c r="H7092" s="57" t="s">
        <v>13787</v>
      </c>
    </row>
    <row r="7093" spans="2:8" ht="13.5" customHeight="1">
      <c r="B7093" t="s">
        <v>12611</v>
      </c>
      <c r="D7093" t="s">
        <v>12636</v>
      </c>
      <c r="F7093" s="76">
        <v>39</v>
      </c>
      <c r="G7093" s="57" t="s">
        <v>13819</v>
      </c>
      <c r="H7093" s="57" t="s">
        <v>13787</v>
      </c>
    </row>
    <row r="7094" spans="2:8" ht="13.5" customHeight="1">
      <c r="B7094" t="s">
        <v>12612</v>
      </c>
      <c r="D7094" t="s">
        <v>12637</v>
      </c>
      <c r="F7094" s="76">
        <v>49</v>
      </c>
      <c r="G7094" s="57" t="s">
        <v>13819</v>
      </c>
      <c r="H7094" s="57" t="s">
        <v>13787</v>
      </c>
    </row>
    <row r="7095" spans="2:8" ht="13.5" customHeight="1">
      <c r="B7095" t="s">
        <v>12613</v>
      </c>
      <c r="D7095" t="s">
        <v>1344</v>
      </c>
      <c r="F7095" s="76">
        <v>65</v>
      </c>
      <c r="G7095" s="57" t="s">
        <v>13819</v>
      </c>
      <c r="H7095" s="57" t="s">
        <v>13787</v>
      </c>
    </row>
    <row r="7096" spans="2:8" ht="13.5" customHeight="1">
      <c r="B7096" t="s">
        <v>12614</v>
      </c>
      <c r="D7096" t="s">
        <v>12638</v>
      </c>
      <c r="F7096" s="76">
        <v>84</v>
      </c>
      <c r="G7096" s="57" t="s">
        <v>13819</v>
      </c>
      <c r="H7096" s="57" t="s">
        <v>13787</v>
      </c>
    </row>
    <row r="7097" spans="2:8" ht="13.5" customHeight="1">
      <c r="B7097" t="s">
        <v>12615</v>
      </c>
      <c r="D7097" t="s">
        <v>12639</v>
      </c>
      <c r="F7097" s="76">
        <v>167</v>
      </c>
      <c r="G7097" s="57" t="s">
        <v>13819</v>
      </c>
      <c r="H7097" s="57" t="s">
        <v>13787</v>
      </c>
    </row>
    <row r="7098" spans="2:8" ht="13.5" customHeight="1">
      <c r="B7098" t="s">
        <v>495</v>
      </c>
      <c r="D7098" t="s">
        <v>1784</v>
      </c>
      <c r="F7098" s="76">
        <v>630</v>
      </c>
      <c r="G7098" s="57" t="s">
        <v>13819</v>
      </c>
      <c r="H7098" s="57" t="s">
        <v>13787</v>
      </c>
    </row>
    <row r="7099" spans="2:8" ht="13.5" customHeight="1">
      <c r="B7099" t="s">
        <v>12640</v>
      </c>
      <c r="D7099" t="s">
        <v>12698</v>
      </c>
      <c r="F7099" s="76">
        <v>1</v>
      </c>
      <c r="G7099" s="57" t="s">
        <v>13819</v>
      </c>
      <c r="H7099" s="57" t="s">
        <v>13788</v>
      </c>
    </row>
    <row r="7100" spans="2:8" ht="13.5" customHeight="1">
      <c r="B7100" t="s">
        <v>12641</v>
      </c>
      <c r="D7100" t="s">
        <v>12699</v>
      </c>
      <c r="F7100" s="76">
        <v>1</v>
      </c>
      <c r="G7100" s="57" t="s">
        <v>13819</v>
      </c>
      <c r="H7100" s="57" t="s">
        <v>13788</v>
      </c>
    </row>
    <row r="7101" spans="2:8" ht="13.5" customHeight="1">
      <c r="B7101" t="s">
        <v>12642</v>
      </c>
      <c r="D7101" t="s">
        <v>12700</v>
      </c>
      <c r="F7101" s="76">
        <v>2</v>
      </c>
      <c r="G7101" s="57" t="s">
        <v>13819</v>
      </c>
      <c r="H7101" s="57" t="s">
        <v>13788</v>
      </c>
    </row>
    <row r="7102" spans="2:8" ht="13.5" customHeight="1">
      <c r="B7102" t="s">
        <v>12643</v>
      </c>
      <c r="D7102" t="s">
        <v>6578</v>
      </c>
      <c r="F7102" s="76">
        <v>3</v>
      </c>
      <c r="G7102" s="57" t="s">
        <v>13819</v>
      </c>
      <c r="H7102" s="57" t="s">
        <v>13788</v>
      </c>
    </row>
    <row r="7103" spans="2:8" ht="13.5" customHeight="1">
      <c r="B7103"/>
      <c r="D7103" t="s">
        <v>12701</v>
      </c>
      <c r="F7103" s="76">
        <v>3</v>
      </c>
      <c r="G7103" s="57" t="s">
        <v>13819</v>
      </c>
      <c r="H7103" s="57" t="s">
        <v>13788</v>
      </c>
    </row>
    <row r="7104" spans="2:8" ht="13.5" customHeight="1">
      <c r="B7104" t="s">
        <v>12644</v>
      </c>
      <c r="D7104" t="s">
        <v>12702</v>
      </c>
      <c r="F7104" s="76">
        <v>4</v>
      </c>
      <c r="G7104" s="57" t="s">
        <v>13819</v>
      </c>
      <c r="H7104" s="57" t="s">
        <v>13788</v>
      </c>
    </row>
    <row r="7105" spans="2:8" ht="13.5" customHeight="1">
      <c r="B7105" t="s">
        <v>12645</v>
      </c>
      <c r="D7105" t="s">
        <v>12703</v>
      </c>
      <c r="F7105" s="76">
        <v>5</v>
      </c>
      <c r="G7105" s="57" t="s">
        <v>13819</v>
      </c>
      <c r="H7105" s="57" t="s">
        <v>13788</v>
      </c>
    </row>
    <row r="7106" spans="2:8" ht="13.5" customHeight="1">
      <c r="B7106" t="s">
        <v>12646</v>
      </c>
      <c r="D7106" t="s">
        <v>12704</v>
      </c>
      <c r="F7106" s="76">
        <v>5</v>
      </c>
      <c r="G7106" s="57" t="s">
        <v>13819</v>
      </c>
      <c r="H7106" s="57" t="s">
        <v>13788</v>
      </c>
    </row>
    <row r="7107" spans="2:8" ht="13.5" customHeight="1">
      <c r="B7107" t="s">
        <v>11127</v>
      </c>
      <c r="D7107" t="s">
        <v>12705</v>
      </c>
      <c r="F7107" s="76">
        <v>6</v>
      </c>
      <c r="G7107" s="57" t="s">
        <v>13819</v>
      </c>
      <c r="H7107" s="57" t="s">
        <v>13788</v>
      </c>
    </row>
    <row r="7108" spans="2:8" ht="13.5" customHeight="1">
      <c r="B7108" t="s">
        <v>12647</v>
      </c>
      <c r="D7108" t="s">
        <v>1109</v>
      </c>
      <c r="F7108" s="76">
        <v>6</v>
      </c>
      <c r="G7108" s="57" t="s">
        <v>13819</v>
      </c>
      <c r="H7108" s="57" t="s">
        <v>13788</v>
      </c>
    </row>
    <row r="7109" spans="2:8" ht="13.5" customHeight="1">
      <c r="B7109" t="s">
        <v>12648</v>
      </c>
      <c r="D7109" t="s">
        <v>12706</v>
      </c>
      <c r="F7109" s="76">
        <v>8</v>
      </c>
      <c r="G7109" s="57" t="s">
        <v>13819</v>
      </c>
      <c r="H7109" s="57" t="s">
        <v>13788</v>
      </c>
    </row>
    <row r="7110" spans="2:8" ht="13.5" customHeight="1">
      <c r="B7110" t="s">
        <v>12649</v>
      </c>
      <c r="D7110" t="s">
        <v>12707</v>
      </c>
      <c r="F7110" s="76">
        <v>10</v>
      </c>
      <c r="G7110" s="57" t="s">
        <v>13819</v>
      </c>
      <c r="H7110" s="57" t="s">
        <v>13788</v>
      </c>
    </row>
    <row r="7111" spans="2:8" ht="13.5" customHeight="1">
      <c r="B7111" t="s">
        <v>12650</v>
      </c>
      <c r="D7111" t="s">
        <v>12708</v>
      </c>
      <c r="F7111" s="76">
        <v>10</v>
      </c>
      <c r="G7111" s="57" t="s">
        <v>13819</v>
      </c>
      <c r="H7111" s="57" t="s">
        <v>13788</v>
      </c>
    </row>
    <row r="7112" spans="2:8" ht="13.5" customHeight="1">
      <c r="B7112" t="s">
        <v>12651</v>
      </c>
      <c r="D7112" t="s">
        <v>12709</v>
      </c>
      <c r="F7112" s="76">
        <v>10</v>
      </c>
      <c r="G7112" s="57" t="s">
        <v>13819</v>
      </c>
      <c r="H7112" s="57" t="s">
        <v>13788</v>
      </c>
    </row>
    <row r="7113" spans="2:8" ht="13.5" customHeight="1">
      <c r="B7113" t="s">
        <v>12652</v>
      </c>
      <c r="D7113" t="s">
        <v>12710</v>
      </c>
      <c r="F7113" s="76">
        <v>10</v>
      </c>
      <c r="G7113" s="57" t="s">
        <v>13819</v>
      </c>
      <c r="H7113" s="57" t="s">
        <v>13788</v>
      </c>
    </row>
    <row r="7114" spans="2:8" ht="13.5" customHeight="1">
      <c r="B7114" t="s">
        <v>1335</v>
      </c>
      <c r="D7114" t="s">
        <v>12711</v>
      </c>
      <c r="F7114" s="76">
        <v>11</v>
      </c>
      <c r="G7114" s="57" t="s">
        <v>13819</v>
      </c>
      <c r="H7114" s="57" t="s">
        <v>13788</v>
      </c>
    </row>
    <row r="7115" spans="2:8" ht="13.5" customHeight="1">
      <c r="B7115" t="s">
        <v>12653</v>
      </c>
      <c r="D7115" t="s">
        <v>12712</v>
      </c>
      <c r="F7115" s="76">
        <v>18</v>
      </c>
      <c r="G7115" s="57" t="s">
        <v>13819</v>
      </c>
      <c r="H7115" s="57" t="s">
        <v>13788</v>
      </c>
    </row>
    <row r="7116" spans="2:8" ht="13.5" customHeight="1">
      <c r="B7116" t="s">
        <v>12654</v>
      </c>
      <c r="D7116" t="s">
        <v>12713</v>
      </c>
      <c r="F7116" s="76">
        <v>18</v>
      </c>
      <c r="G7116" s="57" t="s">
        <v>13819</v>
      </c>
      <c r="H7116" s="57" t="s">
        <v>13788</v>
      </c>
    </row>
    <row r="7117" spans="2:8" ht="13.5" customHeight="1">
      <c r="B7117" t="s">
        <v>12655</v>
      </c>
      <c r="D7117" t="s">
        <v>4049</v>
      </c>
      <c r="F7117" s="76">
        <v>19</v>
      </c>
      <c r="G7117" s="57" t="s">
        <v>13819</v>
      </c>
      <c r="H7117" s="57" t="s">
        <v>13788</v>
      </c>
    </row>
    <row r="7118" spans="2:8" ht="13.5" customHeight="1">
      <c r="B7118" t="s">
        <v>12656</v>
      </c>
      <c r="D7118" t="s">
        <v>12714</v>
      </c>
      <c r="F7118" s="76">
        <v>19</v>
      </c>
      <c r="G7118" s="57" t="s">
        <v>13819</v>
      </c>
      <c r="H7118" s="57" t="s">
        <v>13788</v>
      </c>
    </row>
    <row r="7119" spans="2:8" ht="13.5" customHeight="1">
      <c r="B7119" t="s">
        <v>1550</v>
      </c>
      <c r="D7119" t="s">
        <v>12715</v>
      </c>
      <c r="F7119" s="76">
        <v>19</v>
      </c>
      <c r="G7119" s="57" t="s">
        <v>13819</v>
      </c>
      <c r="H7119" s="57" t="s">
        <v>13788</v>
      </c>
    </row>
    <row r="7120" spans="2:8" ht="13.5" customHeight="1">
      <c r="B7120" t="s">
        <v>3981</v>
      </c>
      <c r="D7120" t="s">
        <v>12716</v>
      </c>
      <c r="F7120" s="76">
        <v>20</v>
      </c>
      <c r="G7120" s="57" t="s">
        <v>13819</v>
      </c>
      <c r="H7120" s="57" t="s">
        <v>13788</v>
      </c>
    </row>
    <row r="7121" spans="2:8" ht="13.5" customHeight="1">
      <c r="B7121" t="s">
        <v>12657</v>
      </c>
      <c r="D7121" t="s">
        <v>12717</v>
      </c>
      <c r="F7121" s="76">
        <v>20</v>
      </c>
      <c r="G7121" s="57" t="s">
        <v>13819</v>
      </c>
      <c r="H7121" s="57" t="s">
        <v>13788</v>
      </c>
    </row>
    <row r="7122" spans="2:8" ht="13.5" customHeight="1">
      <c r="B7122" t="s">
        <v>12658</v>
      </c>
      <c r="D7122" t="s">
        <v>12718</v>
      </c>
      <c r="F7122" s="76">
        <v>20</v>
      </c>
      <c r="G7122" s="57" t="s">
        <v>13819</v>
      </c>
      <c r="H7122" s="57" t="s">
        <v>13788</v>
      </c>
    </row>
    <row r="7123" spans="2:8" ht="13.5" customHeight="1">
      <c r="B7123" t="s">
        <v>12659</v>
      </c>
      <c r="D7123" t="s">
        <v>12719</v>
      </c>
      <c r="F7123" s="76">
        <v>20</v>
      </c>
      <c r="G7123" s="57" t="s">
        <v>13819</v>
      </c>
      <c r="H7123" s="57" t="s">
        <v>13788</v>
      </c>
    </row>
    <row r="7124" spans="2:8" ht="13.5" customHeight="1">
      <c r="B7124" t="s">
        <v>12660</v>
      </c>
      <c r="D7124" t="s">
        <v>12720</v>
      </c>
      <c r="F7124" s="76">
        <v>20</v>
      </c>
      <c r="G7124" s="57" t="s">
        <v>13819</v>
      </c>
      <c r="H7124" s="57" t="s">
        <v>13788</v>
      </c>
    </row>
    <row r="7125" spans="2:8" ht="13.5" customHeight="1">
      <c r="B7125" t="s">
        <v>12661</v>
      </c>
      <c r="D7125" t="s">
        <v>12721</v>
      </c>
      <c r="F7125" s="76">
        <v>20</v>
      </c>
      <c r="G7125" s="57" t="s">
        <v>13819</v>
      </c>
      <c r="H7125" s="57" t="s">
        <v>13788</v>
      </c>
    </row>
    <row r="7126" spans="2:8" ht="13.5" customHeight="1">
      <c r="B7126" t="s">
        <v>229</v>
      </c>
      <c r="D7126" t="s">
        <v>12722</v>
      </c>
      <c r="F7126" s="76">
        <v>20</v>
      </c>
      <c r="G7126" s="57" t="s">
        <v>13819</v>
      </c>
      <c r="H7126" s="57" t="s">
        <v>13788</v>
      </c>
    </row>
    <row r="7127" spans="2:8" ht="13.5" customHeight="1">
      <c r="B7127" t="s">
        <v>12662</v>
      </c>
      <c r="D7127" t="s">
        <v>12723</v>
      </c>
      <c r="F7127" s="76">
        <v>20</v>
      </c>
      <c r="G7127" s="57" t="s">
        <v>13819</v>
      </c>
      <c r="H7127" s="57" t="s">
        <v>13788</v>
      </c>
    </row>
    <row r="7128" spans="2:8" ht="13.5" customHeight="1">
      <c r="B7128" t="s">
        <v>12663</v>
      </c>
      <c r="D7128" t="s">
        <v>12724</v>
      </c>
      <c r="F7128" s="76">
        <v>20</v>
      </c>
      <c r="G7128" s="57" t="s">
        <v>13819</v>
      </c>
      <c r="H7128" s="57" t="s">
        <v>13788</v>
      </c>
    </row>
    <row r="7129" spans="2:8" ht="13.5" customHeight="1">
      <c r="B7129" t="s">
        <v>3983</v>
      </c>
      <c r="D7129" t="s">
        <v>12725</v>
      </c>
      <c r="F7129" s="76">
        <v>20</v>
      </c>
      <c r="G7129" s="57" t="s">
        <v>13819</v>
      </c>
      <c r="H7129" s="57" t="s">
        <v>13788</v>
      </c>
    </row>
    <row r="7130" spans="2:8" ht="13.5" customHeight="1">
      <c r="B7130" t="s">
        <v>12664</v>
      </c>
      <c r="D7130" t="s">
        <v>12726</v>
      </c>
      <c r="F7130" s="76">
        <v>20</v>
      </c>
      <c r="G7130" s="57" t="s">
        <v>13819</v>
      </c>
      <c r="H7130" s="57" t="s">
        <v>13788</v>
      </c>
    </row>
    <row r="7131" spans="2:8" ht="13.5" customHeight="1">
      <c r="B7131" t="s">
        <v>12665</v>
      </c>
      <c r="D7131" t="s">
        <v>12727</v>
      </c>
      <c r="F7131" s="76">
        <v>20</v>
      </c>
      <c r="G7131" s="57" t="s">
        <v>13819</v>
      </c>
      <c r="H7131" s="57" t="s">
        <v>13788</v>
      </c>
    </row>
    <row r="7132" spans="2:8" ht="13.5" customHeight="1">
      <c r="B7132" t="s">
        <v>10173</v>
      </c>
      <c r="D7132" t="s">
        <v>12728</v>
      </c>
      <c r="F7132" s="76">
        <v>20</v>
      </c>
      <c r="G7132" s="57" t="s">
        <v>13819</v>
      </c>
      <c r="H7132" s="57" t="s">
        <v>13788</v>
      </c>
    </row>
    <row r="7133" spans="2:8" ht="13.5" customHeight="1">
      <c r="B7133" t="s">
        <v>12666</v>
      </c>
      <c r="D7133" t="s">
        <v>12729</v>
      </c>
      <c r="F7133" s="76">
        <v>20</v>
      </c>
      <c r="G7133" s="57" t="s">
        <v>13819</v>
      </c>
      <c r="H7133" s="57" t="s">
        <v>13788</v>
      </c>
    </row>
    <row r="7134" spans="2:8" ht="13.5" customHeight="1">
      <c r="B7134" t="s">
        <v>12667</v>
      </c>
      <c r="D7134" t="s">
        <v>12730</v>
      </c>
      <c r="F7134" s="76">
        <v>20</v>
      </c>
      <c r="G7134" s="57" t="s">
        <v>13819</v>
      </c>
      <c r="H7134" s="57" t="s">
        <v>13788</v>
      </c>
    </row>
    <row r="7135" spans="2:8" ht="13.5" customHeight="1">
      <c r="B7135" t="s">
        <v>12668</v>
      </c>
      <c r="D7135" t="s">
        <v>12731</v>
      </c>
      <c r="F7135" s="76">
        <v>20</v>
      </c>
      <c r="G7135" s="57" t="s">
        <v>13819</v>
      </c>
      <c r="H7135" s="57" t="s">
        <v>13788</v>
      </c>
    </row>
    <row r="7136" spans="2:8" ht="13.5" customHeight="1">
      <c r="B7136" t="s">
        <v>12669</v>
      </c>
      <c r="D7136" t="s">
        <v>12732</v>
      </c>
      <c r="F7136" s="76">
        <v>20</v>
      </c>
      <c r="G7136" s="57" t="s">
        <v>13819</v>
      </c>
      <c r="H7136" s="57" t="s">
        <v>13788</v>
      </c>
    </row>
    <row r="7137" spans="2:8" ht="13.5" customHeight="1">
      <c r="B7137" t="s">
        <v>12670</v>
      </c>
      <c r="D7137" t="s">
        <v>12733</v>
      </c>
      <c r="F7137" s="76">
        <v>20</v>
      </c>
      <c r="G7137" s="57" t="s">
        <v>13819</v>
      </c>
      <c r="H7137" s="57" t="s">
        <v>13788</v>
      </c>
    </row>
    <row r="7138" spans="2:8" ht="13.5" customHeight="1">
      <c r="B7138" t="s">
        <v>12671</v>
      </c>
      <c r="D7138" t="s">
        <v>12734</v>
      </c>
      <c r="F7138" s="76">
        <v>20</v>
      </c>
      <c r="G7138" s="57" t="s">
        <v>13819</v>
      </c>
      <c r="H7138" s="57" t="s">
        <v>13788</v>
      </c>
    </row>
    <row r="7139" spans="2:8" ht="13.5" customHeight="1">
      <c r="B7139" t="s">
        <v>12672</v>
      </c>
      <c r="D7139" t="s">
        <v>12735</v>
      </c>
      <c r="F7139" s="76">
        <v>20</v>
      </c>
      <c r="G7139" s="57" t="s">
        <v>13819</v>
      </c>
      <c r="H7139" s="57" t="s">
        <v>13788</v>
      </c>
    </row>
    <row r="7140" spans="2:8" ht="13.5" customHeight="1">
      <c r="B7140" t="s">
        <v>12673</v>
      </c>
      <c r="D7140" t="s">
        <v>12736</v>
      </c>
      <c r="F7140" s="76">
        <v>20</v>
      </c>
      <c r="G7140" s="57" t="s">
        <v>13819</v>
      </c>
      <c r="H7140" s="57" t="s">
        <v>13788</v>
      </c>
    </row>
    <row r="7141" spans="2:8" ht="13.5" customHeight="1">
      <c r="B7141" t="s">
        <v>12674</v>
      </c>
      <c r="D7141" t="s">
        <v>12737</v>
      </c>
      <c r="F7141" s="76">
        <v>20</v>
      </c>
      <c r="G7141" s="57" t="s">
        <v>13819</v>
      </c>
      <c r="H7141" s="57" t="s">
        <v>13788</v>
      </c>
    </row>
    <row r="7142" spans="2:8" ht="13.5" customHeight="1">
      <c r="B7142" t="s">
        <v>12675</v>
      </c>
      <c r="D7142" t="s">
        <v>12738</v>
      </c>
      <c r="F7142" s="76">
        <v>23</v>
      </c>
      <c r="G7142" s="57" t="s">
        <v>13819</v>
      </c>
      <c r="H7142" s="57" t="s">
        <v>13788</v>
      </c>
    </row>
    <row r="7143" spans="2:8" ht="13.5" customHeight="1">
      <c r="B7143" t="s">
        <v>12676</v>
      </c>
      <c r="D7143" t="s">
        <v>12739</v>
      </c>
      <c r="F7143" s="76">
        <v>25</v>
      </c>
      <c r="G7143" s="57" t="s">
        <v>13819</v>
      </c>
      <c r="H7143" s="57" t="s">
        <v>13788</v>
      </c>
    </row>
    <row r="7144" spans="2:8" ht="13.5" customHeight="1">
      <c r="B7144" t="s">
        <v>12677</v>
      </c>
      <c r="D7144" t="s">
        <v>12740</v>
      </c>
      <c r="F7144" s="76">
        <v>30</v>
      </c>
      <c r="G7144" s="57" t="s">
        <v>13819</v>
      </c>
      <c r="H7144" s="57" t="s">
        <v>13788</v>
      </c>
    </row>
    <row r="7145" spans="2:8" ht="13.5" customHeight="1">
      <c r="B7145" t="s">
        <v>12678</v>
      </c>
      <c r="D7145" t="s">
        <v>12741</v>
      </c>
      <c r="F7145" s="76">
        <v>31</v>
      </c>
      <c r="G7145" s="57" t="s">
        <v>13819</v>
      </c>
      <c r="H7145" s="57" t="s">
        <v>13788</v>
      </c>
    </row>
    <row r="7146" spans="2:8" ht="13.5" customHeight="1">
      <c r="B7146" t="s">
        <v>8389</v>
      </c>
      <c r="D7146" t="s">
        <v>12742</v>
      </c>
      <c r="F7146" s="76">
        <v>37</v>
      </c>
      <c r="G7146" s="57" t="s">
        <v>13819</v>
      </c>
      <c r="H7146" s="57" t="s">
        <v>13788</v>
      </c>
    </row>
    <row r="7147" spans="2:8" ht="13.5" customHeight="1">
      <c r="B7147" t="s">
        <v>12679</v>
      </c>
      <c r="D7147" t="s">
        <v>12743</v>
      </c>
      <c r="F7147" s="76">
        <v>48</v>
      </c>
      <c r="G7147" s="57" t="s">
        <v>13819</v>
      </c>
      <c r="H7147" s="57" t="s">
        <v>13788</v>
      </c>
    </row>
    <row r="7148" spans="2:8" ht="13.5" customHeight="1">
      <c r="B7148" t="s">
        <v>12680</v>
      </c>
      <c r="D7148" t="s">
        <v>12744</v>
      </c>
      <c r="F7148" s="76">
        <v>54</v>
      </c>
      <c r="G7148" s="57" t="s">
        <v>13819</v>
      </c>
      <c r="H7148" s="57" t="s">
        <v>13788</v>
      </c>
    </row>
    <row r="7149" spans="2:8" ht="13.5" customHeight="1">
      <c r="B7149" t="s">
        <v>12681</v>
      </c>
      <c r="D7149" t="s">
        <v>12745</v>
      </c>
      <c r="F7149" s="76">
        <v>266</v>
      </c>
      <c r="G7149" s="57" t="s">
        <v>13819</v>
      </c>
      <c r="H7149" s="57" t="s">
        <v>13788</v>
      </c>
    </row>
    <row r="7150" spans="2:8" ht="13.5" customHeight="1">
      <c r="B7150"/>
      <c r="D7150" t="s">
        <v>12746</v>
      </c>
      <c r="F7150" s="76">
        <v>4</v>
      </c>
      <c r="G7150" s="57" t="s">
        <v>13819</v>
      </c>
      <c r="H7150" s="57" t="s">
        <v>13789</v>
      </c>
    </row>
    <row r="7151" spans="2:8" ht="13.5" customHeight="1">
      <c r="B7151" t="s">
        <v>8169</v>
      </c>
      <c r="D7151" t="s">
        <v>12747</v>
      </c>
      <c r="F7151" s="76">
        <v>7</v>
      </c>
      <c r="G7151" s="57" t="s">
        <v>13819</v>
      </c>
      <c r="H7151" s="57" t="s">
        <v>13789</v>
      </c>
    </row>
    <row r="7152" spans="2:8" ht="13.5" customHeight="1">
      <c r="B7152" t="s">
        <v>12682</v>
      </c>
      <c r="D7152" t="s">
        <v>12748</v>
      </c>
      <c r="F7152" s="76">
        <v>7</v>
      </c>
      <c r="G7152" s="57" t="s">
        <v>13819</v>
      </c>
      <c r="H7152" s="57" t="s">
        <v>13789</v>
      </c>
    </row>
    <row r="7153" spans="2:8" ht="13.5" customHeight="1">
      <c r="B7153" t="s">
        <v>12683</v>
      </c>
      <c r="D7153" t="s">
        <v>12749</v>
      </c>
      <c r="F7153" s="76">
        <v>9</v>
      </c>
      <c r="G7153" s="57" t="s">
        <v>13819</v>
      </c>
      <c r="H7153" s="57" t="s">
        <v>13789</v>
      </c>
    </row>
    <row r="7154" spans="2:8" ht="13.5" customHeight="1">
      <c r="B7154" t="s">
        <v>12684</v>
      </c>
      <c r="D7154" t="s">
        <v>12750</v>
      </c>
      <c r="F7154" s="76">
        <v>9</v>
      </c>
      <c r="G7154" s="57" t="s">
        <v>13819</v>
      </c>
      <c r="H7154" s="57" t="s">
        <v>13789</v>
      </c>
    </row>
    <row r="7155" spans="2:8" ht="13.5" customHeight="1">
      <c r="B7155" t="s">
        <v>12685</v>
      </c>
      <c r="D7155" t="s">
        <v>12751</v>
      </c>
      <c r="F7155" s="76">
        <v>9</v>
      </c>
      <c r="G7155" s="57" t="s">
        <v>13819</v>
      </c>
      <c r="H7155" s="57" t="s">
        <v>13789</v>
      </c>
    </row>
    <row r="7156" spans="2:8" ht="13.5" customHeight="1">
      <c r="B7156" t="s">
        <v>12686</v>
      </c>
      <c r="D7156" t="s">
        <v>12752</v>
      </c>
      <c r="F7156" s="76">
        <v>10</v>
      </c>
      <c r="G7156" s="57" t="s">
        <v>13819</v>
      </c>
      <c r="H7156" s="57" t="s">
        <v>13789</v>
      </c>
    </row>
    <row r="7157" spans="2:8" ht="13.5" customHeight="1">
      <c r="B7157" t="s">
        <v>12687</v>
      </c>
      <c r="D7157" t="s">
        <v>12753</v>
      </c>
      <c r="F7157" s="76">
        <v>10</v>
      </c>
      <c r="G7157" s="57" t="s">
        <v>13819</v>
      </c>
      <c r="H7157" s="57" t="s">
        <v>13789</v>
      </c>
    </row>
    <row r="7158" spans="2:8" ht="13.5" customHeight="1">
      <c r="B7158" t="s">
        <v>12688</v>
      </c>
      <c r="D7158" t="s">
        <v>12754</v>
      </c>
      <c r="F7158" s="76">
        <v>10</v>
      </c>
      <c r="G7158" s="57" t="s">
        <v>13819</v>
      </c>
      <c r="H7158" s="57" t="s">
        <v>13789</v>
      </c>
    </row>
    <row r="7159" spans="2:8" ht="13.5" customHeight="1">
      <c r="B7159" t="s">
        <v>12689</v>
      </c>
      <c r="D7159" t="s">
        <v>12755</v>
      </c>
      <c r="F7159" s="76">
        <v>10</v>
      </c>
      <c r="G7159" s="57" t="s">
        <v>13819</v>
      </c>
      <c r="H7159" s="57" t="s">
        <v>13789</v>
      </c>
    </row>
    <row r="7160" spans="2:8" ht="13.5" customHeight="1">
      <c r="B7160" t="s">
        <v>12690</v>
      </c>
      <c r="D7160" t="s">
        <v>12756</v>
      </c>
      <c r="F7160" s="76">
        <v>10</v>
      </c>
      <c r="G7160" s="57" t="s">
        <v>13819</v>
      </c>
      <c r="H7160" s="57" t="s">
        <v>13789</v>
      </c>
    </row>
    <row r="7161" spans="2:8" ht="13.5" customHeight="1">
      <c r="B7161" t="s">
        <v>12691</v>
      </c>
      <c r="D7161" t="s">
        <v>12757</v>
      </c>
      <c r="F7161" s="76">
        <v>19</v>
      </c>
      <c r="G7161" s="57" t="s">
        <v>13819</v>
      </c>
      <c r="H7161" s="57" t="s">
        <v>13789</v>
      </c>
    </row>
    <row r="7162" spans="2:8" ht="13.5" customHeight="1">
      <c r="B7162" t="s">
        <v>3560</v>
      </c>
      <c r="D7162" t="s">
        <v>12758</v>
      </c>
      <c r="F7162" s="76">
        <v>19</v>
      </c>
      <c r="G7162" s="57" t="s">
        <v>13819</v>
      </c>
      <c r="H7162" s="57" t="s">
        <v>13789</v>
      </c>
    </row>
    <row r="7163" spans="2:8" ht="13.5" customHeight="1">
      <c r="B7163" t="s">
        <v>12692</v>
      </c>
      <c r="D7163" t="s">
        <v>12759</v>
      </c>
      <c r="F7163" s="76">
        <v>20</v>
      </c>
      <c r="G7163" s="57" t="s">
        <v>13819</v>
      </c>
      <c r="H7163" s="57" t="s">
        <v>13789</v>
      </c>
    </row>
    <row r="7164" spans="2:8" ht="13.5" customHeight="1">
      <c r="B7164" t="s">
        <v>10420</v>
      </c>
      <c r="D7164" t="s">
        <v>12760</v>
      </c>
      <c r="F7164" s="76">
        <v>20</v>
      </c>
      <c r="G7164" s="57" t="s">
        <v>13819</v>
      </c>
      <c r="H7164" s="57" t="s">
        <v>13789</v>
      </c>
    </row>
    <row r="7165" spans="2:8" ht="13.5" customHeight="1">
      <c r="B7165" t="s">
        <v>12693</v>
      </c>
      <c r="D7165" t="s">
        <v>12761</v>
      </c>
      <c r="F7165" s="76">
        <v>20</v>
      </c>
      <c r="G7165" s="57" t="s">
        <v>13819</v>
      </c>
      <c r="H7165" s="57" t="s">
        <v>13789</v>
      </c>
    </row>
    <row r="7166" spans="2:8" ht="13.5" customHeight="1">
      <c r="B7166" t="s">
        <v>12694</v>
      </c>
      <c r="D7166" t="s">
        <v>12762</v>
      </c>
      <c r="F7166" s="76">
        <v>20</v>
      </c>
      <c r="G7166" s="57" t="s">
        <v>13819</v>
      </c>
      <c r="H7166" s="57" t="s">
        <v>13789</v>
      </c>
    </row>
    <row r="7167" spans="2:8" ht="13.5" customHeight="1">
      <c r="B7167" t="s">
        <v>12695</v>
      </c>
      <c r="D7167" t="s">
        <v>12763</v>
      </c>
      <c r="F7167" s="76">
        <v>20</v>
      </c>
      <c r="G7167" s="57" t="s">
        <v>13819</v>
      </c>
      <c r="H7167" s="57" t="s">
        <v>13789</v>
      </c>
    </row>
    <row r="7168" spans="2:8" ht="13.5" customHeight="1">
      <c r="B7168" t="s">
        <v>12696</v>
      </c>
      <c r="D7168" t="s">
        <v>12764</v>
      </c>
      <c r="F7168" s="76">
        <v>41</v>
      </c>
      <c r="G7168" s="57" t="s">
        <v>13819</v>
      </c>
      <c r="H7168" s="57" t="s">
        <v>13789</v>
      </c>
    </row>
    <row r="7169" spans="2:8" ht="13.5" customHeight="1">
      <c r="B7169" t="s">
        <v>12697</v>
      </c>
      <c r="D7169" t="s">
        <v>12765</v>
      </c>
      <c r="F7169" s="76">
        <v>60</v>
      </c>
      <c r="G7169" s="57" t="s">
        <v>13819</v>
      </c>
      <c r="H7169" s="57" t="s">
        <v>13789</v>
      </c>
    </row>
    <row r="7170" spans="2:8" ht="13.5" customHeight="1">
      <c r="B7170" t="s">
        <v>7204</v>
      </c>
      <c r="D7170" t="s">
        <v>12786</v>
      </c>
      <c r="F7170" s="76">
        <v>1</v>
      </c>
      <c r="G7170" s="57" t="s">
        <v>13819</v>
      </c>
      <c r="H7170" s="57" t="s">
        <v>13790</v>
      </c>
    </row>
    <row r="7171" spans="2:8" ht="13.5" customHeight="1">
      <c r="B7171" t="s">
        <v>12766</v>
      </c>
      <c r="D7171" t="s">
        <v>12787</v>
      </c>
      <c r="F7171" s="76">
        <v>1</v>
      </c>
      <c r="G7171" s="57" t="s">
        <v>13819</v>
      </c>
      <c r="H7171" s="57" t="s">
        <v>13790</v>
      </c>
    </row>
    <row r="7172" spans="2:8" ht="13.5" customHeight="1">
      <c r="B7172" t="s">
        <v>12767</v>
      </c>
      <c r="D7172" t="s">
        <v>12788</v>
      </c>
      <c r="F7172" s="76">
        <v>1</v>
      </c>
      <c r="G7172" s="57" t="s">
        <v>13819</v>
      </c>
      <c r="H7172" s="57" t="s">
        <v>13790</v>
      </c>
    </row>
    <row r="7173" spans="2:8" ht="13.5" customHeight="1">
      <c r="B7173" t="s">
        <v>12768</v>
      </c>
      <c r="D7173" t="s">
        <v>12789</v>
      </c>
      <c r="F7173" s="76">
        <v>1</v>
      </c>
      <c r="G7173" s="57" t="s">
        <v>13819</v>
      </c>
      <c r="H7173" s="57" t="s">
        <v>13790</v>
      </c>
    </row>
    <row r="7174" spans="2:8" ht="13.5" customHeight="1">
      <c r="B7174" t="s">
        <v>12769</v>
      </c>
      <c r="D7174" t="s">
        <v>12790</v>
      </c>
      <c r="F7174" s="76">
        <v>1</v>
      </c>
      <c r="G7174" s="57" t="s">
        <v>13819</v>
      </c>
      <c r="H7174" s="57" t="s">
        <v>13790</v>
      </c>
    </row>
    <row r="7175" spans="2:8" ht="13.5" customHeight="1">
      <c r="B7175" t="s">
        <v>12770</v>
      </c>
      <c r="D7175" t="s">
        <v>12791</v>
      </c>
      <c r="F7175" s="76">
        <v>2</v>
      </c>
      <c r="G7175" s="57" t="s">
        <v>13819</v>
      </c>
      <c r="H7175" s="57" t="s">
        <v>13790</v>
      </c>
    </row>
    <row r="7176" spans="2:8" ht="13.5" customHeight="1">
      <c r="B7176" t="s">
        <v>12771</v>
      </c>
      <c r="D7176" t="s">
        <v>9104</v>
      </c>
      <c r="F7176" s="76">
        <v>5</v>
      </c>
      <c r="G7176" s="57" t="s">
        <v>13819</v>
      </c>
      <c r="H7176" s="57" t="s">
        <v>13790</v>
      </c>
    </row>
    <row r="7177" spans="2:8" ht="13.5" customHeight="1">
      <c r="B7177" t="s">
        <v>12772</v>
      </c>
      <c r="D7177" t="s">
        <v>12792</v>
      </c>
      <c r="F7177" s="76">
        <v>6</v>
      </c>
      <c r="G7177" s="57" t="s">
        <v>13819</v>
      </c>
      <c r="H7177" s="57" t="s">
        <v>13790</v>
      </c>
    </row>
    <row r="7178" spans="2:8" ht="13.5" customHeight="1">
      <c r="B7178" t="s">
        <v>12773</v>
      </c>
      <c r="D7178" t="s">
        <v>12793</v>
      </c>
      <c r="F7178" s="76">
        <v>9</v>
      </c>
      <c r="G7178" s="57" t="s">
        <v>13819</v>
      </c>
      <c r="H7178" s="57" t="s">
        <v>13790</v>
      </c>
    </row>
    <row r="7179" spans="2:8" ht="13.5" customHeight="1">
      <c r="B7179" t="s">
        <v>12774</v>
      </c>
      <c r="D7179" t="s">
        <v>12794</v>
      </c>
      <c r="F7179" s="76">
        <v>10</v>
      </c>
      <c r="G7179" s="57" t="s">
        <v>13819</v>
      </c>
      <c r="H7179" s="57" t="s">
        <v>13790</v>
      </c>
    </row>
    <row r="7180" spans="2:8" ht="13.5" customHeight="1">
      <c r="B7180" t="s">
        <v>12775</v>
      </c>
      <c r="D7180" t="s">
        <v>12795</v>
      </c>
      <c r="F7180" s="76">
        <v>10</v>
      </c>
      <c r="G7180" s="57" t="s">
        <v>13819</v>
      </c>
      <c r="H7180" s="57" t="s">
        <v>13790</v>
      </c>
    </row>
    <row r="7181" spans="2:8" ht="13.5" customHeight="1">
      <c r="B7181" t="s">
        <v>12776</v>
      </c>
      <c r="D7181" t="s">
        <v>12796</v>
      </c>
      <c r="F7181" s="76">
        <v>11</v>
      </c>
      <c r="G7181" s="57" t="s">
        <v>13819</v>
      </c>
      <c r="H7181" s="57" t="s">
        <v>13790</v>
      </c>
    </row>
    <row r="7182" spans="2:8" ht="13.5" customHeight="1">
      <c r="B7182" t="s">
        <v>12777</v>
      </c>
      <c r="D7182" t="s">
        <v>12797</v>
      </c>
      <c r="F7182" s="76">
        <v>14</v>
      </c>
      <c r="G7182" s="57" t="s">
        <v>13819</v>
      </c>
      <c r="H7182" s="57" t="s">
        <v>13790</v>
      </c>
    </row>
    <row r="7183" spans="2:8" ht="13.5" customHeight="1">
      <c r="B7183" t="s">
        <v>12778</v>
      </c>
      <c r="D7183" t="s">
        <v>12798</v>
      </c>
      <c r="F7183" s="76">
        <v>15</v>
      </c>
      <c r="G7183" s="57" t="s">
        <v>13819</v>
      </c>
      <c r="H7183" s="57" t="s">
        <v>13790</v>
      </c>
    </row>
    <row r="7184" spans="2:8" ht="13.5" customHeight="1">
      <c r="B7184" t="s">
        <v>9853</v>
      </c>
      <c r="D7184" t="s">
        <v>12799</v>
      </c>
      <c r="F7184" s="76">
        <v>18</v>
      </c>
      <c r="G7184" s="57" t="s">
        <v>13819</v>
      </c>
      <c r="H7184" s="57" t="s">
        <v>13790</v>
      </c>
    </row>
    <row r="7185" spans="2:8" ht="13.5" customHeight="1">
      <c r="B7185" t="s">
        <v>12779</v>
      </c>
      <c r="D7185" t="s">
        <v>12800</v>
      </c>
      <c r="F7185" s="76">
        <v>19</v>
      </c>
      <c r="G7185" s="57" t="s">
        <v>13819</v>
      </c>
      <c r="H7185" s="57" t="s">
        <v>13790</v>
      </c>
    </row>
    <row r="7186" spans="2:8" ht="13.5" customHeight="1">
      <c r="B7186" t="s">
        <v>12780</v>
      </c>
      <c r="D7186" t="s">
        <v>12801</v>
      </c>
      <c r="F7186" s="76">
        <v>21</v>
      </c>
      <c r="G7186" s="57" t="s">
        <v>13819</v>
      </c>
      <c r="H7186" s="57" t="s">
        <v>13790</v>
      </c>
    </row>
    <row r="7187" spans="2:8" ht="13.5" customHeight="1">
      <c r="B7187" t="s">
        <v>12781</v>
      </c>
      <c r="D7187" t="s">
        <v>12802</v>
      </c>
      <c r="F7187" s="76">
        <v>32</v>
      </c>
      <c r="G7187" s="57" t="s">
        <v>13819</v>
      </c>
      <c r="H7187" s="57" t="s">
        <v>13790</v>
      </c>
    </row>
    <row r="7188" spans="2:8" ht="13.5" customHeight="1">
      <c r="B7188" t="s">
        <v>10470</v>
      </c>
      <c r="D7188" t="s">
        <v>12803</v>
      </c>
      <c r="F7188" s="76">
        <v>38</v>
      </c>
      <c r="G7188" s="57" t="s">
        <v>13819</v>
      </c>
      <c r="H7188" s="57" t="s">
        <v>13790</v>
      </c>
    </row>
    <row r="7189" spans="2:8" ht="13.5" customHeight="1">
      <c r="B7189" t="s">
        <v>12782</v>
      </c>
      <c r="D7189" t="s">
        <v>12804</v>
      </c>
      <c r="F7189" s="76">
        <v>73</v>
      </c>
      <c r="G7189" s="57" t="s">
        <v>13819</v>
      </c>
      <c r="H7189" s="57" t="s">
        <v>13790</v>
      </c>
    </row>
    <row r="7190" spans="2:8" ht="13.5" customHeight="1">
      <c r="B7190" t="s">
        <v>12783</v>
      </c>
      <c r="D7190" t="s">
        <v>12805</v>
      </c>
      <c r="F7190" s="76">
        <v>89</v>
      </c>
      <c r="G7190" s="57" t="s">
        <v>13819</v>
      </c>
      <c r="H7190" s="57" t="s">
        <v>13790</v>
      </c>
    </row>
    <row r="7191" spans="2:8" ht="13.5" customHeight="1">
      <c r="B7191" t="s">
        <v>12784</v>
      </c>
      <c r="D7191" t="s">
        <v>12806</v>
      </c>
      <c r="F7191" s="76">
        <v>113</v>
      </c>
      <c r="G7191" s="57" t="s">
        <v>13819</v>
      </c>
      <c r="H7191" s="57" t="s">
        <v>13790</v>
      </c>
    </row>
    <row r="7192" spans="2:8" ht="13.5" customHeight="1">
      <c r="B7192" t="s">
        <v>12785</v>
      </c>
      <c r="D7192" t="s">
        <v>12807</v>
      </c>
      <c r="F7192" s="76">
        <v>129</v>
      </c>
      <c r="G7192" s="57" t="s">
        <v>13819</v>
      </c>
      <c r="H7192" s="57" t="s">
        <v>13790</v>
      </c>
    </row>
    <row r="7193" spans="2:8" ht="13.5" customHeight="1">
      <c r="B7193" t="s">
        <v>12808</v>
      </c>
      <c r="D7193" t="s">
        <v>12836</v>
      </c>
      <c r="F7193" s="76">
        <v>1</v>
      </c>
      <c r="G7193" s="57" t="s">
        <v>13819</v>
      </c>
      <c r="H7193" s="57" t="s">
        <v>13791</v>
      </c>
    </row>
    <row r="7194" spans="2:8" ht="13.5" customHeight="1">
      <c r="B7194" t="s">
        <v>12809</v>
      </c>
      <c r="D7194" t="s">
        <v>12837</v>
      </c>
      <c r="F7194" s="76">
        <v>1</v>
      </c>
      <c r="G7194" s="57" t="s">
        <v>13819</v>
      </c>
      <c r="H7194" s="57" t="s">
        <v>13791</v>
      </c>
    </row>
    <row r="7195" spans="2:8" ht="13.5" customHeight="1">
      <c r="B7195" t="s">
        <v>12810</v>
      </c>
      <c r="D7195" t="s">
        <v>12838</v>
      </c>
      <c r="F7195" s="76">
        <v>1</v>
      </c>
      <c r="G7195" s="57" t="s">
        <v>13819</v>
      </c>
      <c r="H7195" s="57" t="s">
        <v>13791</v>
      </c>
    </row>
    <row r="7196" spans="2:8" ht="13.5" customHeight="1">
      <c r="B7196" t="s">
        <v>12811</v>
      </c>
      <c r="D7196" t="s">
        <v>12839</v>
      </c>
      <c r="F7196" s="76">
        <v>1</v>
      </c>
      <c r="G7196" s="57" t="s">
        <v>13819</v>
      </c>
      <c r="H7196" s="57" t="s">
        <v>13791</v>
      </c>
    </row>
    <row r="7197" spans="2:8" ht="13.5" customHeight="1">
      <c r="B7197" t="s">
        <v>12812</v>
      </c>
      <c r="D7197" t="s">
        <v>12840</v>
      </c>
      <c r="F7197" s="76">
        <v>2</v>
      </c>
      <c r="G7197" s="57" t="s">
        <v>13819</v>
      </c>
      <c r="H7197" s="57" t="s">
        <v>13791</v>
      </c>
    </row>
    <row r="7198" spans="2:8" ht="13.5" customHeight="1">
      <c r="B7198" t="s">
        <v>12813</v>
      </c>
      <c r="D7198" t="s">
        <v>12841</v>
      </c>
      <c r="F7198" s="76">
        <v>3</v>
      </c>
      <c r="G7198" s="57" t="s">
        <v>13819</v>
      </c>
      <c r="H7198" s="57" t="s">
        <v>13791</v>
      </c>
    </row>
    <row r="7199" spans="2:8" ht="13.5" customHeight="1">
      <c r="B7199" t="s">
        <v>12814</v>
      </c>
      <c r="D7199" t="s">
        <v>12842</v>
      </c>
      <c r="F7199" s="76">
        <v>3</v>
      </c>
      <c r="G7199" s="57" t="s">
        <v>13819</v>
      </c>
      <c r="H7199" s="57" t="s">
        <v>13791</v>
      </c>
    </row>
    <row r="7200" spans="2:8" ht="13.5" customHeight="1">
      <c r="B7200" t="s">
        <v>12815</v>
      </c>
      <c r="D7200" t="s">
        <v>12843</v>
      </c>
      <c r="F7200" s="76">
        <v>3</v>
      </c>
      <c r="G7200" s="57" t="s">
        <v>13819</v>
      </c>
      <c r="H7200" s="57" t="s">
        <v>13791</v>
      </c>
    </row>
    <row r="7201" spans="2:8" ht="13.5" customHeight="1">
      <c r="B7201" t="s">
        <v>12816</v>
      </c>
      <c r="D7201" t="s">
        <v>12844</v>
      </c>
      <c r="F7201" s="76">
        <v>5</v>
      </c>
      <c r="G7201" s="57" t="s">
        <v>13819</v>
      </c>
      <c r="H7201" s="57" t="s">
        <v>13791</v>
      </c>
    </row>
    <row r="7202" spans="2:8" ht="13.5" customHeight="1">
      <c r="B7202" t="s">
        <v>12817</v>
      </c>
      <c r="D7202" t="s">
        <v>12845</v>
      </c>
      <c r="F7202" s="76">
        <v>6</v>
      </c>
      <c r="G7202" s="57" t="s">
        <v>13819</v>
      </c>
      <c r="H7202" s="57" t="s">
        <v>13791</v>
      </c>
    </row>
    <row r="7203" spans="2:8" ht="13.5" customHeight="1">
      <c r="B7203" t="s">
        <v>12818</v>
      </c>
      <c r="D7203" t="s">
        <v>12846</v>
      </c>
      <c r="F7203" s="76">
        <v>7</v>
      </c>
      <c r="G7203" s="57" t="s">
        <v>13819</v>
      </c>
      <c r="H7203" s="57" t="s">
        <v>13791</v>
      </c>
    </row>
    <row r="7204" spans="2:8" ht="13.5" customHeight="1">
      <c r="B7204" t="s">
        <v>12819</v>
      </c>
      <c r="D7204" t="s">
        <v>12847</v>
      </c>
      <c r="F7204" s="76">
        <v>8</v>
      </c>
      <c r="G7204" s="57" t="s">
        <v>13819</v>
      </c>
      <c r="H7204" s="57" t="s">
        <v>13791</v>
      </c>
    </row>
    <row r="7205" spans="2:8" ht="13.5" customHeight="1">
      <c r="B7205" t="s">
        <v>12820</v>
      </c>
      <c r="D7205" t="s">
        <v>12848</v>
      </c>
      <c r="F7205" s="76">
        <v>9</v>
      </c>
      <c r="G7205" s="57" t="s">
        <v>13819</v>
      </c>
      <c r="H7205" s="57" t="s">
        <v>13791</v>
      </c>
    </row>
    <row r="7206" spans="2:8" ht="13.5" customHeight="1">
      <c r="B7206" t="s">
        <v>12821</v>
      </c>
      <c r="D7206" t="s">
        <v>12849</v>
      </c>
      <c r="F7206" s="76">
        <v>11</v>
      </c>
      <c r="G7206" s="57" t="s">
        <v>13819</v>
      </c>
      <c r="H7206" s="57" t="s">
        <v>13791</v>
      </c>
    </row>
    <row r="7207" spans="2:8" ht="13.5" customHeight="1">
      <c r="B7207" t="s">
        <v>12822</v>
      </c>
      <c r="D7207" t="s">
        <v>12850</v>
      </c>
      <c r="F7207" s="76">
        <v>11</v>
      </c>
      <c r="G7207" s="57" t="s">
        <v>13819</v>
      </c>
      <c r="H7207" s="57" t="s">
        <v>13791</v>
      </c>
    </row>
    <row r="7208" spans="2:8" ht="13.5" customHeight="1">
      <c r="B7208" t="s">
        <v>3233</v>
      </c>
      <c r="D7208" t="s">
        <v>3234</v>
      </c>
      <c r="F7208" s="76">
        <v>12</v>
      </c>
      <c r="G7208" s="57" t="s">
        <v>13819</v>
      </c>
      <c r="H7208" s="57" t="s">
        <v>13791</v>
      </c>
    </row>
    <row r="7209" spans="2:8" ht="13.5" customHeight="1">
      <c r="B7209" t="s">
        <v>12823</v>
      </c>
      <c r="D7209" t="s">
        <v>12851</v>
      </c>
      <c r="F7209" s="76">
        <v>12</v>
      </c>
      <c r="G7209" s="57" t="s">
        <v>13819</v>
      </c>
      <c r="H7209" s="57" t="s">
        <v>13791</v>
      </c>
    </row>
    <row r="7210" spans="2:8" ht="13.5" customHeight="1">
      <c r="B7210" t="s">
        <v>12824</v>
      </c>
      <c r="D7210" t="s">
        <v>12852</v>
      </c>
      <c r="F7210" s="76">
        <v>20</v>
      </c>
      <c r="G7210" s="57" t="s">
        <v>13819</v>
      </c>
      <c r="H7210" s="57" t="s">
        <v>13791</v>
      </c>
    </row>
    <row r="7211" spans="2:8" ht="13.5" customHeight="1">
      <c r="B7211" t="s">
        <v>12825</v>
      </c>
      <c r="D7211" t="s">
        <v>12853</v>
      </c>
      <c r="F7211" s="76">
        <v>40</v>
      </c>
      <c r="G7211" s="57" t="s">
        <v>13819</v>
      </c>
      <c r="H7211" s="57" t="s">
        <v>13791</v>
      </c>
    </row>
    <row r="7212" spans="2:8" ht="13.5" customHeight="1">
      <c r="B7212" t="s">
        <v>12826</v>
      </c>
      <c r="D7212" t="s">
        <v>12854</v>
      </c>
      <c r="F7212" s="76">
        <v>40</v>
      </c>
      <c r="G7212" s="57" t="s">
        <v>13819</v>
      </c>
      <c r="H7212" s="57" t="s">
        <v>13791</v>
      </c>
    </row>
    <row r="7213" spans="2:8" ht="13.5" customHeight="1">
      <c r="B7213" t="s">
        <v>12827</v>
      </c>
      <c r="D7213" t="s">
        <v>12855</v>
      </c>
      <c r="F7213" s="76">
        <v>41</v>
      </c>
      <c r="G7213" s="57" t="s">
        <v>13819</v>
      </c>
      <c r="H7213" s="57" t="s">
        <v>13791</v>
      </c>
    </row>
    <row r="7214" spans="2:8" ht="13.5" customHeight="1">
      <c r="B7214" t="s">
        <v>12828</v>
      </c>
      <c r="D7214" t="s">
        <v>3074</v>
      </c>
      <c r="F7214" s="76">
        <v>50</v>
      </c>
      <c r="G7214" s="57" t="s">
        <v>13819</v>
      </c>
      <c r="H7214" s="57" t="s">
        <v>13791</v>
      </c>
    </row>
    <row r="7215" spans="2:8" ht="13.5" customHeight="1">
      <c r="B7215" t="s">
        <v>12829</v>
      </c>
      <c r="D7215" t="s">
        <v>12856</v>
      </c>
      <c r="F7215" s="76">
        <v>55</v>
      </c>
      <c r="G7215" s="57" t="s">
        <v>13819</v>
      </c>
      <c r="H7215" s="57" t="s">
        <v>13791</v>
      </c>
    </row>
    <row r="7216" spans="2:8" ht="13.5" customHeight="1">
      <c r="B7216" t="s">
        <v>12830</v>
      </c>
      <c r="D7216" t="s">
        <v>12857</v>
      </c>
      <c r="F7216" s="76">
        <v>74</v>
      </c>
      <c r="G7216" s="57" t="s">
        <v>13819</v>
      </c>
      <c r="H7216" s="57" t="s">
        <v>13791</v>
      </c>
    </row>
    <row r="7217" spans="2:8" ht="13.5" customHeight="1">
      <c r="B7217" t="s">
        <v>12831</v>
      </c>
      <c r="D7217" t="s">
        <v>12858</v>
      </c>
      <c r="F7217" s="76">
        <v>75</v>
      </c>
      <c r="G7217" s="57" t="s">
        <v>13819</v>
      </c>
      <c r="H7217" s="57" t="s">
        <v>13791</v>
      </c>
    </row>
    <row r="7218" spans="2:8" ht="13.5" customHeight="1">
      <c r="B7218" t="s">
        <v>12832</v>
      </c>
      <c r="D7218" t="s">
        <v>12859</v>
      </c>
      <c r="F7218" s="76">
        <v>85</v>
      </c>
      <c r="G7218" s="57" t="s">
        <v>13819</v>
      </c>
      <c r="H7218" s="57" t="s">
        <v>13791</v>
      </c>
    </row>
    <row r="7219" spans="2:8" ht="13.5" customHeight="1">
      <c r="B7219" t="s">
        <v>12833</v>
      </c>
      <c r="D7219" t="s">
        <v>12860</v>
      </c>
      <c r="F7219" s="76">
        <v>86</v>
      </c>
      <c r="G7219" s="57" t="s">
        <v>13819</v>
      </c>
      <c r="H7219" s="57" t="s">
        <v>13791</v>
      </c>
    </row>
    <row r="7220" spans="2:8" ht="13.5" customHeight="1">
      <c r="B7220" t="s">
        <v>12834</v>
      </c>
      <c r="D7220" t="s">
        <v>12861</v>
      </c>
      <c r="F7220" s="76">
        <v>168</v>
      </c>
      <c r="G7220" s="57" t="s">
        <v>13819</v>
      </c>
      <c r="H7220" s="57" t="s">
        <v>13791</v>
      </c>
    </row>
    <row r="7221" spans="2:8" ht="13.5" customHeight="1">
      <c r="B7221" t="s">
        <v>12835</v>
      </c>
      <c r="D7221" t="s">
        <v>12862</v>
      </c>
      <c r="F7221" s="76">
        <v>478</v>
      </c>
      <c r="G7221" s="57" t="s">
        <v>13819</v>
      </c>
      <c r="H7221" s="57" t="s">
        <v>13791</v>
      </c>
    </row>
    <row r="7222" spans="2:8" ht="13.5" customHeight="1">
      <c r="B7222" t="s">
        <v>12863</v>
      </c>
      <c r="D7222" t="s">
        <v>12885</v>
      </c>
      <c r="F7222" s="76">
        <v>1</v>
      </c>
      <c r="G7222" s="57" t="s">
        <v>13819</v>
      </c>
      <c r="H7222" s="57" t="s">
        <v>13792</v>
      </c>
    </row>
    <row r="7223" spans="2:8" ht="13.5" customHeight="1">
      <c r="B7223" t="s">
        <v>11561</v>
      </c>
      <c r="D7223" t="s">
        <v>12886</v>
      </c>
      <c r="F7223" s="76">
        <v>1</v>
      </c>
      <c r="G7223" s="57" t="s">
        <v>13819</v>
      </c>
      <c r="H7223" s="57" t="s">
        <v>13792</v>
      </c>
    </row>
    <row r="7224" spans="2:8" ht="13.5" customHeight="1">
      <c r="B7224" t="s">
        <v>12864</v>
      </c>
      <c r="D7224" t="s">
        <v>12887</v>
      </c>
      <c r="F7224" s="76">
        <v>1</v>
      </c>
      <c r="G7224" s="57" t="s">
        <v>13819</v>
      </c>
      <c r="H7224" s="57" t="s">
        <v>13792</v>
      </c>
    </row>
    <row r="7225" spans="2:8" ht="13.5" customHeight="1">
      <c r="B7225" t="s">
        <v>12865</v>
      </c>
      <c r="D7225" t="s">
        <v>12888</v>
      </c>
      <c r="F7225" s="76">
        <v>1</v>
      </c>
      <c r="G7225" s="57" t="s">
        <v>13819</v>
      </c>
      <c r="H7225" s="57" t="s">
        <v>13792</v>
      </c>
    </row>
    <row r="7226" spans="2:8" ht="13.5" customHeight="1">
      <c r="B7226" t="s">
        <v>12866</v>
      </c>
      <c r="D7226" t="s">
        <v>12889</v>
      </c>
      <c r="F7226" s="76">
        <v>1</v>
      </c>
      <c r="G7226" s="57" t="s">
        <v>13819</v>
      </c>
      <c r="H7226" s="57" t="s">
        <v>13792</v>
      </c>
    </row>
    <row r="7227" spans="2:8" ht="13.5" customHeight="1">
      <c r="B7227" t="s">
        <v>12867</v>
      </c>
      <c r="D7227" t="s">
        <v>12890</v>
      </c>
      <c r="F7227" s="76">
        <v>2</v>
      </c>
      <c r="G7227" s="57" t="s">
        <v>13819</v>
      </c>
      <c r="H7227" s="57" t="s">
        <v>13792</v>
      </c>
    </row>
    <row r="7228" spans="2:8" ht="13.5" customHeight="1">
      <c r="B7228" t="s">
        <v>12868</v>
      </c>
      <c r="D7228" t="s">
        <v>12891</v>
      </c>
      <c r="F7228" s="76">
        <v>3</v>
      </c>
      <c r="G7228" s="57" t="s">
        <v>13819</v>
      </c>
      <c r="H7228" s="57" t="s">
        <v>13792</v>
      </c>
    </row>
    <row r="7229" spans="2:8" ht="13.5" customHeight="1">
      <c r="B7229" t="s">
        <v>3229</v>
      </c>
      <c r="D7229" t="s">
        <v>4422</v>
      </c>
      <c r="F7229" s="76">
        <v>5</v>
      </c>
      <c r="G7229" s="57" t="s">
        <v>13819</v>
      </c>
      <c r="H7229" s="57" t="s">
        <v>13792</v>
      </c>
    </row>
    <row r="7230" spans="2:8" ht="13.5" customHeight="1">
      <c r="B7230" t="s">
        <v>12869</v>
      </c>
      <c r="D7230" t="s">
        <v>12892</v>
      </c>
      <c r="F7230" s="76">
        <v>9</v>
      </c>
      <c r="G7230" s="57" t="s">
        <v>13819</v>
      </c>
      <c r="H7230" s="57" t="s">
        <v>13792</v>
      </c>
    </row>
    <row r="7231" spans="2:8" ht="13.5" customHeight="1">
      <c r="B7231" t="s">
        <v>12870</v>
      </c>
      <c r="D7231" t="s">
        <v>12893</v>
      </c>
      <c r="F7231" s="76">
        <v>10</v>
      </c>
      <c r="G7231" s="57" t="s">
        <v>13819</v>
      </c>
      <c r="H7231" s="57" t="s">
        <v>13792</v>
      </c>
    </row>
    <row r="7232" spans="2:8" ht="13.5" customHeight="1">
      <c r="B7232" t="s">
        <v>12871</v>
      </c>
      <c r="D7232" t="s">
        <v>12894</v>
      </c>
      <c r="F7232" s="76">
        <v>10</v>
      </c>
      <c r="G7232" s="57" t="s">
        <v>13819</v>
      </c>
      <c r="H7232" s="57" t="s">
        <v>13792</v>
      </c>
    </row>
    <row r="7233" spans="2:8" ht="13.5" customHeight="1">
      <c r="B7233" t="s">
        <v>12872</v>
      </c>
      <c r="D7233" t="s">
        <v>12895</v>
      </c>
      <c r="F7233" s="76">
        <v>13</v>
      </c>
      <c r="G7233" s="57" t="s">
        <v>13819</v>
      </c>
      <c r="H7233" s="57" t="s">
        <v>13792</v>
      </c>
    </row>
    <row r="7234" spans="2:8" ht="13.5" customHeight="1">
      <c r="B7234" t="s">
        <v>12873</v>
      </c>
      <c r="D7234" t="s">
        <v>12896</v>
      </c>
      <c r="F7234" s="76">
        <v>23</v>
      </c>
      <c r="G7234" s="57" t="s">
        <v>13819</v>
      </c>
      <c r="H7234" s="57" t="s">
        <v>13792</v>
      </c>
    </row>
    <row r="7235" spans="2:8" ht="13.5" customHeight="1">
      <c r="B7235" t="s">
        <v>8644</v>
      </c>
      <c r="D7235" t="s">
        <v>12897</v>
      </c>
      <c r="F7235" s="76">
        <v>24</v>
      </c>
      <c r="G7235" s="57" t="s">
        <v>13819</v>
      </c>
      <c r="H7235" s="57" t="s">
        <v>13792</v>
      </c>
    </row>
    <row r="7236" spans="2:8" ht="13.5" customHeight="1">
      <c r="B7236" t="s">
        <v>12874</v>
      </c>
      <c r="D7236" t="s">
        <v>12898</v>
      </c>
      <c r="F7236" s="76">
        <v>26</v>
      </c>
      <c r="G7236" s="57" t="s">
        <v>13819</v>
      </c>
      <c r="H7236" s="57" t="s">
        <v>13792</v>
      </c>
    </row>
    <row r="7237" spans="2:8" ht="13.5" customHeight="1">
      <c r="B7237" t="s">
        <v>8491</v>
      </c>
      <c r="D7237" t="s">
        <v>12899</v>
      </c>
      <c r="F7237" s="76">
        <v>38</v>
      </c>
      <c r="G7237" s="57" t="s">
        <v>13819</v>
      </c>
      <c r="H7237" s="57" t="s">
        <v>13792</v>
      </c>
    </row>
    <row r="7238" spans="2:8" ht="13.5" customHeight="1">
      <c r="B7238" t="s">
        <v>8583</v>
      </c>
      <c r="D7238" t="s">
        <v>12900</v>
      </c>
      <c r="F7238" s="76">
        <v>40</v>
      </c>
      <c r="G7238" s="57" t="s">
        <v>13819</v>
      </c>
      <c r="H7238" s="57" t="s">
        <v>13792</v>
      </c>
    </row>
    <row r="7239" spans="2:8" ht="13.5" customHeight="1">
      <c r="B7239" t="s">
        <v>12875</v>
      </c>
      <c r="D7239" t="s">
        <v>12901</v>
      </c>
      <c r="F7239" s="76">
        <v>41</v>
      </c>
      <c r="G7239" s="57" t="s">
        <v>13819</v>
      </c>
      <c r="H7239" s="57" t="s">
        <v>13792</v>
      </c>
    </row>
    <row r="7240" spans="2:8" ht="13.5" customHeight="1">
      <c r="B7240" t="s">
        <v>12876</v>
      </c>
      <c r="D7240" t="s">
        <v>12902</v>
      </c>
      <c r="F7240" s="76">
        <v>46</v>
      </c>
      <c r="G7240" s="57" t="s">
        <v>13819</v>
      </c>
      <c r="H7240" s="57" t="s">
        <v>13792</v>
      </c>
    </row>
    <row r="7241" spans="2:8" ht="13.5" customHeight="1">
      <c r="B7241" t="s">
        <v>3191</v>
      </c>
      <c r="D7241" t="s">
        <v>12903</v>
      </c>
      <c r="F7241" s="76">
        <v>50</v>
      </c>
      <c r="G7241" s="57" t="s">
        <v>13819</v>
      </c>
      <c r="H7241" s="57" t="s">
        <v>13792</v>
      </c>
    </row>
    <row r="7242" spans="2:8" ht="13.5" customHeight="1">
      <c r="B7242" t="s">
        <v>12877</v>
      </c>
      <c r="D7242" t="s">
        <v>4571</v>
      </c>
      <c r="F7242" s="76">
        <v>50</v>
      </c>
      <c r="G7242" s="57" t="s">
        <v>13819</v>
      </c>
      <c r="H7242" s="57" t="s">
        <v>13792</v>
      </c>
    </row>
    <row r="7243" spans="2:8" ht="13.5" customHeight="1">
      <c r="B7243" t="s">
        <v>395</v>
      </c>
      <c r="D7243" t="s">
        <v>12904</v>
      </c>
      <c r="F7243" s="76">
        <v>57</v>
      </c>
      <c r="G7243" s="57" t="s">
        <v>13819</v>
      </c>
      <c r="H7243" s="57" t="s">
        <v>13792</v>
      </c>
    </row>
    <row r="7244" spans="2:8" ht="13.5" customHeight="1">
      <c r="B7244" t="s">
        <v>12878</v>
      </c>
      <c r="D7244" t="s">
        <v>12905</v>
      </c>
      <c r="F7244" s="76">
        <v>67</v>
      </c>
      <c r="G7244" s="57" t="s">
        <v>13819</v>
      </c>
      <c r="H7244" s="57" t="s">
        <v>13792</v>
      </c>
    </row>
    <row r="7245" spans="2:8" ht="13.5" customHeight="1">
      <c r="B7245" t="s">
        <v>6041</v>
      </c>
      <c r="D7245" t="s">
        <v>12906</v>
      </c>
      <c r="F7245" s="76">
        <v>67</v>
      </c>
      <c r="G7245" s="57" t="s">
        <v>13819</v>
      </c>
      <c r="H7245" s="57" t="s">
        <v>13792</v>
      </c>
    </row>
    <row r="7246" spans="2:8" ht="13.5" customHeight="1">
      <c r="B7246" t="s">
        <v>12879</v>
      </c>
      <c r="D7246" t="s">
        <v>12907</v>
      </c>
      <c r="F7246" s="76">
        <v>76</v>
      </c>
      <c r="G7246" s="57" t="s">
        <v>13819</v>
      </c>
      <c r="H7246" s="57" t="s">
        <v>13792</v>
      </c>
    </row>
    <row r="7247" spans="2:8" ht="13.5" customHeight="1">
      <c r="B7247" t="s">
        <v>12880</v>
      </c>
      <c r="D7247" t="s">
        <v>12908</v>
      </c>
      <c r="F7247" s="76">
        <v>92</v>
      </c>
      <c r="G7247" s="57" t="s">
        <v>13819</v>
      </c>
      <c r="H7247" s="57" t="s">
        <v>13792</v>
      </c>
    </row>
    <row r="7248" spans="2:8" ht="13.5" customHeight="1">
      <c r="B7248" t="s">
        <v>12881</v>
      </c>
      <c r="D7248" t="s">
        <v>12909</v>
      </c>
      <c r="F7248" s="76">
        <v>122</v>
      </c>
      <c r="G7248" s="57" t="s">
        <v>13819</v>
      </c>
      <c r="H7248" s="57" t="s">
        <v>13792</v>
      </c>
    </row>
    <row r="7249" spans="2:8" ht="13.5" customHeight="1">
      <c r="B7249" t="s">
        <v>12882</v>
      </c>
      <c r="D7249" t="s">
        <v>12910</v>
      </c>
      <c r="F7249" s="76">
        <v>141</v>
      </c>
      <c r="G7249" s="57" t="s">
        <v>13819</v>
      </c>
      <c r="H7249" s="57" t="s">
        <v>13792</v>
      </c>
    </row>
    <row r="7250" spans="2:8" ht="13.5" customHeight="1">
      <c r="B7250" t="s">
        <v>12883</v>
      </c>
      <c r="D7250" t="s">
        <v>6488</v>
      </c>
      <c r="F7250" s="76">
        <v>292</v>
      </c>
      <c r="G7250" s="57" t="s">
        <v>13819</v>
      </c>
      <c r="H7250" s="57" t="s">
        <v>13792</v>
      </c>
    </row>
    <row r="7251" spans="2:8" ht="13.5" customHeight="1">
      <c r="B7251" t="s">
        <v>9808</v>
      </c>
      <c r="D7251" t="s">
        <v>1163</v>
      </c>
      <c r="F7251" s="76">
        <v>321</v>
      </c>
      <c r="G7251" s="57" t="s">
        <v>13819</v>
      </c>
      <c r="H7251" s="57" t="s">
        <v>13792</v>
      </c>
    </row>
    <row r="7252" spans="2:8" ht="13.5" customHeight="1">
      <c r="B7252" t="s">
        <v>12884</v>
      </c>
      <c r="D7252" t="s">
        <v>12911</v>
      </c>
      <c r="F7252" s="76">
        <v>386</v>
      </c>
      <c r="G7252" s="57" t="s">
        <v>13819</v>
      </c>
      <c r="H7252" s="57" t="s">
        <v>13792</v>
      </c>
    </row>
    <row r="7253" spans="2:8" ht="13.5" customHeight="1">
      <c r="B7253" t="s">
        <v>12912</v>
      </c>
      <c r="D7253" t="s">
        <v>12933</v>
      </c>
      <c r="F7253" s="76">
        <v>1</v>
      </c>
      <c r="G7253" s="57" t="s">
        <v>13819</v>
      </c>
      <c r="H7253" s="57" t="s">
        <v>13793</v>
      </c>
    </row>
    <row r="7254" spans="2:8" ht="13.5" customHeight="1">
      <c r="B7254" t="s">
        <v>12770</v>
      </c>
      <c r="D7254" t="s">
        <v>12934</v>
      </c>
      <c r="F7254" s="76">
        <v>1</v>
      </c>
      <c r="G7254" s="57" t="s">
        <v>13819</v>
      </c>
      <c r="H7254" s="57" t="s">
        <v>13793</v>
      </c>
    </row>
    <row r="7255" spans="2:8" ht="13.5" customHeight="1">
      <c r="B7255" t="s">
        <v>12913</v>
      </c>
      <c r="D7255" t="s">
        <v>12935</v>
      </c>
      <c r="F7255" s="76">
        <v>1</v>
      </c>
      <c r="G7255" s="57" t="s">
        <v>13819</v>
      </c>
      <c r="H7255" s="57" t="s">
        <v>13793</v>
      </c>
    </row>
    <row r="7256" spans="2:8" ht="13.5" customHeight="1">
      <c r="B7256" t="s">
        <v>7125</v>
      </c>
      <c r="D7256" t="s">
        <v>12936</v>
      </c>
      <c r="F7256" s="76">
        <v>1</v>
      </c>
      <c r="G7256" s="57" t="s">
        <v>13819</v>
      </c>
      <c r="H7256" s="57" t="s">
        <v>13793</v>
      </c>
    </row>
    <row r="7257" spans="2:8" ht="13.5" customHeight="1">
      <c r="B7257" t="s">
        <v>12914</v>
      </c>
      <c r="D7257" t="s">
        <v>12937</v>
      </c>
      <c r="F7257" s="76">
        <v>2</v>
      </c>
      <c r="G7257" s="57" t="s">
        <v>13819</v>
      </c>
      <c r="H7257" s="57" t="s">
        <v>13793</v>
      </c>
    </row>
    <row r="7258" spans="2:8" ht="13.5" customHeight="1">
      <c r="B7258" t="s">
        <v>12915</v>
      </c>
      <c r="D7258" t="s">
        <v>12938</v>
      </c>
      <c r="F7258" s="76">
        <v>2</v>
      </c>
      <c r="G7258" s="57" t="s">
        <v>13819</v>
      </c>
      <c r="H7258" s="57" t="s">
        <v>13793</v>
      </c>
    </row>
    <row r="7259" spans="2:8" ht="13.5" customHeight="1">
      <c r="B7259" t="s">
        <v>12916</v>
      </c>
      <c r="D7259" t="s">
        <v>12939</v>
      </c>
      <c r="F7259" s="76">
        <v>3</v>
      </c>
      <c r="G7259" s="57" t="s">
        <v>13819</v>
      </c>
      <c r="H7259" s="57" t="s">
        <v>13793</v>
      </c>
    </row>
    <row r="7260" spans="2:8" ht="13.5" customHeight="1">
      <c r="B7260" t="s">
        <v>12917</v>
      </c>
      <c r="D7260" t="s">
        <v>12940</v>
      </c>
      <c r="F7260" s="76">
        <v>5</v>
      </c>
      <c r="G7260" s="57" t="s">
        <v>13819</v>
      </c>
      <c r="H7260" s="57" t="s">
        <v>13793</v>
      </c>
    </row>
    <row r="7261" spans="2:8" ht="13.5" customHeight="1">
      <c r="B7261" t="s">
        <v>12918</v>
      </c>
      <c r="D7261" t="s">
        <v>12941</v>
      </c>
      <c r="F7261" s="76">
        <v>6</v>
      </c>
      <c r="G7261" s="57" t="s">
        <v>13819</v>
      </c>
      <c r="H7261" s="57" t="s">
        <v>13793</v>
      </c>
    </row>
    <row r="7262" spans="2:8" ht="13.5" customHeight="1">
      <c r="B7262" t="s">
        <v>12919</v>
      </c>
      <c r="D7262" t="s">
        <v>12942</v>
      </c>
      <c r="F7262" s="76">
        <v>8</v>
      </c>
      <c r="G7262" s="57" t="s">
        <v>13819</v>
      </c>
      <c r="H7262" s="57" t="s">
        <v>13793</v>
      </c>
    </row>
    <row r="7263" spans="2:8" ht="13.5" customHeight="1">
      <c r="B7263" t="s">
        <v>12920</v>
      </c>
      <c r="D7263">
        <v>5031541690</v>
      </c>
      <c r="F7263" s="76">
        <v>11</v>
      </c>
      <c r="G7263" s="57" t="s">
        <v>13819</v>
      </c>
      <c r="H7263" s="57" t="s">
        <v>13793</v>
      </c>
    </row>
    <row r="7264" spans="2:8" ht="13.5" customHeight="1">
      <c r="B7264" t="s">
        <v>12921</v>
      </c>
      <c r="D7264" t="s">
        <v>12943</v>
      </c>
      <c r="F7264" s="76">
        <v>11</v>
      </c>
      <c r="G7264" s="57" t="s">
        <v>13819</v>
      </c>
      <c r="H7264" s="57" t="s">
        <v>13793</v>
      </c>
    </row>
    <row r="7265" spans="2:8" ht="13.5" customHeight="1">
      <c r="B7265" t="s">
        <v>12922</v>
      </c>
      <c r="D7265" t="s">
        <v>12944</v>
      </c>
      <c r="F7265" s="76">
        <v>17</v>
      </c>
      <c r="G7265" s="57" t="s">
        <v>13819</v>
      </c>
      <c r="H7265" s="57" t="s">
        <v>13793</v>
      </c>
    </row>
    <row r="7266" spans="2:8" ht="13.5" customHeight="1">
      <c r="B7266" t="s">
        <v>12923</v>
      </c>
      <c r="D7266" t="s">
        <v>12945</v>
      </c>
      <c r="F7266" s="76">
        <v>20</v>
      </c>
      <c r="G7266" s="57" t="s">
        <v>13819</v>
      </c>
      <c r="H7266" s="57" t="s">
        <v>13793</v>
      </c>
    </row>
    <row r="7267" spans="2:8" ht="13.5" customHeight="1">
      <c r="B7267" t="s">
        <v>12924</v>
      </c>
      <c r="D7267" t="s">
        <v>8552</v>
      </c>
      <c r="F7267" s="76">
        <v>37</v>
      </c>
      <c r="G7267" s="57" t="s">
        <v>13819</v>
      </c>
      <c r="H7267" s="57" t="s">
        <v>13793</v>
      </c>
    </row>
    <row r="7268" spans="2:8" ht="13.5" customHeight="1">
      <c r="B7268" t="s">
        <v>12925</v>
      </c>
      <c r="D7268" t="s">
        <v>12946</v>
      </c>
      <c r="F7268" s="76">
        <v>45</v>
      </c>
      <c r="G7268" s="57" t="s">
        <v>13819</v>
      </c>
      <c r="H7268" s="57" t="s">
        <v>13793</v>
      </c>
    </row>
    <row r="7269" spans="2:8" ht="13.5" customHeight="1">
      <c r="B7269" t="s">
        <v>12926</v>
      </c>
      <c r="D7269" t="s">
        <v>12947</v>
      </c>
      <c r="F7269" s="76">
        <v>49</v>
      </c>
      <c r="G7269" s="57" t="s">
        <v>13819</v>
      </c>
      <c r="H7269" s="57" t="s">
        <v>13793</v>
      </c>
    </row>
    <row r="7270" spans="2:8" ht="13.5" customHeight="1">
      <c r="B7270" t="s">
        <v>1519</v>
      </c>
      <c r="D7270" t="s">
        <v>12948</v>
      </c>
      <c r="F7270" s="76">
        <v>56</v>
      </c>
      <c r="G7270" s="57" t="s">
        <v>13819</v>
      </c>
      <c r="H7270" s="57" t="s">
        <v>13793</v>
      </c>
    </row>
    <row r="7271" spans="2:8" ht="13.5" customHeight="1">
      <c r="B7271" t="s">
        <v>12927</v>
      </c>
      <c r="D7271" t="s">
        <v>12949</v>
      </c>
      <c r="F7271" s="76">
        <v>63</v>
      </c>
      <c r="G7271" s="57" t="s">
        <v>13819</v>
      </c>
      <c r="H7271" s="57" t="s">
        <v>13793</v>
      </c>
    </row>
    <row r="7272" spans="2:8" ht="13.5" customHeight="1">
      <c r="B7272" t="s">
        <v>12928</v>
      </c>
      <c r="D7272" t="s">
        <v>12950</v>
      </c>
      <c r="F7272" s="76">
        <v>69</v>
      </c>
      <c r="G7272" s="57" t="s">
        <v>13819</v>
      </c>
      <c r="H7272" s="57" t="s">
        <v>13793</v>
      </c>
    </row>
    <row r="7273" spans="2:8" ht="13.5" customHeight="1">
      <c r="B7273" t="s">
        <v>12929</v>
      </c>
      <c r="D7273" t="s">
        <v>12951</v>
      </c>
      <c r="F7273" s="76">
        <v>76</v>
      </c>
      <c r="G7273" s="57" t="s">
        <v>13819</v>
      </c>
      <c r="H7273" s="57" t="s">
        <v>13793</v>
      </c>
    </row>
    <row r="7274" spans="2:8" ht="13.5" customHeight="1">
      <c r="B7274" t="s">
        <v>12930</v>
      </c>
      <c r="D7274" t="s">
        <v>12952</v>
      </c>
      <c r="F7274" s="76">
        <v>143</v>
      </c>
      <c r="G7274" s="57" t="s">
        <v>13819</v>
      </c>
      <c r="H7274" s="57" t="s">
        <v>13793</v>
      </c>
    </row>
    <row r="7275" spans="2:8" ht="13.5" customHeight="1">
      <c r="B7275" t="s">
        <v>12931</v>
      </c>
      <c r="D7275" t="s">
        <v>12953</v>
      </c>
      <c r="F7275" s="76">
        <v>194</v>
      </c>
      <c r="G7275" s="57" t="s">
        <v>13819</v>
      </c>
      <c r="H7275" s="57" t="s">
        <v>13793</v>
      </c>
    </row>
    <row r="7276" spans="2:8" ht="13.5" customHeight="1">
      <c r="B7276" t="s">
        <v>12932</v>
      </c>
      <c r="D7276" t="s">
        <v>12954</v>
      </c>
      <c r="F7276" s="76">
        <v>2703</v>
      </c>
      <c r="G7276" s="57" t="s">
        <v>13819</v>
      </c>
      <c r="H7276" s="57" t="s">
        <v>13793</v>
      </c>
    </row>
    <row r="7277" spans="2:8" ht="13.5" customHeight="1">
      <c r="B7277" t="s">
        <v>12955</v>
      </c>
      <c r="D7277" t="s">
        <v>12981</v>
      </c>
      <c r="F7277" s="76">
        <v>1</v>
      </c>
      <c r="G7277" s="57" t="s">
        <v>13819</v>
      </c>
      <c r="H7277" s="57" t="s">
        <v>13794</v>
      </c>
    </row>
    <row r="7278" spans="2:8" ht="13.5" customHeight="1">
      <c r="B7278" t="s">
        <v>12956</v>
      </c>
      <c r="D7278" t="s">
        <v>12982</v>
      </c>
      <c r="F7278" s="76">
        <v>1</v>
      </c>
      <c r="G7278" s="57" t="s">
        <v>13819</v>
      </c>
      <c r="H7278" s="57" t="s">
        <v>13794</v>
      </c>
    </row>
    <row r="7279" spans="2:8" ht="13.5" customHeight="1">
      <c r="B7279" t="s">
        <v>12957</v>
      </c>
      <c r="D7279" t="s">
        <v>12983</v>
      </c>
      <c r="F7279" s="76">
        <v>1</v>
      </c>
      <c r="G7279" s="57" t="s">
        <v>13819</v>
      </c>
      <c r="H7279" s="57" t="s">
        <v>13794</v>
      </c>
    </row>
    <row r="7280" spans="2:8" ht="13.5" customHeight="1">
      <c r="B7280" t="s">
        <v>12958</v>
      </c>
      <c r="D7280" t="s">
        <v>12984</v>
      </c>
      <c r="F7280" s="76">
        <v>1</v>
      </c>
      <c r="G7280" s="57" t="s">
        <v>13819</v>
      </c>
      <c r="H7280" s="57" t="s">
        <v>13794</v>
      </c>
    </row>
    <row r="7281" spans="2:8" ht="13.5" customHeight="1">
      <c r="B7281" t="s">
        <v>12959</v>
      </c>
      <c r="D7281" t="s">
        <v>12985</v>
      </c>
      <c r="F7281" s="76">
        <v>1</v>
      </c>
      <c r="G7281" s="57" t="s">
        <v>13819</v>
      </c>
      <c r="H7281" s="57" t="s">
        <v>13794</v>
      </c>
    </row>
    <row r="7282" spans="2:8" ht="13.5" customHeight="1">
      <c r="B7282" s="206" t="s">
        <v>12960</v>
      </c>
      <c r="D7282" s="206" t="s">
        <v>12986</v>
      </c>
      <c r="F7282" s="76">
        <v>1</v>
      </c>
      <c r="G7282" s="57" t="s">
        <v>13819</v>
      </c>
      <c r="H7282" s="57" t="s">
        <v>13794</v>
      </c>
    </row>
    <row r="7283" spans="2:8" ht="13.5" customHeight="1">
      <c r="B7283" s="207" t="s">
        <v>12961</v>
      </c>
      <c r="D7283" s="207" t="s">
        <v>12987</v>
      </c>
      <c r="F7283" s="76">
        <v>1</v>
      </c>
      <c r="G7283" s="57" t="s">
        <v>13819</v>
      </c>
      <c r="H7283" s="57" t="s">
        <v>13794</v>
      </c>
    </row>
    <row r="7284" spans="2:8" ht="13.5" customHeight="1">
      <c r="B7284" t="s">
        <v>12962</v>
      </c>
      <c r="D7284" t="s">
        <v>12988</v>
      </c>
      <c r="F7284" s="76">
        <v>2</v>
      </c>
      <c r="G7284" s="57" t="s">
        <v>13819</v>
      </c>
      <c r="H7284" s="57" t="s">
        <v>13794</v>
      </c>
    </row>
    <row r="7285" spans="2:8" ht="13.5" customHeight="1">
      <c r="B7285" t="s">
        <v>12963</v>
      </c>
      <c r="D7285" t="s">
        <v>12989</v>
      </c>
      <c r="F7285" s="76">
        <v>2</v>
      </c>
      <c r="G7285" s="57" t="s">
        <v>13819</v>
      </c>
      <c r="H7285" s="57" t="s">
        <v>13794</v>
      </c>
    </row>
    <row r="7286" spans="2:8" ht="13.5" customHeight="1">
      <c r="B7286" t="s">
        <v>10599</v>
      </c>
      <c r="D7286" t="s">
        <v>12990</v>
      </c>
      <c r="F7286" s="76">
        <v>3</v>
      </c>
      <c r="G7286" s="57" t="s">
        <v>13819</v>
      </c>
      <c r="H7286" s="57" t="s">
        <v>13794</v>
      </c>
    </row>
    <row r="7287" spans="2:8" ht="13.5" customHeight="1">
      <c r="B7287" t="s">
        <v>12964</v>
      </c>
      <c r="D7287" t="s">
        <v>12991</v>
      </c>
      <c r="F7287" s="76">
        <v>4</v>
      </c>
      <c r="G7287" s="57" t="s">
        <v>13819</v>
      </c>
      <c r="H7287" s="57" t="s">
        <v>13794</v>
      </c>
    </row>
    <row r="7288" spans="2:8" ht="13.5" customHeight="1">
      <c r="B7288" t="s">
        <v>8202</v>
      </c>
      <c r="D7288" t="s">
        <v>12992</v>
      </c>
      <c r="F7288" s="76">
        <v>4</v>
      </c>
      <c r="G7288" s="57" t="s">
        <v>13819</v>
      </c>
      <c r="H7288" s="57" t="s">
        <v>13794</v>
      </c>
    </row>
    <row r="7289" spans="2:8" ht="13.5" customHeight="1">
      <c r="B7289" t="s">
        <v>12965</v>
      </c>
      <c r="D7289" t="s">
        <v>12993</v>
      </c>
      <c r="F7289" s="76">
        <v>4</v>
      </c>
      <c r="G7289" s="57" t="s">
        <v>13819</v>
      </c>
      <c r="H7289" s="57" t="s">
        <v>13794</v>
      </c>
    </row>
    <row r="7290" spans="2:8" ht="13.5" customHeight="1">
      <c r="B7290" t="s">
        <v>12966</v>
      </c>
      <c r="D7290" t="s">
        <v>12994</v>
      </c>
      <c r="F7290" s="76">
        <v>4</v>
      </c>
      <c r="G7290" s="57" t="s">
        <v>13819</v>
      </c>
      <c r="H7290" s="57" t="s">
        <v>13794</v>
      </c>
    </row>
    <row r="7291" spans="2:8" ht="13.5" customHeight="1">
      <c r="B7291" t="s">
        <v>12967</v>
      </c>
      <c r="D7291" t="s">
        <v>12995</v>
      </c>
      <c r="F7291" s="76">
        <v>5</v>
      </c>
      <c r="G7291" s="57" t="s">
        <v>13819</v>
      </c>
      <c r="H7291" s="57" t="s">
        <v>13794</v>
      </c>
    </row>
    <row r="7292" spans="2:8" ht="13.5" customHeight="1">
      <c r="B7292" t="s">
        <v>12968</v>
      </c>
      <c r="D7292" t="s">
        <v>6684</v>
      </c>
      <c r="F7292" s="76">
        <v>6</v>
      </c>
      <c r="G7292" s="57" t="s">
        <v>13819</v>
      </c>
      <c r="H7292" s="57" t="s">
        <v>13794</v>
      </c>
    </row>
    <row r="7293" spans="2:8" ht="13.5" customHeight="1">
      <c r="B7293" t="s">
        <v>12969</v>
      </c>
      <c r="D7293" t="s">
        <v>6435</v>
      </c>
      <c r="F7293" s="76">
        <v>8</v>
      </c>
      <c r="G7293" s="57" t="s">
        <v>13819</v>
      </c>
      <c r="H7293" s="57" t="s">
        <v>13794</v>
      </c>
    </row>
    <row r="7294" spans="2:8" ht="13.5" customHeight="1">
      <c r="B7294" t="s">
        <v>519</v>
      </c>
      <c r="D7294" t="s">
        <v>520</v>
      </c>
      <c r="F7294" s="76">
        <v>8</v>
      </c>
      <c r="G7294" s="57" t="s">
        <v>13819</v>
      </c>
      <c r="H7294" s="57" t="s">
        <v>13794</v>
      </c>
    </row>
    <row r="7295" spans="2:8" ht="13.5" customHeight="1">
      <c r="B7295" t="s">
        <v>12970</v>
      </c>
      <c r="D7295" t="s">
        <v>12996</v>
      </c>
      <c r="F7295" s="76">
        <v>10</v>
      </c>
      <c r="G7295" s="57" t="s">
        <v>13819</v>
      </c>
      <c r="H7295" s="57" t="s">
        <v>13794</v>
      </c>
    </row>
    <row r="7296" spans="2:8" ht="13.5" customHeight="1">
      <c r="B7296" t="s">
        <v>12971</v>
      </c>
      <c r="D7296" t="s">
        <v>12997</v>
      </c>
      <c r="F7296" s="76">
        <v>10</v>
      </c>
      <c r="G7296" s="57" t="s">
        <v>13819</v>
      </c>
      <c r="H7296" s="57" t="s">
        <v>13794</v>
      </c>
    </row>
    <row r="7297" spans="2:8" ht="13.5" customHeight="1">
      <c r="B7297" t="s">
        <v>12972</v>
      </c>
      <c r="D7297" t="s">
        <v>12998</v>
      </c>
      <c r="F7297" s="76">
        <v>10</v>
      </c>
      <c r="G7297" s="57" t="s">
        <v>13819</v>
      </c>
      <c r="H7297" s="57" t="s">
        <v>13794</v>
      </c>
    </row>
    <row r="7298" spans="2:8" ht="13.5" customHeight="1">
      <c r="B7298" t="s">
        <v>12973</v>
      </c>
      <c r="D7298" t="s">
        <v>12999</v>
      </c>
      <c r="F7298" s="76">
        <v>11</v>
      </c>
      <c r="G7298" s="57" t="s">
        <v>13819</v>
      </c>
      <c r="H7298" s="57" t="s">
        <v>13794</v>
      </c>
    </row>
    <row r="7299" spans="2:8" ht="13.5" customHeight="1">
      <c r="B7299" t="s">
        <v>12974</v>
      </c>
      <c r="D7299" t="s">
        <v>13000</v>
      </c>
      <c r="F7299" s="76">
        <v>15</v>
      </c>
      <c r="G7299" s="57" t="s">
        <v>13819</v>
      </c>
      <c r="H7299" s="57" t="s">
        <v>13794</v>
      </c>
    </row>
    <row r="7300" spans="2:8" ht="13.5" customHeight="1">
      <c r="B7300" t="s">
        <v>1529</v>
      </c>
      <c r="D7300" t="s">
        <v>13001</v>
      </c>
      <c r="F7300" s="76">
        <v>16</v>
      </c>
      <c r="G7300" s="57" t="s">
        <v>13819</v>
      </c>
      <c r="H7300" s="57" t="s">
        <v>13794</v>
      </c>
    </row>
    <row r="7301" spans="2:8" ht="13.5" customHeight="1">
      <c r="B7301"/>
      <c r="D7301" t="s">
        <v>13002</v>
      </c>
      <c r="F7301" s="76">
        <v>19</v>
      </c>
      <c r="G7301" s="57" t="s">
        <v>13819</v>
      </c>
      <c r="H7301" s="57" t="s">
        <v>13794</v>
      </c>
    </row>
    <row r="7302" spans="2:8" ht="13.5" customHeight="1">
      <c r="B7302" t="s">
        <v>12975</v>
      </c>
      <c r="D7302" t="s">
        <v>13003</v>
      </c>
      <c r="F7302" s="76">
        <v>25</v>
      </c>
      <c r="G7302" s="57" t="s">
        <v>13819</v>
      </c>
      <c r="H7302" s="57" t="s">
        <v>13794</v>
      </c>
    </row>
    <row r="7303" spans="2:8" ht="13.5" customHeight="1">
      <c r="B7303" t="s">
        <v>12976</v>
      </c>
      <c r="D7303" t="s">
        <v>13004</v>
      </c>
      <c r="F7303" s="76">
        <v>29</v>
      </c>
      <c r="G7303" s="57" t="s">
        <v>13819</v>
      </c>
      <c r="H7303" s="57" t="s">
        <v>13794</v>
      </c>
    </row>
    <row r="7304" spans="2:8" ht="13.5" customHeight="1">
      <c r="B7304" t="s">
        <v>12977</v>
      </c>
      <c r="D7304" t="s">
        <v>13005</v>
      </c>
      <c r="F7304" s="76">
        <v>30</v>
      </c>
      <c r="G7304" s="57" t="s">
        <v>13819</v>
      </c>
      <c r="H7304" s="57" t="s">
        <v>13794</v>
      </c>
    </row>
    <row r="7305" spans="2:8" ht="13.5" customHeight="1">
      <c r="B7305" t="s">
        <v>6216</v>
      </c>
      <c r="D7305" t="s">
        <v>4530</v>
      </c>
      <c r="F7305" s="76">
        <v>31</v>
      </c>
      <c r="G7305" s="57" t="s">
        <v>13819</v>
      </c>
      <c r="H7305" s="57" t="s">
        <v>13794</v>
      </c>
    </row>
    <row r="7306" spans="2:8" ht="13.5" customHeight="1">
      <c r="B7306" t="s">
        <v>12978</v>
      </c>
      <c r="D7306" t="s">
        <v>13006</v>
      </c>
      <c r="F7306" s="76">
        <v>35</v>
      </c>
      <c r="G7306" s="57" t="s">
        <v>13819</v>
      </c>
      <c r="H7306" s="57" t="s">
        <v>13794</v>
      </c>
    </row>
    <row r="7307" spans="2:8" ht="13.5" customHeight="1">
      <c r="B7307" t="s">
        <v>12979</v>
      </c>
      <c r="D7307" t="s">
        <v>13007</v>
      </c>
      <c r="F7307" s="76">
        <v>41</v>
      </c>
      <c r="G7307" s="57" t="s">
        <v>13819</v>
      </c>
      <c r="H7307" s="57" t="s">
        <v>13794</v>
      </c>
    </row>
    <row r="7308" spans="2:8" ht="13.5" customHeight="1">
      <c r="B7308" t="s">
        <v>11438</v>
      </c>
      <c r="D7308" t="s">
        <v>5518</v>
      </c>
      <c r="F7308" s="76">
        <v>92</v>
      </c>
      <c r="G7308" s="57" t="s">
        <v>13819</v>
      </c>
      <c r="H7308" s="57" t="s">
        <v>13794</v>
      </c>
    </row>
    <row r="7309" spans="2:8" ht="13.5" customHeight="1">
      <c r="B7309" t="s">
        <v>12980</v>
      </c>
      <c r="D7309" t="s">
        <v>13008</v>
      </c>
      <c r="F7309" s="76">
        <v>8</v>
      </c>
      <c r="G7309" s="57" t="s">
        <v>13819</v>
      </c>
      <c r="H7309" s="57" t="s">
        <v>13795</v>
      </c>
    </row>
    <row r="7310" spans="2:8" ht="13.5" customHeight="1">
      <c r="B7310" t="s">
        <v>13009</v>
      </c>
      <c r="D7310" t="s">
        <v>13031</v>
      </c>
      <c r="F7310" s="76">
        <v>1</v>
      </c>
      <c r="G7310" s="57" t="s">
        <v>13819</v>
      </c>
      <c r="H7310" s="57" t="s">
        <v>13796</v>
      </c>
    </row>
    <row r="7311" spans="2:8" ht="13.5" customHeight="1">
      <c r="B7311" t="s">
        <v>13010</v>
      </c>
      <c r="D7311" t="s">
        <v>13032</v>
      </c>
      <c r="F7311" s="76">
        <v>1</v>
      </c>
      <c r="G7311" s="57" t="s">
        <v>13819</v>
      </c>
      <c r="H7311" s="57" t="s">
        <v>13796</v>
      </c>
    </row>
    <row r="7312" spans="2:8" ht="13.5" customHeight="1">
      <c r="B7312" t="s">
        <v>13011</v>
      </c>
      <c r="D7312" t="s">
        <v>13033</v>
      </c>
      <c r="F7312" s="76">
        <v>1</v>
      </c>
      <c r="G7312" s="57" t="s">
        <v>13819</v>
      </c>
      <c r="H7312" s="57" t="s">
        <v>13796</v>
      </c>
    </row>
    <row r="7313" spans="2:8" ht="13.5" customHeight="1">
      <c r="B7313" t="s">
        <v>13012</v>
      </c>
      <c r="D7313" t="s">
        <v>13034</v>
      </c>
      <c r="F7313" s="76">
        <v>2</v>
      </c>
      <c r="G7313" s="57" t="s">
        <v>13819</v>
      </c>
      <c r="H7313" s="57" t="s">
        <v>13796</v>
      </c>
    </row>
    <row r="7314" spans="2:8" ht="13.5" customHeight="1">
      <c r="B7314" t="s">
        <v>11930</v>
      </c>
      <c r="D7314" t="s">
        <v>13035</v>
      </c>
      <c r="F7314" s="76">
        <v>2</v>
      </c>
      <c r="G7314" s="57" t="s">
        <v>13819</v>
      </c>
      <c r="H7314" s="57" t="s">
        <v>13796</v>
      </c>
    </row>
    <row r="7315" spans="2:8" ht="13.5" customHeight="1">
      <c r="B7315" t="s">
        <v>13013</v>
      </c>
      <c r="D7315" t="s">
        <v>13036</v>
      </c>
      <c r="F7315" s="76">
        <v>2</v>
      </c>
      <c r="G7315" s="57" t="s">
        <v>13819</v>
      </c>
      <c r="H7315" s="57" t="s">
        <v>13796</v>
      </c>
    </row>
    <row r="7316" spans="2:8" ht="13.5" customHeight="1">
      <c r="B7316" t="s">
        <v>13014</v>
      </c>
      <c r="D7316" t="s">
        <v>13037</v>
      </c>
      <c r="F7316" s="76">
        <v>2</v>
      </c>
      <c r="G7316" s="57" t="s">
        <v>13819</v>
      </c>
      <c r="H7316" s="57" t="s">
        <v>13796</v>
      </c>
    </row>
    <row r="7317" spans="2:8" ht="13.5" customHeight="1">
      <c r="B7317" t="s">
        <v>13015</v>
      </c>
      <c r="D7317" t="s">
        <v>13038</v>
      </c>
      <c r="F7317" s="76">
        <v>2</v>
      </c>
      <c r="G7317" s="57" t="s">
        <v>13819</v>
      </c>
      <c r="H7317" s="57" t="s">
        <v>13796</v>
      </c>
    </row>
    <row r="7318" spans="2:8" ht="13.5" customHeight="1">
      <c r="B7318" t="s">
        <v>13016</v>
      </c>
      <c r="D7318" t="s">
        <v>13039</v>
      </c>
      <c r="F7318" s="76">
        <v>2</v>
      </c>
      <c r="G7318" s="57" t="s">
        <v>13819</v>
      </c>
      <c r="H7318" s="57" t="s">
        <v>13796</v>
      </c>
    </row>
    <row r="7319" spans="2:8" ht="13.5" customHeight="1">
      <c r="B7319" t="s">
        <v>5340</v>
      </c>
      <c r="D7319" t="s">
        <v>13040</v>
      </c>
      <c r="F7319" s="76">
        <v>3</v>
      </c>
      <c r="G7319" s="57" t="s">
        <v>13819</v>
      </c>
      <c r="H7319" s="57" t="s">
        <v>13796</v>
      </c>
    </row>
    <row r="7320" spans="2:8" ht="13.5" customHeight="1">
      <c r="B7320" t="s">
        <v>13017</v>
      </c>
      <c r="D7320" t="s">
        <v>13041</v>
      </c>
      <c r="F7320" s="76">
        <v>3</v>
      </c>
      <c r="G7320" s="57" t="s">
        <v>13819</v>
      </c>
      <c r="H7320" s="57" t="s">
        <v>13796</v>
      </c>
    </row>
    <row r="7321" spans="2:8" ht="13.5" customHeight="1">
      <c r="B7321" t="s">
        <v>13018</v>
      </c>
      <c r="D7321" t="s">
        <v>13042</v>
      </c>
      <c r="F7321" s="76">
        <v>5</v>
      </c>
      <c r="G7321" s="57" t="s">
        <v>13819</v>
      </c>
      <c r="H7321" s="57" t="s">
        <v>13796</v>
      </c>
    </row>
    <row r="7322" spans="2:8" ht="13.5" customHeight="1">
      <c r="B7322" t="s">
        <v>13019</v>
      </c>
      <c r="D7322" t="s">
        <v>13043</v>
      </c>
      <c r="F7322" s="76">
        <v>5</v>
      </c>
      <c r="G7322" s="57" t="s">
        <v>13819</v>
      </c>
      <c r="H7322" s="57" t="s">
        <v>13796</v>
      </c>
    </row>
    <row r="7323" spans="2:8" ht="13.5" customHeight="1">
      <c r="B7323" t="s">
        <v>13020</v>
      </c>
      <c r="D7323" t="s">
        <v>13044</v>
      </c>
      <c r="F7323" s="76">
        <v>7</v>
      </c>
      <c r="G7323" s="57" t="s">
        <v>13819</v>
      </c>
      <c r="H7323" s="57" t="s">
        <v>13796</v>
      </c>
    </row>
    <row r="7324" spans="2:8" ht="13.5" customHeight="1">
      <c r="B7324" t="s">
        <v>13021</v>
      </c>
      <c r="D7324" t="s">
        <v>13045</v>
      </c>
      <c r="F7324" s="76">
        <v>7</v>
      </c>
      <c r="G7324" s="57" t="s">
        <v>13819</v>
      </c>
      <c r="H7324" s="57" t="s">
        <v>13796</v>
      </c>
    </row>
    <row r="7325" spans="2:8" ht="13.5" customHeight="1">
      <c r="B7325" t="s">
        <v>13022</v>
      </c>
      <c r="D7325" t="s">
        <v>13046</v>
      </c>
      <c r="F7325" s="76">
        <v>10</v>
      </c>
      <c r="G7325" s="57" t="s">
        <v>13819</v>
      </c>
      <c r="H7325" s="57" t="s">
        <v>13796</v>
      </c>
    </row>
    <row r="7326" spans="2:8" ht="13.5" customHeight="1">
      <c r="B7326" t="s">
        <v>13023</v>
      </c>
      <c r="D7326" t="s">
        <v>13047</v>
      </c>
      <c r="F7326" s="76">
        <v>10</v>
      </c>
      <c r="G7326" s="57" t="s">
        <v>13819</v>
      </c>
      <c r="H7326" s="57" t="s">
        <v>13796</v>
      </c>
    </row>
    <row r="7327" spans="2:8" ht="13.5" customHeight="1">
      <c r="B7327" t="s">
        <v>13024</v>
      </c>
      <c r="D7327" t="s">
        <v>13048</v>
      </c>
      <c r="F7327" s="76">
        <v>10</v>
      </c>
      <c r="G7327" s="57" t="s">
        <v>13819</v>
      </c>
      <c r="H7327" s="57" t="s">
        <v>13796</v>
      </c>
    </row>
    <row r="7328" spans="2:8" ht="13.5" customHeight="1">
      <c r="B7328" t="s">
        <v>13025</v>
      </c>
      <c r="D7328" t="s">
        <v>13049</v>
      </c>
      <c r="F7328" s="76">
        <v>12</v>
      </c>
      <c r="G7328" s="57" t="s">
        <v>13819</v>
      </c>
      <c r="H7328" s="57" t="s">
        <v>13796</v>
      </c>
    </row>
    <row r="7329" spans="2:8" ht="13.5" customHeight="1">
      <c r="B7329" t="s">
        <v>13026</v>
      </c>
      <c r="D7329" t="s">
        <v>9102</v>
      </c>
      <c r="F7329" s="76">
        <v>13</v>
      </c>
      <c r="G7329" s="57" t="s">
        <v>13819</v>
      </c>
      <c r="H7329" s="57" t="s">
        <v>13796</v>
      </c>
    </row>
    <row r="7330" spans="2:8" ht="13.5" customHeight="1">
      <c r="B7330" t="s">
        <v>13027</v>
      </c>
      <c r="D7330" t="s">
        <v>13050</v>
      </c>
      <c r="F7330" s="76">
        <v>14</v>
      </c>
      <c r="G7330" s="57" t="s">
        <v>13819</v>
      </c>
      <c r="H7330" s="57" t="s">
        <v>13796</v>
      </c>
    </row>
    <row r="7331" spans="2:8" ht="13.5" customHeight="1">
      <c r="B7331" t="s">
        <v>13028</v>
      </c>
      <c r="D7331" t="s">
        <v>13051</v>
      </c>
      <c r="F7331" s="76">
        <v>14</v>
      </c>
      <c r="G7331" s="57" t="s">
        <v>13819</v>
      </c>
      <c r="H7331" s="57" t="s">
        <v>13796</v>
      </c>
    </row>
    <row r="7332" spans="2:8" ht="13.5" customHeight="1">
      <c r="B7332" t="s">
        <v>13029</v>
      </c>
      <c r="D7332" t="s">
        <v>13052</v>
      </c>
      <c r="F7332" s="76">
        <v>14</v>
      </c>
      <c r="G7332" s="57" t="s">
        <v>13819</v>
      </c>
      <c r="H7332" s="57" t="s">
        <v>13796</v>
      </c>
    </row>
    <row r="7333" spans="2:8" ht="13.5" customHeight="1">
      <c r="B7333" t="s">
        <v>13030</v>
      </c>
      <c r="D7333" t="s">
        <v>13053</v>
      </c>
      <c r="F7333" s="76">
        <v>22</v>
      </c>
      <c r="G7333" s="57" t="s">
        <v>13819</v>
      </c>
      <c r="H7333" s="57" t="s">
        <v>13796</v>
      </c>
    </row>
    <row r="7334" spans="2:8" ht="13.5" customHeight="1">
      <c r="B7334" t="s">
        <v>1284</v>
      </c>
      <c r="D7334" t="s">
        <v>13054</v>
      </c>
      <c r="F7334" s="76">
        <v>33</v>
      </c>
      <c r="G7334" s="57" t="s">
        <v>13819</v>
      </c>
      <c r="H7334" s="57" t="s">
        <v>13796</v>
      </c>
    </row>
    <row r="7335" spans="2:8" ht="13.5" customHeight="1">
      <c r="B7335" t="s">
        <v>7402</v>
      </c>
      <c r="D7335" t="s">
        <v>13055</v>
      </c>
      <c r="F7335" s="76">
        <v>34</v>
      </c>
      <c r="G7335" s="57" t="s">
        <v>13819</v>
      </c>
      <c r="H7335" s="57" t="s">
        <v>13796</v>
      </c>
    </row>
    <row r="7336" spans="2:8" ht="13.5" customHeight="1">
      <c r="B7336" t="s">
        <v>13056</v>
      </c>
      <c r="D7336" t="s">
        <v>13097</v>
      </c>
      <c r="F7336" s="76">
        <v>1</v>
      </c>
      <c r="G7336" s="57" t="s">
        <v>13819</v>
      </c>
      <c r="H7336" s="57" t="s">
        <v>13797</v>
      </c>
    </row>
    <row r="7337" spans="2:8" ht="13.5" customHeight="1">
      <c r="B7337" t="s">
        <v>13057</v>
      </c>
      <c r="D7337" t="s">
        <v>13098</v>
      </c>
      <c r="F7337" s="76">
        <v>1</v>
      </c>
      <c r="G7337" s="57" t="s">
        <v>13819</v>
      </c>
      <c r="H7337" s="57" t="s">
        <v>13797</v>
      </c>
    </row>
    <row r="7338" spans="2:8" ht="13.5" customHeight="1">
      <c r="B7338" t="s">
        <v>13058</v>
      </c>
      <c r="D7338" t="s">
        <v>13099</v>
      </c>
      <c r="F7338" s="76">
        <v>2</v>
      </c>
      <c r="G7338" s="57" t="s">
        <v>13819</v>
      </c>
      <c r="H7338" s="57" t="s">
        <v>13797</v>
      </c>
    </row>
    <row r="7339" spans="2:8" ht="13.5" customHeight="1">
      <c r="B7339" t="s">
        <v>13059</v>
      </c>
      <c r="D7339" t="s">
        <v>13100</v>
      </c>
      <c r="F7339" s="76">
        <v>2</v>
      </c>
      <c r="G7339" s="57" t="s">
        <v>13819</v>
      </c>
      <c r="H7339" s="57" t="s">
        <v>13797</v>
      </c>
    </row>
    <row r="7340" spans="2:8" ht="13.5" customHeight="1">
      <c r="B7340" t="s">
        <v>13060</v>
      </c>
      <c r="D7340" t="s">
        <v>13101</v>
      </c>
      <c r="F7340" s="76">
        <v>2</v>
      </c>
      <c r="G7340" s="57" t="s">
        <v>13819</v>
      </c>
      <c r="H7340" s="57" t="s">
        <v>13797</v>
      </c>
    </row>
    <row r="7341" spans="2:8" ht="13.5" customHeight="1">
      <c r="B7341" t="s">
        <v>13061</v>
      </c>
      <c r="D7341" t="s">
        <v>13102</v>
      </c>
      <c r="F7341" s="76">
        <v>2</v>
      </c>
      <c r="G7341" s="57" t="s">
        <v>13819</v>
      </c>
      <c r="H7341" s="57" t="s">
        <v>13797</v>
      </c>
    </row>
    <row r="7342" spans="2:8" ht="13.5" customHeight="1">
      <c r="B7342" t="s">
        <v>13062</v>
      </c>
      <c r="D7342" t="s">
        <v>13103</v>
      </c>
      <c r="F7342" s="76">
        <v>3</v>
      </c>
      <c r="G7342" s="57" t="s">
        <v>13819</v>
      </c>
      <c r="H7342" s="57" t="s">
        <v>13797</v>
      </c>
    </row>
    <row r="7343" spans="2:8" ht="13.5" customHeight="1">
      <c r="B7343" t="s">
        <v>13063</v>
      </c>
      <c r="D7343" t="s">
        <v>13104</v>
      </c>
      <c r="F7343" s="76">
        <v>3</v>
      </c>
      <c r="G7343" s="57" t="s">
        <v>13819</v>
      </c>
      <c r="H7343" s="57" t="s">
        <v>13797</v>
      </c>
    </row>
    <row r="7344" spans="2:8" ht="13.5" customHeight="1">
      <c r="B7344" t="s">
        <v>13064</v>
      </c>
      <c r="D7344" t="s">
        <v>13105</v>
      </c>
      <c r="F7344" s="76">
        <v>3</v>
      </c>
      <c r="G7344" s="57" t="s">
        <v>13819</v>
      </c>
      <c r="H7344" s="57" t="s">
        <v>13797</v>
      </c>
    </row>
    <row r="7345" spans="2:8" ht="13.5" customHeight="1">
      <c r="B7345" t="s">
        <v>13065</v>
      </c>
      <c r="D7345" t="s">
        <v>13106</v>
      </c>
      <c r="F7345" s="76">
        <v>3</v>
      </c>
      <c r="G7345" s="57" t="s">
        <v>13819</v>
      </c>
      <c r="H7345" s="57" t="s">
        <v>13797</v>
      </c>
    </row>
    <row r="7346" spans="2:8" ht="13.5" customHeight="1">
      <c r="B7346" s="154" t="s">
        <v>13066</v>
      </c>
      <c r="D7346" s="97" t="s">
        <v>13107</v>
      </c>
      <c r="F7346" s="76">
        <v>3</v>
      </c>
      <c r="G7346" s="57" t="s">
        <v>13819</v>
      </c>
      <c r="H7346" s="57" t="s">
        <v>13797</v>
      </c>
    </row>
    <row r="7347" spans="2:8" ht="13.5" customHeight="1">
      <c r="B7347" t="s">
        <v>13067</v>
      </c>
      <c r="D7347" t="s">
        <v>13108</v>
      </c>
      <c r="F7347" s="76">
        <v>4</v>
      </c>
      <c r="G7347" s="57" t="s">
        <v>13819</v>
      </c>
      <c r="H7347" s="57" t="s">
        <v>13797</v>
      </c>
    </row>
    <row r="7348" spans="2:8" ht="13.5" customHeight="1">
      <c r="B7348" t="s">
        <v>13068</v>
      </c>
      <c r="D7348" t="s">
        <v>13109</v>
      </c>
      <c r="F7348" s="76">
        <v>4</v>
      </c>
      <c r="G7348" s="57" t="s">
        <v>13819</v>
      </c>
      <c r="H7348" s="57" t="s">
        <v>13797</v>
      </c>
    </row>
    <row r="7349" spans="2:8" ht="13.5" customHeight="1">
      <c r="B7349" t="s">
        <v>13069</v>
      </c>
      <c r="D7349" t="s">
        <v>13110</v>
      </c>
      <c r="F7349" s="76">
        <v>5</v>
      </c>
      <c r="G7349" s="57" t="s">
        <v>13819</v>
      </c>
      <c r="H7349" s="57" t="s">
        <v>13797</v>
      </c>
    </row>
    <row r="7350" spans="2:8" ht="13.5" customHeight="1">
      <c r="B7350" t="s">
        <v>13070</v>
      </c>
      <c r="D7350" t="s">
        <v>13111</v>
      </c>
      <c r="F7350" s="76">
        <v>5</v>
      </c>
      <c r="G7350" s="57" t="s">
        <v>13819</v>
      </c>
      <c r="H7350" s="57" t="s">
        <v>13797</v>
      </c>
    </row>
    <row r="7351" spans="2:8" ht="13.5" customHeight="1">
      <c r="B7351" t="s">
        <v>13071</v>
      </c>
      <c r="D7351" t="s">
        <v>13112</v>
      </c>
      <c r="F7351" s="76">
        <v>6</v>
      </c>
      <c r="G7351" s="57" t="s">
        <v>13819</v>
      </c>
      <c r="H7351" s="57" t="s">
        <v>13797</v>
      </c>
    </row>
    <row r="7352" spans="2:8" ht="13.5" customHeight="1">
      <c r="B7352" t="s">
        <v>13072</v>
      </c>
      <c r="D7352" t="s">
        <v>13113</v>
      </c>
      <c r="F7352" s="76">
        <v>6</v>
      </c>
      <c r="G7352" s="57" t="s">
        <v>13819</v>
      </c>
      <c r="H7352" s="57" t="s">
        <v>13797</v>
      </c>
    </row>
    <row r="7353" spans="2:8" ht="13.5" customHeight="1">
      <c r="B7353" t="s">
        <v>13073</v>
      </c>
      <c r="D7353" t="s">
        <v>13114</v>
      </c>
      <c r="F7353" s="76">
        <v>6</v>
      </c>
      <c r="G7353" s="57" t="s">
        <v>13819</v>
      </c>
      <c r="H7353" s="57" t="s">
        <v>13797</v>
      </c>
    </row>
    <row r="7354" spans="2:8" ht="13.5" customHeight="1">
      <c r="B7354" t="s">
        <v>3800</v>
      </c>
      <c r="D7354" t="s">
        <v>13115</v>
      </c>
      <c r="F7354" s="76">
        <v>10</v>
      </c>
      <c r="G7354" s="57" t="s">
        <v>13819</v>
      </c>
      <c r="H7354" s="57" t="s">
        <v>13797</v>
      </c>
    </row>
    <row r="7355" spans="2:8" ht="13.5" customHeight="1">
      <c r="B7355" t="s">
        <v>13074</v>
      </c>
      <c r="D7355" t="s">
        <v>13116</v>
      </c>
      <c r="F7355" s="76">
        <v>10</v>
      </c>
      <c r="G7355" s="57" t="s">
        <v>13819</v>
      </c>
      <c r="H7355" s="57" t="s">
        <v>13797</v>
      </c>
    </row>
    <row r="7356" spans="2:8" ht="13.5" customHeight="1">
      <c r="B7356" t="s">
        <v>13075</v>
      </c>
      <c r="D7356" t="s">
        <v>13117</v>
      </c>
      <c r="F7356" s="76">
        <v>10</v>
      </c>
      <c r="G7356" s="57" t="s">
        <v>13819</v>
      </c>
      <c r="H7356" s="57" t="s">
        <v>13797</v>
      </c>
    </row>
    <row r="7357" spans="2:8" ht="13.5" customHeight="1">
      <c r="B7357" t="s">
        <v>13076</v>
      </c>
      <c r="D7357" t="s">
        <v>13118</v>
      </c>
      <c r="F7357" s="76">
        <v>10</v>
      </c>
      <c r="G7357" s="57" t="s">
        <v>13819</v>
      </c>
      <c r="H7357" s="57" t="s">
        <v>13797</v>
      </c>
    </row>
    <row r="7358" spans="2:8" ht="13.5" customHeight="1">
      <c r="B7358" t="s">
        <v>13077</v>
      </c>
      <c r="D7358" t="s">
        <v>13119</v>
      </c>
      <c r="F7358" s="76">
        <v>12</v>
      </c>
      <c r="G7358" s="57" t="s">
        <v>13819</v>
      </c>
      <c r="H7358" s="57" t="s">
        <v>13797</v>
      </c>
    </row>
    <row r="7359" spans="2:8" ht="13.5" customHeight="1">
      <c r="B7359" t="s">
        <v>13078</v>
      </c>
      <c r="D7359" t="s">
        <v>13120</v>
      </c>
      <c r="F7359" s="76">
        <v>13</v>
      </c>
      <c r="G7359" s="57" t="s">
        <v>13819</v>
      </c>
      <c r="H7359" s="57" t="s">
        <v>13797</v>
      </c>
    </row>
    <row r="7360" spans="2:8" ht="13.5" customHeight="1">
      <c r="B7360" t="s">
        <v>13079</v>
      </c>
      <c r="D7360" t="s">
        <v>13121</v>
      </c>
      <c r="F7360" s="76">
        <v>13</v>
      </c>
      <c r="G7360" s="57" t="s">
        <v>13819</v>
      </c>
      <c r="H7360" s="57" t="s">
        <v>13797</v>
      </c>
    </row>
    <row r="7361" spans="2:8" ht="13.5" customHeight="1">
      <c r="B7361" t="s">
        <v>13080</v>
      </c>
      <c r="D7361" t="s">
        <v>13122</v>
      </c>
      <c r="F7361" s="76">
        <v>13</v>
      </c>
      <c r="G7361" s="57" t="s">
        <v>13819</v>
      </c>
      <c r="H7361" s="57" t="s">
        <v>13797</v>
      </c>
    </row>
    <row r="7362" spans="2:8" ht="13.5" customHeight="1">
      <c r="B7362" t="s">
        <v>13081</v>
      </c>
      <c r="D7362" t="s">
        <v>13123</v>
      </c>
      <c r="F7362" s="76">
        <v>14</v>
      </c>
      <c r="G7362" s="57" t="s">
        <v>13819</v>
      </c>
      <c r="H7362" s="57" t="s">
        <v>13797</v>
      </c>
    </row>
    <row r="7363" spans="2:8" ht="13.5" customHeight="1">
      <c r="B7363" t="s">
        <v>13082</v>
      </c>
      <c r="D7363" t="s">
        <v>13124</v>
      </c>
      <c r="F7363" s="76">
        <v>14</v>
      </c>
      <c r="G7363" s="57" t="s">
        <v>13819</v>
      </c>
      <c r="H7363" s="57" t="s">
        <v>13797</v>
      </c>
    </row>
    <row r="7364" spans="2:8" ht="13.5" customHeight="1">
      <c r="B7364" t="s">
        <v>13083</v>
      </c>
      <c r="D7364" t="s">
        <v>13125</v>
      </c>
      <c r="F7364" s="76">
        <v>15</v>
      </c>
      <c r="G7364" s="57" t="s">
        <v>13819</v>
      </c>
      <c r="H7364" s="57" t="s">
        <v>13797</v>
      </c>
    </row>
    <row r="7365" spans="2:8" ht="13.5" customHeight="1">
      <c r="B7365" t="s">
        <v>13084</v>
      </c>
      <c r="D7365" t="s">
        <v>13126</v>
      </c>
      <c r="F7365" s="76">
        <v>15</v>
      </c>
      <c r="G7365" s="57" t="s">
        <v>13819</v>
      </c>
      <c r="H7365" s="57" t="s">
        <v>13797</v>
      </c>
    </row>
    <row r="7366" spans="2:8" ht="13.5" customHeight="1">
      <c r="B7366" t="s">
        <v>13085</v>
      </c>
      <c r="D7366" t="s">
        <v>13127</v>
      </c>
      <c r="F7366" s="76">
        <v>15</v>
      </c>
      <c r="G7366" s="57" t="s">
        <v>13819</v>
      </c>
      <c r="H7366" s="57" t="s">
        <v>13797</v>
      </c>
    </row>
    <row r="7367" spans="2:8" ht="13.5" customHeight="1">
      <c r="B7367" t="s">
        <v>13086</v>
      </c>
      <c r="D7367" t="s">
        <v>13128</v>
      </c>
      <c r="F7367" s="76">
        <v>16</v>
      </c>
      <c r="G7367" s="57" t="s">
        <v>13819</v>
      </c>
      <c r="H7367" s="57" t="s">
        <v>13797</v>
      </c>
    </row>
    <row r="7368" spans="2:8" ht="13.5" customHeight="1">
      <c r="B7368" t="s">
        <v>13087</v>
      </c>
      <c r="D7368" t="s">
        <v>13129</v>
      </c>
      <c r="F7368" s="76">
        <v>18</v>
      </c>
      <c r="G7368" s="57" t="s">
        <v>13819</v>
      </c>
      <c r="H7368" s="57" t="s">
        <v>13797</v>
      </c>
    </row>
    <row r="7369" spans="2:8" ht="13.5" customHeight="1">
      <c r="B7369" t="s">
        <v>13088</v>
      </c>
      <c r="D7369" t="s">
        <v>13130</v>
      </c>
      <c r="F7369" s="76">
        <v>20</v>
      </c>
      <c r="G7369" s="57" t="s">
        <v>13819</v>
      </c>
      <c r="H7369" s="57" t="s">
        <v>13797</v>
      </c>
    </row>
    <row r="7370" spans="2:8" ht="13.5" customHeight="1">
      <c r="B7370" t="s">
        <v>13089</v>
      </c>
      <c r="D7370" t="s">
        <v>13131</v>
      </c>
      <c r="F7370" s="76">
        <v>24</v>
      </c>
      <c r="G7370" s="57" t="s">
        <v>13819</v>
      </c>
      <c r="H7370" s="57" t="s">
        <v>13797</v>
      </c>
    </row>
    <row r="7371" spans="2:8" ht="13.5" customHeight="1">
      <c r="B7371" t="s">
        <v>7438</v>
      </c>
      <c r="D7371" t="s">
        <v>13132</v>
      </c>
      <c r="F7371" s="76">
        <v>26</v>
      </c>
      <c r="G7371" s="57" t="s">
        <v>13819</v>
      </c>
      <c r="H7371" s="57" t="s">
        <v>13797</v>
      </c>
    </row>
    <row r="7372" spans="2:8" ht="13.5" customHeight="1">
      <c r="B7372" t="s">
        <v>13090</v>
      </c>
      <c r="D7372" t="s">
        <v>13133</v>
      </c>
      <c r="F7372" s="76">
        <v>27</v>
      </c>
      <c r="G7372" s="57" t="s">
        <v>13819</v>
      </c>
      <c r="H7372" s="57" t="s">
        <v>13797</v>
      </c>
    </row>
    <row r="7373" spans="2:8" ht="13.5" customHeight="1">
      <c r="B7373" t="s">
        <v>13091</v>
      </c>
      <c r="D7373" t="s">
        <v>386</v>
      </c>
      <c r="F7373" s="76">
        <v>36</v>
      </c>
      <c r="G7373" s="57" t="s">
        <v>13819</v>
      </c>
      <c r="H7373" s="57" t="s">
        <v>13797</v>
      </c>
    </row>
    <row r="7374" spans="2:8" ht="13.5" customHeight="1">
      <c r="B7374" t="s">
        <v>13092</v>
      </c>
      <c r="D7374" t="s">
        <v>13134</v>
      </c>
      <c r="F7374" s="76">
        <v>51</v>
      </c>
      <c r="G7374" s="57" t="s">
        <v>13819</v>
      </c>
      <c r="H7374" s="57" t="s">
        <v>13797</v>
      </c>
    </row>
    <row r="7375" spans="2:8" ht="13.5" customHeight="1">
      <c r="B7375" t="s">
        <v>13093</v>
      </c>
      <c r="D7375" t="s">
        <v>13135</v>
      </c>
      <c r="F7375" s="76">
        <v>53</v>
      </c>
      <c r="G7375" s="57" t="s">
        <v>13819</v>
      </c>
      <c r="H7375" s="57" t="s">
        <v>13797</v>
      </c>
    </row>
    <row r="7376" spans="2:8" ht="13.5" customHeight="1">
      <c r="B7376" t="s">
        <v>13094</v>
      </c>
      <c r="D7376" t="s">
        <v>13136</v>
      </c>
      <c r="F7376" s="76">
        <v>110</v>
      </c>
      <c r="G7376" s="57" t="s">
        <v>13819</v>
      </c>
      <c r="H7376" s="57" t="s">
        <v>13797</v>
      </c>
    </row>
    <row r="7377" spans="2:8" ht="13.5" customHeight="1">
      <c r="B7377" t="s">
        <v>8920</v>
      </c>
      <c r="D7377" t="s">
        <v>13137</v>
      </c>
      <c r="F7377" s="76">
        <v>148</v>
      </c>
      <c r="G7377" s="57" t="s">
        <v>13819</v>
      </c>
      <c r="H7377" s="57" t="s">
        <v>13797</v>
      </c>
    </row>
    <row r="7378" spans="2:8" ht="13.5" customHeight="1">
      <c r="B7378" t="s">
        <v>13095</v>
      </c>
      <c r="D7378" t="s">
        <v>13138</v>
      </c>
      <c r="F7378" s="76">
        <v>505</v>
      </c>
      <c r="G7378" s="57" t="s">
        <v>13819</v>
      </c>
      <c r="H7378" s="57" t="s">
        <v>13797</v>
      </c>
    </row>
    <row r="7379" spans="2:8" ht="13.5" customHeight="1">
      <c r="B7379" t="s">
        <v>13096</v>
      </c>
      <c r="D7379" t="s">
        <v>5033</v>
      </c>
      <c r="F7379" s="76">
        <v>606</v>
      </c>
      <c r="G7379" s="57" t="s">
        <v>13819</v>
      </c>
      <c r="H7379" s="57" t="s">
        <v>13797</v>
      </c>
    </row>
    <row r="7380" spans="2:8" ht="13.5" customHeight="1">
      <c r="B7380" t="s">
        <v>13139</v>
      </c>
      <c r="D7380" t="s">
        <v>13165</v>
      </c>
      <c r="F7380" s="76">
        <v>1</v>
      </c>
      <c r="G7380" s="57" t="s">
        <v>13819</v>
      </c>
      <c r="H7380" s="57" t="s">
        <v>13798</v>
      </c>
    </row>
    <row r="7381" spans="2:8" ht="13.5" customHeight="1">
      <c r="B7381" t="s">
        <v>13140</v>
      </c>
      <c r="D7381" t="s">
        <v>13166</v>
      </c>
      <c r="F7381" s="76">
        <v>1</v>
      </c>
      <c r="G7381" s="57" t="s">
        <v>13819</v>
      </c>
      <c r="H7381" s="57" t="s">
        <v>13798</v>
      </c>
    </row>
    <row r="7382" spans="2:8" ht="13.5" customHeight="1">
      <c r="B7382" t="s">
        <v>13141</v>
      </c>
      <c r="D7382" t="s">
        <v>13167</v>
      </c>
      <c r="F7382" s="76">
        <v>1</v>
      </c>
      <c r="G7382" s="57" t="s">
        <v>13819</v>
      </c>
      <c r="H7382" s="57" t="s">
        <v>13798</v>
      </c>
    </row>
    <row r="7383" spans="2:8" ht="13.5" customHeight="1">
      <c r="B7383" t="s">
        <v>13142</v>
      </c>
      <c r="D7383" t="s">
        <v>13168</v>
      </c>
      <c r="F7383" s="76">
        <v>1</v>
      </c>
      <c r="G7383" s="57" t="s">
        <v>13819</v>
      </c>
      <c r="H7383" s="57" t="s">
        <v>13798</v>
      </c>
    </row>
    <row r="7384" spans="2:8" ht="13.5" customHeight="1">
      <c r="B7384" t="s">
        <v>13143</v>
      </c>
      <c r="D7384" t="s">
        <v>13169</v>
      </c>
      <c r="F7384" s="76">
        <v>2</v>
      </c>
      <c r="G7384" s="57" t="s">
        <v>13819</v>
      </c>
      <c r="H7384" s="57" t="s">
        <v>13798</v>
      </c>
    </row>
    <row r="7385" spans="2:8" ht="13.5" customHeight="1">
      <c r="B7385" t="s">
        <v>13144</v>
      </c>
      <c r="D7385" t="s">
        <v>13170</v>
      </c>
      <c r="F7385" s="76">
        <v>2</v>
      </c>
      <c r="G7385" s="57" t="s">
        <v>13819</v>
      </c>
      <c r="H7385" s="57" t="s">
        <v>13798</v>
      </c>
    </row>
    <row r="7386" spans="2:8" ht="13.5" customHeight="1">
      <c r="B7386" t="s">
        <v>366</v>
      </c>
      <c r="D7386" t="s">
        <v>13171</v>
      </c>
      <c r="F7386" s="76">
        <v>2</v>
      </c>
      <c r="G7386" s="57" t="s">
        <v>13819</v>
      </c>
      <c r="H7386" s="57" t="s">
        <v>13798</v>
      </c>
    </row>
    <row r="7387" spans="2:8" ht="13.5" customHeight="1">
      <c r="B7387" t="s">
        <v>13145</v>
      </c>
      <c r="D7387" t="s">
        <v>13172</v>
      </c>
      <c r="F7387" s="76">
        <v>2</v>
      </c>
      <c r="G7387" s="57" t="s">
        <v>13819</v>
      </c>
      <c r="H7387" s="57" t="s">
        <v>13798</v>
      </c>
    </row>
    <row r="7388" spans="2:8" ht="13.5" customHeight="1">
      <c r="B7388" t="s">
        <v>13146</v>
      </c>
      <c r="D7388" t="s">
        <v>13173</v>
      </c>
      <c r="F7388" s="76">
        <v>2</v>
      </c>
      <c r="G7388" s="57" t="s">
        <v>13819</v>
      </c>
      <c r="H7388" s="57" t="s">
        <v>13798</v>
      </c>
    </row>
    <row r="7389" spans="2:8" ht="13.5" customHeight="1">
      <c r="B7389" t="s">
        <v>13147</v>
      </c>
      <c r="D7389" t="s">
        <v>13174</v>
      </c>
      <c r="F7389" s="76">
        <v>3</v>
      </c>
      <c r="G7389" s="57" t="s">
        <v>13819</v>
      </c>
      <c r="H7389" s="57" t="s">
        <v>13798</v>
      </c>
    </row>
    <row r="7390" spans="2:8" ht="13.5" customHeight="1">
      <c r="B7390" t="s">
        <v>13148</v>
      </c>
      <c r="D7390" t="s">
        <v>13175</v>
      </c>
      <c r="F7390" s="76">
        <v>4</v>
      </c>
      <c r="G7390" s="57" t="s">
        <v>13819</v>
      </c>
      <c r="H7390" s="57" t="s">
        <v>13798</v>
      </c>
    </row>
    <row r="7391" spans="2:8" ht="13.5" customHeight="1">
      <c r="B7391" t="s">
        <v>13149</v>
      </c>
      <c r="D7391" t="s">
        <v>13176</v>
      </c>
      <c r="F7391" s="76">
        <v>4</v>
      </c>
      <c r="G7391" s="57" t="s">
        <v>13819</v>
      </c>
      <c r="H7391" s="57" t="s">
        <v>13798</v>
      </c>
    </row>
    <row r="7392" spans="2:8" ht="13.5" customHeight="1">
      <c r="B7392" t="s">
        <v>13150</v>
      </c>
      <c r="D7392" t="s">
        <v>13177</v>
      </c>
      <c r="F7392" s="76">
        <v>5</v>
      </c>
      <c r="G7392" s="57" t="s">
        <v>13819</v>
      </c>
      <c r="H7392" s="57" t="s">
        <v>13798</v>
      </c>
    </row>
    <row r="7393" spans="2:8" ht="13.5" customHeight="1">
      <c r="B7393" t="s">
        <v>13151</v>
      </c>
      <c r="D7393" t="s">
        <v>13178</v>
      </c>
      <c r="F7393" s="76">
        <v>5</v>
      </c>
      <c r="G7393" s="57" t="s">
        <v>13819</v>
      </c>
      <c r="H7393" s="57" t="s">
        <v>13798</v>
      </c>
    </row>
    <row r="7394" spans="2:8" ht="13.5" customHeight="1">
      <c r="B7394" t="s">
        <v>13152</v>
      </c>
      <c r="D7394" t="s">
        <v>13179</v>
      </c>
      <c r="F7394" s="76">
        <v>6</v>
      </c>
      <c r="G7394" s="57" t="s">
        <v>13819</v>
      </c>
      <c r="H7394" s="57" t="s">
        <v>13798</v>
      </c>
    </row>
    <row r="7395" spans="2:8" ht="13.5" customHeight="1">
      <c r="B7395" t="s">
        <v>13153</v>
      </c>
      <c r="D7395" t="s">
        <v>13180</v>
      </c>
      <c r="F7395" s="76">
        <v>7</v>
      </c>
      <c r="G7395" s="57" t="s">
        <v>13819</v>
      </c>
      <c r="H7395" s="57" t="s">
        <v>13798</v>
      </c>
    </row>
    <row r="7396" spans="2:8" ht="13.5" customHeight="1">
      <c r="B7396" t="s">
        <v>13154</v>
      </c>
      <c r="D7396" t="s">
        <v>13181</v>
      </c>
      <c r="F7396" s="76">
        <v>7</v>
      </c>
      <c r="G7396" s="57" t="s">
        <v>13819</v>
      </c>
      <c r="H7396" s="57" t="s">
        <v>13798</v>
      </c>
    </row>
    <row r="7397" spans="2:8" ht="13.5" customHeight="1">
      <c r="B7397" t="s">
        <v>13155</v>
      </c>
      <c r="D7397" t="s">
        <v>13182</v>
      </c>
      <c r="F7397" s="76">
        <v>8</v>
      </c>
      <c r="G7397" s="57" t="s">
        <v>13819</v>
      </c>
      <c r="H7397" s="57" t="s">
        <v>13798</v>
      </c>
    </row>
    <row r="7398" spans="2:8" ht="13.5" customHeight="1">
      <c r="B7398" t="s">
        <v>13156</v>
      </c>
      <c r="D7398" t="s">
        <v>13183</v>
      </c>
      <c r="F7398" s="76">
        <v>9</v>
      </c>
      <c r="G7398" s="57" t="s">
        <v>13819</v>
      </c>
      <c r="H7398" s="57" t="s">
        <v>13798</v>
      </c>
    </row>
    <row r="7399" spans="2:8" ht="13.5" customHeight="1">
      <c r="B7399" t="s">
        <v>13157</v>
      </c>
      <c r="D7399" t="s">
        <v>13184</v>
      </c>
      <c r="F7399" s="76">
        <v>9</v>
      </c>
      <c r="G7399" s="57" t="s">
        <v>13819</v>
      </c>
      <c r="H7399" s="57" t="s">
        <v>13798</v>
      </c>
    </row>
    <row r="7400" spans="2:8" ht="13.5" customHeight="1">
      <c r="B7400" t="s">
        <v>13158</v>
      </c>
      <c r="D7400" t="s">
        <v>13185</v>
      </c>
      <c r="F7400" s="76">
        <v>13</v>
      </c>
      <c r="G7400" s="57" t="s">
        <v>13819</v>
      </c>
      <c r="H7400" s="57" t="s">
        <v>13798</v>
      </c>
    </row>
    <row r="7401" spans="2:8" ht="13.5" customHeight="1">
      <c r="B7401" t="s">
        <v>13159</v>
      </c>
      <c r="D7401" t="s">
        <v>13186</v>
      </c>
      <c r="F7401" s="76">
        <v>14</v>
      </c>
      <c r="G7401" s="57" t="s">
        <v>13819</v>
      </c>
      <c r="H7401" s="57" t="s">
        <v>13798</v>
      </c>
    </row>
    <row r="7402" spans="2:8" ht="13.5" customHeight="1">
      <c r="B7402" t="s">
        <v>13160</v>
      </c>
      <c r="D7402" t="s">
        <v>13187</v>
      </c>
      <c r="F7402" s="76">
        <v>14</v>
      </c>
      <c r="G7402" s="57" t="s">
        <v>13819</v>
      </c>
      <c r="H7402" s="57" t="s">
        <v>13798</v>
      </c>
    </row>
    <row r="7403" spans="2:8" ht="13.5" customHeight="1">
      <c r="B7403" t="s">
        <v>5915</v>
      </c>
      <c r="D7403" t="s">
        <v>13188</v>
      </c>
      <c r="F7403" s="76">
        <v>19</v>
      </c>
      <c r="G7403" s="57" t="s">
        <v>13819</v>
      </c>
      <c r="H7403" s="57" t="s">
        <v>13798</v>
      </c>
    </row>
    <row r="7404" spans="2:8" ht="13.5" customHeight="1">
      <c r="B7404" t="s">
        <v>916</v>
      </c>
      <c r="D7404" t="s">
        <v>13189</v>
      </c>
      <c r="F7404" s="76">
        <v>23</v>
      </c>
      <c r="G7404" s="57" t="s">
        <v>13819</v>
      </c>
      <c r="H7404" s="57" t="s">
        <v>13798</v>
      </c>
    </row>
    <row r="7405" spans="2:8" ht="13.5" customHeight="1">
      <c r="B7405" t="s">
        <v>13161</v>
      </c>
      <c r="D7405" t="s">
        <v>13190</v>
      </c>
      <c r="F7405" s="76">
        <v>24</v>
      </c>
      <c r="G7405" s="57" t="s">
        <v>13819</v>
      </c>
      <c r="H7405" s="57" t="s">
        <v>13798</v>
      </c>
    </row>
    <row r="7406" spans="2:8" ht="13.5" customHeight="1">
      <c r="B7406" t="s">
        <v>10057</v>
      </c>
      <c r="D7406" t="s">
        <v>13191</v>
      </c>
      <c r="F7406" s="76">
        <v>49</v>
      </c>
      <c r="G7406" s="57" t="s">
        <v>13819</v>
      </c>
      <c r="H7406" s="57" t="s">
        <v>13798</v>
      </c>
    </row>
    <row r="7407" spans="2:8" ht="13.5" customHeight="1">
      <c r="B7407" t="s">
        <v>13162</v>
      </c>
      <c r="D7407" t="s">
        <v>13192</v>
      </c>
      <c r="F7407" s="76">
        <v>77</v>
      </c>
      <c r="G7407" s="57" t="s">
        <v>13819</v>
      </c>
      <c r="H7407" s="57" t="s">
        <v>13798</v>
      </c>
    </row>
    <row r="7408" spans="2:8" ht="13.5" customHeight="1">
      <c r="B7408" t="s">
        <v>13163</v>
      </c>
      <c r="D7408" t="s">
        <v>1922</v>
      </c>
      <c r="F7408" s="76">
        <v>79</v>
      </c>
      <c r="G7408" s="57" t="s">
        <v>13819</v>
      </c>
      <c r="H7408" s="57" t="s">
        <v>13798</v>
      </c>
    </row>
    <row r="7409" spans="2:8" ht="13.5" customHeight="1">
      <c r="B7409" t="s">
        <v>4788</v>
      </c>
      <c r="D7409" t="s">
        <v>1622</v>
      </c>
      <c r="F7409" s="76">
        <v>112</v>
      </c>
      <c r="G7409" s="57" t="s">
        <v>13819</v>
      </c>
      <c r="H7409" s="57" t="s">
        <v>13798</v>
      </c>
    </row>
    <row r="7410" spans="2:8" ht="13.5" customHeight="1">
      <c r="B7410" t="s">
        <v>13164</v>
      </c>
      <c r="D7410" t="s">
        <v>13193</v>
      </c>
      <c r="F7410" s="76">
        <v>122</v>
      </c>
      <c r="G7410" s="57" t="s">
        <v>13819</v>
      </c>
      <c r="H7410" s="57" t="s">
        <v>13798</v>
      </c>
    </row>
    <row r="7411" spans="2:8" ht="13.5" customHeight="1">
      <c r="B7411" t="s">
        <v>13194</v>
      </c>
      <c r="D7411" t="s">
        <v>13210</v>
      </c>
      <c r="F7411" s="76">
        <v>2</v>
      </c>
      <c r="G7411" s="57" t="s">
        <v>13819</v>
      </c>
      <c r="H7411" s="57" t="s">
        <v>13799</v>
      </c>
    </row>
    <row r="7412" spans="2:8" ht="13.5" customHeight="1">
      <c r="B7412" t="s">
        <v>13195</v>
      </c>
      <c r="D7412" t="s">
        <v>13211</v>
      </c>
      <c r="F7412" s="76">
        <v>3</v>
      </c>
      <c r="G7412" s="57" t="s">
        <v>13819</v>
      </c>
      <c r="H7412" s="57" t="s">
        <v>13799</v>
      </c>
    </row>
    <row r="7413" spans="2:8" ht="13.5" customHeight="1">
      <c r="B7413" t="s">
        <v>13196</v>
      </c>
      <c r="D7413" t="s">
        <v>13212</v>
      </c>
      <c r="F7413" s="76">
        <v>3</v>
      </c>
      <c r="G7413" s="57" t="s">
        <v>13819</v>
      </c>
      <c r="H7413" s="57" t="s">
        <v>13799</v>
      </c>
    </row>
    <row r="7414" spans="2:8" ht="13.5" customHeight="1">
      <c r="B7414" t="s">
        <v>13197</v>
      </c>
      <c r="D7414" t="s">
        <v>13213</v>
      </c>
      <c r="F7414" s="76">
        <v>5</v>
      </c>
      <c r="G7414" s="57" t="s">
        <v>13819</v>
      </c>
      <c r="H7414" s="57" t="s">
        <v>13799</v>
      </c>
    </row>
    <row r="7415" spans="2:8" ht="13.5" customHeight="1">
      <c r="B7415" t="s">
        <v>13198</v>
      </c>
      <c r="D7415" t="s">
        <v>13214</v>
      </c>
      <c r="F7415" s="76">
        <v>5</v>
      </c>
      <c r="G7415" s="57" t="s">
        <v>13819</v>
      </c>
      <c r="H7415" s="57" t="s">
        <v>13799</v>
      </c>
    </row>
    <row r="7416" spans="2:8" ht="13.5" customHeight="1">
      <c r="B7416" t="s">
        <v>13199</v>
      </c>
      <c r="D7416" t="s">
        <v>13215</v>
      </c>
      <c r="F7416" s="76">
        <v>7</v>
      </c>
      <c r="G7416" s="57" t="s">
        <v>13819</v>
      </c>
      <c r="H7416" s="57" t="s">
        <v>13799</v>
      </c>
    </row>
    <row r="7417" spans="2:8" ht="13.5" customHeight="1">
      <c r="B7417" t="s">
        <v>13200</v>
      </c>
      <c r="D7417" t="s">
        <v>13216</v>
      </c>
      <c r="F7417" s="76">
        <v>10</v>
      </c>
      <c r="G7417" s="57" t="s">
        <v>13819</v>
      </c>
      <c r="H7417" s="57" t="s">
        <v>13799</v>
      </c>
    </row>
    <row r="7418" spans="2:8" ht="13.5" customHeight="1">
      <c r="B7418" t="s">
        <v>13201</v>
      </c>
      <c r="D7418" t="s">
        <v>13217</v>
      </c>
      <c r="F7418" s="76">
        <v>13</v>
      </c>
      <c r="G7418" s="57" t="s">
        <v>13819</v>
      </c>
      <c r="H7418" s="57" t="s">
        <v>13799</v>
      </c>
    </row>
    <row r="7419" spans="2:8" ht="13.5" customHeight="1">
      <c r="B7419" t="s">
        <v>11878</v>
      </c>
      <c r="D7419" t="s">
        <v>13218</v>
      </c>
      <c r="F7419" s="76">
        <v>79</v>
      </c>
      <c r="G7419" s="57" t="s">
        <v>13819</v>
      </c>
      <c r="H7419" s="57" t="s">
        <v>13799</v>
      </c>
    </row>
    <row r="7420" spans="2:8" ht="13.5" customHeight="1">
      <c r="B7420" t="s">
        <v>13202</v>
      </c>
      <c r="D7420" t="s">
        <v>4599</v>
      </c>
      <c r="F7420" s="76">
        <v>80</v>
      </c>
      <c r="G7420" s="57" t="s">
        <v>13819</v>
      </c>
      <c r="H7420" s="57" t="s">
        <v>13799</v>
      </c>
    </row>
    <row r="7421" spans="2:8" ht="13.5" customHeight="1">
      <c r="B7421" t="s">
        <v>10258</v>
      </c>
      <c r="D7421" t="s">
        <v>13219</v>
      </c>
      <c r="F7421" s="76">
        <v>117</v>
      </c>
      <c r="G7421" s="57" t="s">
        <v>13819</v>
      </c>
      <c r="H7421" s="57" t="s">
        <v>13799</v>
      </c>
    </row>
    <row r="7422" spans="2:8" ht="13.5" customHeight="1">
      <c r="B7422" t="s">
        <v>3986</v>
      </c>
      <c r="D7422" t="s">
        <v>13220</v>
      </c>
      <c r="F7422" s="76">
        <v>150</v>
      </c>
      <c r="G7422" s="57" t="s">
        <v>13819</v>
      </c>
      <c r="H7422" s="57" t="s">
        <v>13799</v>
      </c>
    </row>
    <row r="7423" spans="2:8" ht="13.5" customHeight="1">
      <c r="B7423" t="s">
        <v>13203</v>
      </c>
      <c r="D7423" t="s">
        <v>13221</v>
      </c>
      <c r="F7423" s="76">
        <v>383</v>
      </c>
      <c r="G7423" s="57" t="s">
        <v>13819</v>
      </c>
      <c r="H7423" s="57" t="s">
        <v>13799</v>
      </c>
    </row>
    <row r="7424" spans="2:8" ht="13.5" customHeight="1">
      <c r="B7424" t="s">
        <v>6096</v>
      </c>
      <c r="D7424" t="s">
        <v>13222</v>
      </c>
      <c r="F7424" s="76">
        <v>405</v>
      </c>
      <c r="G7424" s="57" t="s">
        <v>13819</v>
      </c>
      <c r="H7424" s="57" t="s">
        <v>13799</v>
      </c>
    </row>
    <row r="7425" spans="2:8" ht="13.5" customHeight="1">
      <c r="B7425" t="s">
        <v>13204</v>
      </c>
      <c r="D7425" t="s">
        <v>13223</v>
      </c>
      <c r="F7425" s="76">
        <v>455</v>
      </c>
      <c r="G7425" s="57" t="s">
        <v>13819</v>
      </c>
      <c r="H7425" s="57" t="s">
        <v>13799</v>
      </c>
    </row>
    <row r="7426" spans="2:8" ht="13.5" customHeight="1">
      <c r="B7426" t="s">
        <v>1542</v>
      </c>
      <c r="D7426" t="s">
        <v>1543</v>
      </c>
      <c r="F7426" s="76">
        <v>498</v>
      </c>
      <c r="G7426" s="57" t="s">
        <v>13819</v>
      </c>
      <c r="H7426" s="57" t="s">
        <v>13799</v>
      </c>
    </row>
    <row r="7427" spans="2:8" ht="13.5" customHeight="1">
      <c r="B7427" t="s">
        <v>3591</v>
      </c>
      <c r="D7427" t="s">
        <v>13224</v>
      </c>
      <c r="F7427" s="76">
        <v>503</v>
      </c>
      <c r="G7427" s="57" t="s">
        <v>13819</v>
      </c>
      <c r="H7427" s="57" t="s">
        <v>13799</v>
      </c>
    </row>
    <row r="7428" spans="2:8" ht="13.5" customHeight="1">
      <c r="B7428" t="s">
        <v>13205</v>
      </c>
      <c r="D7428" t="s">
        <v>13225</v>
      </c>
      <c r="F7428" s="76">
        <v>508</v>
      </c>
      <c r="G7428" s="57" t="s">
        <v>13819</v>
      </c>
      <c r="H7428" s="57" t="s">
        <v>13799</v>
      </c>
    </row>
    <row r="7429" spans="2:8" ht="13.5" customHeight="1">
      <c r="B7429" t="s">
        <v>13206</v>
      </c>
      <c r="D7429" t="s">
        <v>13226</v>
      </c>
      <c r="F7429" s="76">
        <v>510</v>
      </c>
      <c r="G7429" s="57" t="s">
        <v>13819</v>
      </c>
      <c r="H7429" s="57" t="s">
        <v>13799</v>
      </c>
    </row>
    <row r="7430" spans="2:8" ht="13.5" customHeight="1">
      <c r="B7430" t="s">
        <v>13207</v>
      </c>
      <c r="D7430" t="s">
        <v>13227</v>
      </c>
      <c r="F7430" s="76">
        <v>530</v>
      </c>
      <c r="G7430" s="57" t="s">
        <v>13819</v>
      </c>
      <c r="H7430" s="57" t="s">
        <v>13799</v>
      </c>
    </row>
    <row r="7431" spans="2:8" ht="13.5" customHeight="1">
      <c r="B7431" t="s">
        <v>13208</v>
      </c>
      <c r="D7431" t="s">
        <v>13228</v>
      </c>
      <c r="F7431" s="76">
        <v>560</v>
      </c>
      <c r="G7431" s="57" t="s">
        <v>13819</v>
      </c>
      <c r="H7431" s="57" t="s">
        <v>13799</v>
      </c>
    </row>
    <row r="7432" spans="2:8" ht="13.5" customHeight="1">
      <c r="B7432" t="s">
        <v>13209</v>
      </c>
      <c r="D7432" t="s">
        <v>13229</v>
      </c>
      <c r="F7432" s="76">
        <v>1016</v>
      </c>
      <c r="G7432" s="57" t="s">
        <v>13819</v>
      </c>
      <c r="H7432" s="57" t="s">
        <v>13799</v>
      </c>
    </row>
    <row r="7433" spans="2:8" ht="13.5" customHeight="1">
      <c r="B7433" t="s">
        <v>11229</v>
      </c>
      <c r="D7433" t="s">
        <v>2277</v>
      </c>
      <c r="F7433" s="76">
        <v>1026</v>
      </c>
      <c r="G7433" s="57" t="s">
        <v>13819</v>
      </c>
      <c r="H7433" s="57" t="s">
        <v>13799</v>
      </c>
    </row>
    <row r="7434" spans="2:8" ht="13.5" customHeight="1">
      <c r="B7434" t="s">
        <v>227</v>
      </c>
      <c r="D7434" t="s">
        <v>392</v>
      </c>
      <c r="F7434" s="76">
        <v>1075</v>
      </c>
      <c r="G7434" s="57" t="s">
        <v>13819</v>
      </c>
      <c r="H7434" s="57" t="s">
        <v>13799</v>
      </c>
    </row>
    <row r="7435" spans="2:8" ht="13.5" customHeight="1">
      <c r="B7435" t="s">
        <v>13230</v>
      </c>
      <c r="D7435" t="s">
        <v>13232</v>
      </c>
      <c r="F7435" s="76">
        <v>30</v>
      </c>
      <c r="G7435" s="57" t="s">
        <v>13819</v>
      </c>
      <c r="H7435" s="57" t="s">
        <v>13800</v>
      </c>
    </row>
    <row r="7436" spans="2:8" ht="13.5" customHeight="1">
      <c r="B7436" t="s">
        <v>3553</v>
      </c>
      <c r="D7436" t="s">
        <v>13233</v>
      </c>
      <c r="F7436" s="76">
        <v>67</v>
      </c>
      <c r="G7436" s="57" t="s">
        <v>13819</v>
      </c>
      <c r="H7436" s="57" t="s">
        <v>13800</v>
      </c>
    </row>
    <row r="7437" spans="2:8" ht="13.5" customHeight="1">
      <c r="B7437" t="s">
        <v>13231</v>
      </c>
      <c r="D7437" t="s">
        <v>13234</v>
      </c>
      <c r="F7437" s="76">
        <v>82</v>
      </c>
      <c r="G7437" s="57" t="s">
        <v>13819</v>
      </c>
      <c r="H7437" s="57" t="s">
        <v>13800</v>
      </c>
    </row>
    <row r="7438" spans="2:8" ht="13.5" customHeight="1">
      <c r="B7438" t="s">
        <v>8235</v>
      </c>
      <c r="D7438" t="s">
        <v>8236</v>
      </c>
      <c r="F7438" s="76">
        <v>150</v>
      </c>
      <c r="G7438" s="57" t="s">
        <v>13819</v>
      </c>
      <c r="H7438" s="57" t="s">
        <v>13800</v>
      </c>
    </row>
    <row r="7439" spans="2:8" ht="13.5" customHeight="1">
      <c r="B7439" t="s">
        <v>11594</v>
      </c>
      <c r="D7439" t="s">
        <v>13236</v>
      </c>
      <c r="F7439" s="76">
        <v>16</v>
      </c>
      <c r="G7439" s="57" t="s">
        <v>13819</v>
      </c>
      <c r="H7439" s="57" t="s">
        <v>13801</v>
      </c>
    </row>
    <row r="7440" spans="2:8" ht="13.5" customHeight="1">
      <c r="B7440" t="s">
        <v>1550</v>
      </c>
      <c r="D7440" t="s">
        <v>13237</v>
      </c>
      <c r="F7440" s="76">
        <v>48</v>
      </c>
      <c r="G7440" s="57" t="s">
        <v>13819</v>
      </c>
      <c r="H7440" s="57" t="s">
        <v>13801</v>
      </c>
    </row>
    <row r="7441" spans="2:8" ht="13.5" customHeight="1">
      <c r="B7441" t="s">
        <v>13235</v>
      </c>
      <c r="D7441" t="s">
        <v>6181</v>
      </c>
      <c r="F7441" s="76">
        <v>563</v>
      </c>
      <c r="G7441" s="57" t="s">
        <v>13819</v>
      </c>
      <c r="H7441" s="57" t="s">
        <v>13801</v>
      </c>
    </row>
    <row r="7442" spans="2:8" ht="13.5" customHeight="1">
      <c r="B7442" t="s">
        <v>13238</v>
      </c>
      <c r="D7442" t="s">
        <v>13244</v>
      </c>
      <c r="F7442" s="76">
        <v>5</v>
      </c>
      <c r="G7442" s="57" t="s">
        <v>13819</v>
      </c>
      <c r="H7442" s="57" t="s">
        <v>13802</v>
      </c>
    </row>
    <row r="7443" spans="2:8" ht="13.5" customHeight="1">
      <c r="B7443" t="s">
        <v>3456</v>
      </c>
      <c r="D7443" t="s">
        <v>1157</v>
      </c>
      <c r="F7443" s="76">
        <v>10</v>
      </c>
      <c r="G7443" s="57" t="s">
        <v>13819</v>
      </c>
      <c r="H7443" s="57" t="s">
        <v>13802</v>
      </c>
    </row>
    <row r="7444" spans="2:8" ht="13.5" customHeight="1">
      <c r="B7444" t="s">
        <v>13239</v>
      </c>
      <c r="D7444" t="s">
        <v>13245</v>
      </c>
      <c r="F7444" s="76">
        <v>89</v>
      </c>
      <c r="G7444" s="57" t="s">
        <v>13819</v>
      </c>
      <c r="H7444" s="57" t="s">
        <v>13802</v>
      </c>
    </row>
    <row r="7445" spans="2:8" ht="13.5" customHeight="1">
      <c r="B7445" t="s">
        <v>13240</v>
      </c>
      <c r="D7445" t="s">
        <v>13246</v>
      </c>
      <c r="F7445" s="76">
        <v>103</v>
      </c>
      <c r="G7445" s="57" t="s">
        <v>13819</v>
      </c>
      <c r="H7445" s="57" t="s">
        <v>13802</v>
      </c>
    </row>
    <row r="7446" spans="2:8" ht="13.5" customHeight="1">
      <c r="B7446" t="s">
        <v>237</v>
      </c>
      <c r="D7446" t="s">
        <v>13247</v>
      </c>
      <c r="F7446" s="76">
        <v>376</v>
      </c>
      <c r="G7446" s="57" t="s">
        <v>13819</v>
      </c>
      <c r="H7446" s="57" t="s">
        <v>13802</v>
      </c>
    </row>
    <row r="7447" spans="2:8" ht="13.5" customHeight="1">
      <c r="B7447" t="s">
        <v>376</v>
      </c>
      <c r="D7447" t="s">
        <v>5905</v>
      </c>
      <c r="F7447" s="76">
        <v>415</v>
      </c>
      <c r="G7447" s="57" t="s">
        <v>13819</v>
      </c>
      <c r="H7447" s="57" t="s">
        <v>13802</v>
      </c>
    </row>
    <row r="7448" spans="2:8" ht="13.5" customHeight="1">
      <c r="B7448" t="s">
        <v>907</v>
      </c>
      <c r="D7448" t="s">
        <v>8964</v>
      </c>
      <c r="F7448" s="76">
        <v>548</v>
      </c>
      <c r="G7448" s="57" t="s">
        <v>13819</v>
      </c>
      <c r="H7448" s="57" t="s">
        <v>13802</v>
      </c>
    </row>
    <row r="7449" spans="2:8" ht="13.5" customHeight="1">
      <c r="B7449" t="s">
        <v>13241</v>
      </c>
      <c r="D7449" t="s">
        <v>13248</v>
      </c>
      <c r="F7449" s="76">
        <v>591</v>
      </c>
      <c r="G7449" s="57" t="s">
        <v>13819</v>
      </c>
      <c r="H7449" s="57" t="s">
        <v>13802</v>
      </c>
    </row>
    <row r="7450" spans="2:8" ht="13.5" customHeight="1">
      <c r="B7450" t="s">
        <v>13242</v>
      </c>
      <c r="D7450" t="s">
        <v>6217</v>
      </c>
      <c r="F7450" s="76">
        <v>3143</v>
      </c>
      <c r="G7450" s="57" t="s">
        <v>13819</v>
      </c>
      <c r="H7450" s="57" t="s">
        <v>13802</v>
      </c>
    </row>
    <row r="7451" spans="2:8" ht="13.5" customHeight="1">
      <c r="B7451" t="s">
        <v>13243</v>
      </c>
      <c r="D7451" t="s">
        <v>6191</v>
      </c>
      <c r="F7451" s="76">
        <v>3765</v>
      </c>
      <c r="G7451" s="57" t="s">
        <v>13819</v>
      </c>
      <c r="H7451" s="57" t="s">
        <v>13802</v>
      </c>
    </row>
    <row r="7452" spans="2:8" ht="13.5" customHeight="1">
      <c r="B7452" t="s">
        <v>12915</v>
      </c>
      <c r="D7452" t="s">
        <v>13267</v>
      </c>
      <c r="F7452" s="76">
        <v>2</v>
      </c>
      <c r="G7452" s="57" t="s">
        <v>13819</v>
      </c>
      <c r="H7452" s="57" t="s">
        <v>13803</v>
      </c>
    </row>
    <row r="7453" spans="2:8" ht="13.5" customHeight="1">
      <c r="B7453" t="s">
        <v>13249</v>
      </c>
      <c r="D7453" t="s">
        <v>13268</v>
      </c>
      <c r="F7453" s="76">
        <v>2</v>
      </c>
      <c r="G7453" s="57" t="s">
        <v>13819</v>
      </c>
      <c r="H7453" s="57" t="s">
        <v>13803</v>
      </c>
    </row>
    <row r="7454" spans="2:8" ht="13.5" customHeight="1">
      <c r="B7454" t="s">
        <v>13250</v>
      </c>
      <c r="D7454" t="s">
        <v>13269</v>
      </c>
      <c r="F7454" s="76">
        <v>2</v>
      </c>
      <c r="G7454" s="57" t="s">
        <v>13819</v>
      </c>
      <c r="H7454" s="57" t="s">
        <v>13803</v>
      </c>
    </row>
    <row r="7455" spans="2:8" ht="13.5" customHeight="1">
      <c r="B7455" t="s">
        <v>13026</v>
      </c>
      <c r="D7455" t="s">
        <v>13270</v>
      </c>
      <c r="F7455" s="76">
        <v>3</v>
      </c>
      <c r="G7455" s="57" t="s">
        <v>13819</v>
      </c>
      <c r="H7455" s="57" t="s">
        <v>13803</v>
      </c>
    </row>
    <row r="7456" spans="2:8" ht="13.5" customHeight="1">
      <c r="B7456" t="s">
        <v>13251</v>
      </c>
      <c r="D7456" t="s">
        <v>13271</v>
      </c>
      <c r="F7456" s="76">
        <v>4</v>
      </c>
      <c r="G7456" s="57" t="s">
        <v>13819</v>
      </c>
      <c r="H7456" s="57" t="s">
        <v>13803</v>
      </c>
    </row>
    <row r="7457" spans="2:8" ht="13.5" customHeight="1">
      <c r="B7457" t="s">
        <v>13252</v>
      </c>
      <c r="D7457" t="s">
        <v>13272</v>
      </c>
      <c r="F7457" s="76">
        <v>4</v>
      </c>
      <c r="G7457" s="57" t="s">
        <v>13819</v>
      </c>
      <c r="H7457" s="57" t="s">
        <v>13803</v>
      </c>
    </row>
    <row r="7458" spans="2:8" ht="13.5" customHeight="1">
      <c r="B7458" t="s">
        <v>13253</v>
      </c>
      <c r="D7458" t="s">
        <v>13273</v>
      </c>
      <c r="F7458" s="76">
        <v>8</v>
      </c>
      <c r="G7458" s="57" t="s">
        <v>13819</v>
      </c>
      <c r="H7458" s="57" t="s">
        <v>13803</v>
      </c>
    </row>
    <row r="7459" spans="2:8" ht="13.5" customHeight="1">
      <c r="B7459" t="s">
        <v>13254</v>
      </c>
      <c r="D7459" t="s">
        <v>13274</v>
      </c>
      <c r="F7459" s="76">
        <v>9</v>
      </c>
      <c r="G7459" s="57" t="s">
        <v>13819</v>
      </c>
      <c r="H7459" s="57" t="s">
        <v>13803</v>
      </c>
    </row>
    <row r="7460" spans="2:8" ht="13.5" customHeight="1">
      <c r="B7460" t="s">
        <v>13255</v>
      </c>
      <c r="D7460" t="s">
        <v>13275</v>
      </c>
      <c r="F7460" s="76">
        <v>9</v>
      </c>
      <c r="G7460" s="57" t="s">
        <v>13819</v>
      </c>
      <c r="H7460" s="57" t="s">
        <v>13803</v>
      </c>
    </row>
    <row r="7461" spans="2:8" ht="13.5" customHeight="1">
      <c r="B7461" t="s">
        <v>13256</v>
      </c>
      <c r="D7461" t="s">
        <v>13276</v>
      </c>
      <c r="F7461" s="76">
        <v>23</v>
      </c>
      <c r="G7461" s="57" t="s">
        <v>13819</v>
      </c>
      <c r="H7461" s="57" t="s">
        <v>13803</v>
      </c>
    </row>
    <row r="7462" spans="2:8" ht="13.5" customHeight="1">
      <c r="B7462" t="s">
        <v>8538</v>
      </c>
      <c r="D7462" t="s">
        <v>13277</v>
      </c>
      <c r="F7462" s="76">
        <v>24</v>
      </c>
      <c r="G7462" s="57" t="s">
        <v>13819</v>
      </c>
      <c r="H7462" s="57" t="s">
        <v>13803</v>
      </c>
    </row>
    <row r="7463" spans="2:8" ht="13.5" customHeight="1">
      <c r="B7463" t="s">
        <v>13257</v>
      </c>
      <c r="D7463" t="s">
        <v>4540</v>
      </c>
      <c r="F7463" s="76">
        <v>48</v>
      </c>
      <c r="G7463" s="57" t="s">
        <v>13819</v>
      </c>
      <c r="H7463" s="57" t="s">
        <v>13803</v>
      </c>
    </row>
    <row r="7464" spans="2:8" ht="13.5" customHeight="1">
      <c r="B7464" t="s">
        <v>13258</v>
      </c>
      <c r="D7464" t="s">
        <v>13278</v>
      </c>
      <c r="F7464" s="76">
        <v>56</v>
      </c>
      <c r="G7464" s="57" t="s">
        <v>13819</v>
      </c>
      <c r="H7464" s="57" t="s">
        <v>13803</v>
      </c>
    </row>
    <row r="7465" spans="2:8" ht="13.5" customHeight="1">
      <c r="B7465" t="s">
        <v>13259</v>
      </c>
      <c r="D7465" t="s">
        <v>13279</v>
      </c>
      <c r="F7465" s="76">
        <v>57</v>
      </c>
      <c r="G7465" s="57" t="s">
        <v>13819</v>
      </c>
      <c r="H7465" s="57" t="s">
        <v>13803</v>
      </c>
    </row>
    <row r="7466" spans="2:8" ht="13.5" customHeight="1">
      <c r="B7466" t="s">
        <v>9844</v>
      </c>
      <c r="D7466" t="s">
        <v>13280</v>
      </c>
      <c r="F7466" s="76">
        <v>67</v>
      </c>
      <c r="G7466" s="57" t="s">
        <v>13819</v>
      </c>
      <c r="H7466" s="57" t="s">
        <v>13803</v>
      </c>
    </row>
    <row r="7467" spans="2:8" ht="13.5" customHeight="1">
      <c r="B7467" t="s">
        <v>13260</v>
      </c>
      <c r="D7467" t="s">
        <v>13281</v>
      </c>
      <c r="F7467" s="76">
        <v>90</v>
      </c>
      <c r="G7467" s="57" t="s">
        <v>13819</v>
      </c>
      <c r="H7467" s="57" t="s">
        <v>13803</v>
      </c>
    </row>
    <row r="7468" spans="2:8" ht="13.5" customHeight="1">
      <c r="B7468" t="s">
        <v>13261</v>
      </c>
      <c r="D7468" t="s">
        <v>13282</v>
      </c>
      <c r="F7468" s="76">
        <v>132</v>
      </c>
      <c r="G7468" s="57" t="s">
        <v>13819</v>
      </c>
      <c r="H7468" s="57" t="s">
        <v>13803</v>
      </c>
    </row>
    <row r="7469" spans="2:8" ht="13.5" customHeight="1">
      <c r="B7469" t="s">
        <v>13262</v>
      </c>
      <c r="D7469" t="s">
        <v>13283</v>
      </c>
      <c r="F7469" s="76">
        <v>277</v>
      </c>
      <c r="G7469" s="57" t="s">
        <v>13819</v>
      </c>
      <c r="H7469" s="57" t="s">
        <v>13803</v>
      </c>
    </row>
    <row r="7470" spans="2:8" ht="13.5" customHeight="1">
      <c r="B7470" t="s">
        <v>11440</v>
      </c>
      <c r="D7470" t="s">
        <v>13284</v>
      </c>
      <c r="F7470" s="76">
        <v>432</v>
      </c>
      <c r="G7470" s="57" t="s">
        <v>13819</v>
      </c>
      <c r="H7470" s="57" t="s">
        <v>13803</v>
      </c>
    </row>
    <row r="7471" spans="2:8" ht="13.5" customHeight="1">
      <c r="B7471" t="s">
        <v>7703</v>
      </c>
      <c r="D7471" t="s">
        <v>13285</v>
      </c>
      <c r="F7471" s="76">
        <v>442</v>
      </c>
      <c r="G7471" s="57" t="s">
        <v>13819</v>
      </c>
      <c r="H7471" s="57" t="s">
        <v>13803</v>
      </c>
    </row>
    <row r="7472" spans="2:8" ht="13.5" customHeight="1">
      <c r="B7472" t="s">
        <v>13263</v>
      </c>
      <c r="D7472" t="s">
        <v>13286</v>
      </c>
      <c r="F7472" s="76">
        <v>457</v>
      </c>
      <c r="G7472" s="57" t="s">
        <v>13819</v>
      </c>
      <c r="H7472" s="57" t="s">
        <v>13803</v>
      </c>
    </row>
    <row r="7473" spans="2:8" ht="13.5" customHeight="1">
      <c r="B7473" t="s">
        <v>4420</v>
      </c>
      <c r="D7473" t="s">
        <v>13287</v>
      </c>
      <c r="F7473" s="76">
        <v>930</v>
      </c>
      <c r="G7473" s="57" t="s">
        <v>13819</v>
      </c>
      <c r="H7473" s="57" t="s">
        <v>13803</v>
      </c>
    </row>
    <row r="7474" spans="2:8" ht="13.5" customHeight="1">
      <c r="B7474" t="s">
        <v>13264</v>
      </c>
      <c r="D7474" t="s">
        <v>13288</v>
      </c>
      <c r="F7474" s="76">
        <v>1169</v>
      </c>
      <c r="G7474" s="57" t="s">
        <v>13819</v>
      </c>
      <c r="H7474" s="57" t="s">
        <v>13803</v>
      </c>
    </row>
    <row r="7475" spans="2:8" ht="13.5" customHeight="1">
      <c r="B7475" t="s">
        <v>13265</v>
      </c>
      <c r="D7475" t="s">
        <v>13289</v>
      </c>
      <c r="F7475" s="76">
        <v>1442</v>
      </c>
      <c r="G7475" s="57" t="s">
        <v>13819</v>
      </c>
      <c r="H7475" s="57" t="s">
        <v>13803</v>
      </c>
    </row>
    <row r="7476" spans="2:8" ht="13.5" customHeight="1">
      <c r="B7476" t="s">
        <v>13266</v>
      </c>
      <c r="D7476" t="s">
        <v>13290</v>
      </c>
      <c r="F7476" s="76">
        <v>10236</v>
      </c>
      <c r="G7476" s="57" t="s">
        <v>13819</v>
      </c>
      <c r="H7476" s="57" t="s">
        <v>13804</v>
      </c>
    </row>
    <row r="7477" spans="2:8" ht="13.5" customHeight="1">
      <c r="B7477" t="s">
        <v>13291</v>
      </c>
      <c r="D7477" t="s">
        <v>13307</v>
      </c>
      <c r="F7477" s="76">
        <v>2</v>
      </c>
      <c r="G7477" s="57" t="s">
        <v>13819</v>
      </c>
      <c r="H7477" s="57" t="s">
        <v>13805</v>
      </c>
    </row>
    <row r="7478" spans="2:8" ht="13.5" customHeight="1">
      <c r="B7478" t="s">
        <v>13292</v>
      </c>
      <c r="D7478" t="s">
        <v>13308</v>
      </c>
      <c r="F7478" s="76">
        <v>2</v>
      </c>
      <c r="G7478" s="57" t="s">
        <v>13819</v>
      </c>
      <c r="H7478" s="57" t="s">
        <v>13805</v>
      </c>
    </row>
    <row r="7479" spans="2:8" ht="13.5" customHeight="1">
      <c r="B7479" t="s">
        <v>13293</v>
      </c>
      <c r="D7479" t="s">
        <v>13309</v>
      </c>
      <c r="F7479" s="76">
        <v>4</v>
      </c>
      <c r="G7479" s="57" t="s">
        <v>13819</v>
      </c>
      <c r="H7479" s="57" t="s">
        <v>13805</v>
      </c>
    </row>
    <row r="7480" spans="2:8" ht="13.5" customHeight="1">
      <c r="B7480" t="s">
        <v>13294</v>
      </c>
      <c r="D7480" t="s">
        <v>13310</v>
      </c>
      <c r="F7480" s="76">
        <v>4</v>
      </c>
      <c r="G7480" s="57" t="s">
        <v>13819</v>
      </c>
      <c r="H7480" s="57" t="s">
        <v>13805</v>
      </c>
    </row>
    <row r="7481" spans="2:8" ht="13.5" customHeight="1">
      <c r="B7481" t="s">
        <v>13295</v>
      </c>
      <c r="D7481" t="s">
        <v>13311</v>
      </c>
      <c r="F7481" s="76">
        <v>4</v>
      </c>
      <c r="G7481" s="57" t="s">
        <v>13819</v>
      </c>
      <c r="H7481" s="57" t="s">
        <v>13805</v>
      </c>
    </row>
    <row r="7482" spans="2:8" ht="13.5" customHeight="1">
      <c r="B7482" t="s">
        <v>13296</v>
      </c>
      <c r="D7482" t="s">
        <v>13312</v>
      </c>
      <c r="F7482" s="76">
        <v>6</v>
      </c>
      <c r="G7482" s="57" t="s">
        <v>13819</v>
      </c>
      <c r="H7482" s="57" t="s">
        <v>13805</v>
      </c>
    </row>
    <row r="7483" spans="2:8" ht="13.5" customHeight="1">
      <c r="B7483" t="s">
        <v>13297</v>
      </c>
      <c r="D7483" t="s">
        <v>13313</v>
      </c>
      <c r="F7483" s="76">
        <v>8</v>
      </c>
      <c r="G7483" s="57" t="s">
        <v>13819</v>
      </c>
      <c r="H7483" s="57" t="s">
        <v>13805</v>
      </c>
    </row>
    <row r="7484" spans="2:8" ht="13.5" customHeight="1">
      <c r="B7484" t="s">
        <v>13298</v>
      </c>
      <c r="D7484" t="s">
        <v>13314</v>
      </c>
      <c r="F7484" s="76">
        <v>9</v>
      </c>
      <c r="G7484" s="57" t="s">
        <v>13819</v>
      </c>
      <c r="H7484" s="57" t="s">
        <v>13805</v>
      </c>
    </row>
    <row r="7485" spans="2:8" ht="13.5" customHeight="1">
      <c r="B7485" t="s">
        <v>5744</v>
      </c>
      <c r="D7485" t="s">
        <v>13315</v>
      </c>
      <c r="F7485" s="76">
        <v>13</v>
      </c>
      <c r="G7485" s="57" t="s">
        <v>13819</v>
      </c>
      <c r="H7485" s="57" t="s">
        <v>13805</v>
      </c>
    </row>
    <row r="7486" spans="2:8" ht="13.5" customHeight="1">
      <c r="B7486" t="s">
        <v>13299</v>
      </c>
      <c r="D7486" t="s">
        <v>2069</v>
      </c>
      <c r="F7486" s="76">
        <v>20</v>
      </c>
      <c r="G7486" s="57" t="s">
        <v>13819</v>
      </c>
      <c r="H7486" s="57" t="s">
        <v>13805</v>
      </c>
    </row>
    <row r="7487" spans="2:8" ht="13.5" customHeight="1">
      <c r="B7487" t="s">
        <v>13300</v>
      </c>
      <c r="D7487" t="s">
        <v>13316</v>
      </c>
      <c r="F7487" s="76">
        <v>26</v>
      </c>
      <c r="G7487" s="57" t="s">
        <v>13819</v>
      </c>
      <c r="H7487" s="57" t="s">
        <v>13805</v>
      </c>
    </row>
    <row r="7488" spans="2:8" ht="13.5" customHeight="1">
      <c r="B7488" t="s">
        <v>13301</v>
      </c>
      <c r="D7488" t="s">
        <v>13317</v>
      </c>
      <c r="F7488" s="76">
        <v>37</v>
      </c>
      <c r="G7488" s="57" t="s">
        <v>13819</v>
      </c>
      <c r="H7488" s="57" t="s">
        <v>13805</v>
      </c>
    </row>
    <row r="7489" spans="2:8" ht="13.5" customHeight="1">
      <c r="B7489" t="s">
        <v>13302</v>
      </c>
      <c r="D7489" t="s">
        <v>13318</v>
      </c>
      <c r="F7489" s="76">
        <v>89</v>
      </c>
      <c r="G7489" s="57" t="s">
        <v>13819</v>
      </c>
      <c r="H7489" s="57" t="s">
        <v>13805</v>
      </c>
    </row>
    <row r="7490" spans="2:8" ht="13.5" customHeight="1">
      <c r="B7490" t="s">
        <v>13303</v>
      </c>
      <c r="D7490" t="s">
        <v>13319</v>
      </c>
      <c r="F7490" s="76">
        <v>89</v>
      </c>
      <c r="G7490" s="57" t="s">
        <v>13819</v>
      </c>
      <c r="H7490" s="57" t="s">
        <v>13805</v>
      </c>
    </row>
    <row r="7491" spans="2:8" ht="13.5" customHeight="1">
      <c r="B7491" t="s">
        <v>2693</v>
      </c>
      <c r="D7491" t="s">
        <v>13320</v>
      </c>
      <c r="F7491" s="76">
        <v>458</v>
      </c>
      <c r="G7491" s="57" t="s">
        <v>13819</v>
      </c>
      <c r="H7491" s="57" t="s">
        <v>13805</v>
      </c>
    </row>
    <row r="7492" spans="2:8" ht="13.5" customHeight="1">
      <c r="B7492" t="s">
        <v>13304</v>
      </c>
      <c r="D7492" t="s">
        <v>13321</v>
      </c>
      <c r="F7492" s="76">
        <v>499</v>
      </c>
      <c r="G7492" s="57" t="s">
        <v>13819</v>
      </c>
      <c r="H7492" s="57" t="s">
        <v>13805</v>
      </c>
    </row>
    <row r="7493" spans="2:8" ht="13.5" customHeight="1">
      <c r="B7493" t="s">
        <v>13305</v>
      </c>
      <c r="D7493" t="s">
        <v>13322</v>
      </c>
      <c r="F7493" s="76">
        <v>510</v>
      </c>
      <c r="G7493" s="57" t="s">
        <v>13819</v>
      </c>
      <c r="H7493" s="57" t="s">
        <v>13805</v>
      </c>
    </row>
    <row r="7494" spans="2:8" ht="13.5" customHeight="1">
      <c r="B7494" t="s">
        <v>13306</v>
      </c>
      <c r="D7494" t="s">
        <v>13323</v>
      </c>
      <c r="F7494" s="76">
        <v>1055</v>
      </c>
      <c r="G7494" s="57" t="s">
        <v>13819</v>
      </c>
      <c r="H7494" s="57" t="s">
        <v>13805</v>
      </c>
    </row>
    <row r="7495" spans="2:8" ht="13.5" customHeight="1">
      <c r="B7495" t="s">
        <v>13324</v>
      </c>
      <c r="D7495" t="s">
        <v>13348</v>
      </c>
      <c r="F7495" s="76">
        <v>2</v>
      </c>
      <c r="G7495" s="57" t="s">
        <v>13819</v>
      </c>
      <c r="H7495" s="57" t="s">
        <v>13806</v>
      </c>
    </row>
    <row r="7496" spans="2:8" ht="13.5" customHeight="1">
      <c r="B7496" t="s">
        <v>13298</v>
      </c>
      <c r="D7496" t="s">
        <v>13349</v>
      </c>
      <c r="F7496" s="76">
        <v>4</v>
      </c>
      <c r="G7496" s="57" t="s">
        <v>13819</v>
      </c>
      <c r="H7496" s="57" t="s">
        <v>13806</v>
      </c>
    </row>
    <row r="7497" spans="2:8" ht="13.5" customHeight="1">
      <c r="B7497" t="s">
        <v>13325</v>
      </c>
      <c r="D7497" t="s">
        <v>2041</v>
      </c>
      <c r="F7497" s="76">
        <v>4</v>
      </c>
      <c r="G7497" s="57" t="s">
        <v>13819</v>
      </c>
      <c r="H7497" s="57" t="s">
        <v>13806</v>
      </c>
    </row>
    <row r="7498" spans="2:8" ht="13.5" customHeight="1">
      <c r="B7498" t="s">
        <v>13326</v>
      </c>
      <c r="D7498" t="s">
        <v>13350</v>
      </c>
      <c r="F7498" s="76">
        <v>5</v>
      </c>
      <c r="G7498" s="57" t="s">
        <v>13819</v>
      </c>
      <c r="H7498" s="57" t="s">
        <v>13806</v>
      </c>
    </row>
    <row r="7499" spans="2:8" ht="13.5" customHeight="1">
      <c r="B7499" t="s">
        <v>13327</v>
      </c>
      <c r="D7499" t="s">
        <v>13351</v>
      </c>
      <c r="F7499" s="76">
        <v>7</v>
      </c>
      <c r="G7499" s="57" t="s">
        <v>13819</v>
      </c>
      <c r="H7499" s="57" t="s">
        <v>13806</v>
      </c>
    </row>
    <row r="7500" spans="2:8" ht="13.5" customHeight="1">
      <c r="B7500" t="s">
        <v>13328</v>
      </c>
      <c r="D7500" t="s">
        <v>1038</v>
      </c>
      <c r="F7500" s="76">
        <v>7</v>
      </c>
      <c r="G7500" s="57" t="s">
        <v>13819</v>
      </c>
      <c r="H7500" s="57" t="s">
        <v>13806</v>
      </c>
    </row>
    <row r="7501" spans="2:8" ht="13.5" customHeight="1">
      <c r="B7501" t="s">
        <v>13329</v>
      </c>
      <c r="D7501" t="s">
        <v>13352</v>
      </c>
      <c r="F7501" s="76">
        <v>8</v>
      </c>
      <c r="G7501" s="57" t="s">
        <v>13819</v>
      </c>
      <c r="H7501" s="57" t="s">
        <v>13806</v>
      </c>
    </row>
    <row r="7502" spans="2:8" ht="13.5" customHeight="1">
      <c r="B7502" t="s">
        <v>13330</v>
      </c>
      <c r="D7502" t="s">
        <v>13353</v>
      </c>
      <c r="F7502" s="76">
        <v>10</v>
      </c>
      <c r="G7502" s="57" t="s">
        <v>13819</v>
      </c>
      <c r="H7502" s="57" t="s">
        <v>13806</v>
      </c>
    </row>
    <row r="7503" spans="2:8" ht="13.5" customHeight="1">
      <c r="B7503" t="s">
        <v>13331</v>
      </c>
      <c r="D7503" t="s">
        <v>13354</v>
      </c>
      <c r="F7503" s="76">
        <v>10</v>
      </c>
      <c r="G7503" s="57" t="s">
        <v>13819</v>
      </c>
      <c r="H7503" s="57" t="s">
        <v>13806</v>
      </c>
    </row>
    <row r="7504" spans="2:8" ht="13.5" customHeight="1">
      <c r="B7504" t="s">
        <v>13332</v>
      </c>
      <c r="D7504" t="s">
        <v>13355</v>
      </c>
      <c r="F7504" s="76">
        <v>10</v>
      </c>
      <c r="G7504" s="57" t="s">
        <v>13819</v>
      </c>
      <c r="H7504" s="57" t="s">
        <v>13806</v>
      </c>
    </row>
    <row r="7505" spans="2:8" ht="13.5" customHeight="1">
      <c r="B7505" t="s">
        <v>13333</v>
      </c>
      <c r="D7505" t="s">
        <v>13356</v>
      </c>
      <c r="F7505" s="76">
        <v>11</v>
      </c>
      <c r="G7505" s="57" t="s">
        <v>13819</v>
      </c>
      <c r="H7505" s="57" t="s">
        <v>13806</v>
      </c>
    </row>
    <row r="7506" spans="2:8" ht="13.5" customHeight="1">
      <c r="B7506" t="s">
        <v>13334</v>
      </c>
      <c r="D7506" t="s">
        <v>13357</v>
      </c>
      <c r="F7506" s="76">
        <v>13</v>
      </c>
      <c r="G7506" s="57" t="s">
        <v>13819</v>
      </c>
      <c r="H7506" s="57" t="s">
        <v>13806</v>
      </c>
    </row>
    <row r="7507" spans="2:8" ht="13.5" customHeight="1">
      <c r="B7507" t="s">
        <v>13335</v>
      </c>
      <c r="D7507" t="s">
        <v>13358</v>
      </c>
      <c r="F7507" s="76">
        <v>42</v>
      </c>
      <c r="G7507" s="57" t="s">
        <v>13819</v>
      </c>
      <c r="H7507" s="57" t="s">
        <v>13806</v>
      </c>
    </row>
    <row r="7508" spans="2:8" ht="13.5" customHeight="1">
      <c r="B7508" t="s">
        <v>13336</v>
      </c>
      <c r="D7508" t="s">
        <v>13359</v>
      </c>
      <c r="F7508" s="76">
        <v>45</v>
      </c>
      <c r="G7508" s="57" t="s">
        <v>13819</v>
      </c>
      <c r="H7508" s="57" t="s">
        <v>13806</v>
      </c>
    </row>
    <row r="7509" spans="2:8" ht="13.5" customHeight="1">
      <c r="B7509" t="s">
        <v>13337</v>
      </c>
      <c r="D7509" t="s">
        <v>13360</v>
      </c>
      <c r="F7509" s="76">
        <v>63</v>
      </c>
      <c r="G7509" s="57" t="s">
        <v>13819</v>
      </c>
      <c r="H7509" s="57" t="s">
        <v>13806</v>
      </c>
    </row>
    <row r="7510" spans="2:8" ht="13.5" customHeight="1">
      <c r="B7510" t="s">
        <v>13338</v>
      </c>
      <c r="D7510" t="s">
        <v>13361</v>
      </c>
      <c r="F7510" s="76">
        <v>77</v>
      </c>
      <c r="G7510" s="57" t="s">
        <v>13819</v>
      </c>
      <c r="H7510" s="57" t="s">
        <v>13806</v>
      </c>
    </row>
    <row r="7511" spans="2:8" ht="13.5" customHeight="1">
      <c r="B7511" t="s">
        <v>13339</v>
      </c>
      <c r="D7511" t="s">
        <v>13362</v>
      </c>
      <c r="F7511" s="76">
        <v>90</v>
      </c>
      <c r="G7511" s="57" t="s">
        <v>13819</v>
      </c>
      <c r="H7511" s="57" t="s">
        <v>13806</v>
      </c>
    </row>
    <row r="7512" spans="2:8" ht="13.5" customHeight="1">
      <c r="B7512" s="201" t="s">
        <v>13340</v>
      </c>
      <c r="D7512" s="202" t="s">
        <v>13363</v>
      </c>
      <c r="F7512" s="76">
        <v>90</v>
      </c>
      <c r="G7512" s="57" t="s">
        <v>13819</v>
      </c>
      <c r="H7512" s="57" t="s">
        <v>13806</v>
      </c>
    </row>
    <row r="7513" spans="2:8" ht="13.5" customHeight="1">
      <c r="B7513" t="s">
        <v>13341</v>
      </c>
      <c r="D7513" t="s">
        <v>13364</v>
      </c>
      <c r="F7513" s="76">
        <v>112</v>
      </c>
      <c r="G7513" s="57" t="s">
        <v>13819</v>
      </c>
      <c r="H7513" s="57" t="s">
        <v>13806</v>
      </c>
    </row>
    <row r="7514" spans="2:8" ht="13.5" customHeight="1">
      <c r="B7514" t="s">
        <v>13342</v>
      </c>
      <c r="D7514" t="s">
        <v>13365</v>
      </c>
      <c r="F7514" s="76">
        <v>169</v>
      </c>
      <c r="G7514" s="57" t="s">
        <v>13819</v>
      </c>
      <c r="H7514" s="57" t="s">
        <v>13806</v>
      </c>
    </row>
    <row r="7515" spans="2:8" ht="13.5" customHeight="1">
      <c r="B7515" t="s">
        <v>13343</v>
      </c>
      <c r="D7515" t="s">
        <v>13366</v>
      </c>
      <c r="F7515" s="76">
        <v>453</v>
      </c>
      <c r="G7515" s="57" t="s">
        <v>13819</v>
      </c>
      <c r="H7515" s="57" t="s">
        <v>13806</v>
      </c>
    </row>
    <row r="7516" spans="2:8" ht="13.5" customHeight="1">
      <c r="B7516" t="s">
        <v>13344</v>
      </c>
      <c r="D7516" t="s">
        <v>13367</v>
      </c>
      <c r="F7516" s="76">
        <v>493</v>
      </c>
      <c r="G7516" s="57" t="s">
        <v>13819</v>
      </c>
      <c r="H7516" s="57" t="s">
        <v>13806</v>
      </c>
    </row>
    <row r="7517" spans="2:8" ht="13.5" customHeight="1">
      <c r="B7517" t="s">
        <v>13345</v>
      </c>
      <c r="D7517" t="s">
        <v>13368</v>
      </c>
      <c r="F7517" s="76">
        <v>507</v>
      </c>
      <c r="G7517" s="57" t="s">
        <v>13819</v>
      </c>
      <c r="H7517" s="57" t="s">
        <v>13806</v>
      </c>
    </row>
    <row r="7518" spans="2:8" ht="13.5" customHeight="1">
      <c r="B7518" t="s">
        <v>13346</v>
      </c>
      <c r="D7518" t="s">
        <v>13369</v>
      </c>
      <c r="F7518" s="76">
        <v>540</v>
      </c>
      <c r="G7518" s="57" t="s">
        <v>13819</v>
      </c>
      <c r="H7518" s="57" t="s">
        <v>13806</v>
      </c>
    </row>
    <row r="7519" spans="2:8" ht="13.5" customHeight="1">
      <c r="B7519" t="s">
        <v>13347</v>
      </c>
      <c r="D7519" t="s">
        <v>13370</v>
      </c>
      <c r="F7519" s="76">
        <v>612</v>
      </c>
      <c r="G7519" s="57" t="s">
        <v>13819</v>
      </c>
      <c r="H7519" s="57" t="s">
        <v>13806</v>
      </c>
    </row>
    <row r="7520" spans="2:8" ht="13.5" customHeight="1">
      <c r="B7520" t="s">
        <v>13371</v>
      </c>
      <c r="D7520" t="s">
        <v>13377</v>
      </c>
      <c r="F7520" s="76">
        <v>4</v>
      </c>
      <c r="G7520" s="57" t="s">
        <v>13819</v>
      </c>
      <c r="H7520" s="57" t="s">
        <v>13807</v>
      </c>
    </row>
    <row r="7521" spans="2:8" ht="13.5" customHeight="1">
      <c r="B7521" t="s">
        <v>13372</v>
      </c>
      <c r="D7521" t="s">
        <v>13378</v>
      </c>
      <c r="F7521" s="76">
        <v>12</v>
      </c>
      <c r="G7521" s="57" t="s">
        <v>13819</v>
      </c>
      <c r="H7521" s="57" t="s">
        <v>13807</v>
      </c>
    </row>
    <row r="7522" spans="2:8" ht="13.5" customHeight="1">
      <c r="B7522" t="s">
        <v>13373</v>
      </c>
      <c r="D7522" t="s">
        <v>13379</v>
      </c>
      <c r="F7522" s="76">
        <v>12</v>
      </c>
      <c r="G7522" s="57" t="s">
        <v>13819</v>
      </c>
      <c r="H7522" s="57" t="s">
        <v>13807</v>
      </c>
    </row>
    <row r="7523" spans="2:8" ht="13.5" customHeight="1">
      <c r="B7523" t="s">
        <v>13374</v>
      </c>
      <c r="D7523" t="s">
        <v>13380</v>
      </c>
      <c r="F7523" s="76">
        <v>25</v>
      </c>
      <c r="G7523" s="57" t="s">
        <v>13819</v>
      </c>
      <c r="H7523" s="57" t="s">
        <v>13807</v>
      </c>
    </row>
    <row r="7524" spans="2:8" ht="13.5" customHeight="1">
      <c r="B7524" t="s">
        <v>13375</v>
      </c>
      <c r="D7524" t="s">
        <v>13381</v>
      </c>
      <c r="F7524" s="76">
        <v>74</v>
      </c>
      <c r="G7524" s="57" t="s">
        <v>13819</v>
      </c>
      <c r="H7524" s="57" t="s">
        <v>13807</v>
      </c>
    </row>
    <row r="7525" spans="2:8" ht="13.5" customHeight="1">
      <c r="B7525" t="s">
        <v>13376</v>
      </c>
      <c r="D7525" t="s">
        <v>13382</v>
      </c>
      <c r="F7525" s="76">
        <v>80</v>
      </c>
      <c r="G7525" s="57" t="s">
        <v>13819</v>
      </c>
      <c r="H7525" s="57" t="s">
        <v>13807</v>
      </c>
    </row>
    <row r="7526" spans="2:8" ht="13.5" customHeight="1">
      <c r="B7526" t="s">
        <v>4420</v>
      </c>
      <c r="D7526" t="s">
        <v>13383</v>
      </c>
      <c r="F7526" s="76">
        <v>248</v>
      </c>
      <c r="G7526" s="57" t="s">
        <v>13819</v>
      </c>
      <c r="H7526" s="57" t="s">
        <v>13807</v>
      </c>
    </row>
    <row r="7527" spans="2:8" ht="13.5" customHeight="1">
      <c r="B7527" t="s">
        <v>6194</v>
      </c>
      <c r="D7527" t="s">
        <v>13384</v>
      </c>
      <c r="F7527" s="76">
        <v>627</v>
      </c>
      <c r="G7527" s="57" t="s">
        <v>13819</v>
      </c>
      <c r="H7527" s="57" t="s">
        <v>13807</v>
      </c>
    </row>
    <row r="7528" spans="2:8" ht="13.5" customHeight="1">
      <c r="B7528" t="s">
        <v>13385</v>
      </c>
      <c r="D7528">
        <v>151341005</v>
      </c>
      <c r="F7528" s="76">
        <v>1</v>
      </c>
      <c r="G7528" s="57" t="s">
        <v>13819</v>
      </c>
      <c r="H7528" s="57" t="s">
        <v>13808</v>
      </c>
    </row>
    <row r="7529" spans="2:8" ht="13.5" customHeight="1">
      <c r="B7529" t="s">
        <v>13386</v>
      </c>
      <c r="D7529" t="s">
        <v>13397</v>
      </c>
      <c r="F7529" s="76">
        <v>2</v>
      </c>
      <c r="G7529" s="57" t="s">
        <v>13819</v>
      </c>
      <c r="H7529" s="57" t="s">
        <v>13808</v>
      </c>
    </row>
    <row r="7530" spans="2:8" ht="13.5" customHeight="1">
      <c r="B7530" t="s">
        <v>13387</v>
      </c>
      <c r="D7530" t="s">
        <v>13398</v>
      </c>
      <c r="F7530" s="76">
        <v>2</v>
      </c>
      <c r="G7530" s="57" t="s">
        <v>13819</v>
      </c>
      <c r="H7530" s="57" t="s">
        <v>13808</v>
      </c>
    </row>
    <row r="7531" spans="2:8" ht="13.5" customHeight="1">
      <c r="B7531" t="s">
        <v>13388</v>
      </c>
      <c r="D7531" t="s">
        <v>13399</v>
      </c>
      <c r="F7531" s="76">
        <v>2</v>
      </c>
      <c r="G7531" s="57" t="s">
        <v>13819</v>
      </c>
      <c r="H7531" s="57" t="s">
        <v>13808</v>
      </c>
    </row>
    <row r="7532" spans="2:8" ht="13.5" customHeight="1">
      <c r="B7532" t="s">
        <v>13389</v>
      </c>
      <c r="D7532" t="s">
        <v>13400</v>
      </c>
      <c r="F7532" s="76">
        <v>2</v>
      </c>
      <c r="G7532" s="57" t="s">
        <v>13819</v>
      </c>
      <c r="H7532" s="57" t="s">
        <v>13808</v>
      </c>
    </row>
    <row r="7533" spans="2:8" ht="13.5" customHeight="1">
      <c r="B7533" t="s">
        <v>13390</v>
      </c>
      <c r="D7533" t="s">
        <v>13401</v>
      </c>
      <c r="F7533" s="76">
        <v>3</v>
      </c>
      <c r="G7533" s="57" t="s">
        <v>13819</v>
      </c>
      <c r="H7533" s="57" t="s">
        <v>13808</v>
      </c>
    </row>
    <row r="7534" spans="2:8" ht="13.5" customHeight="1">
      <c r="B7534" t="s">
        <v>13391</v>
      </c>
      <c r="D7534" t="s">
        <v>7507</v>
      </c>
      <c r="F7534" s="76">
        <v>3</v>
      </c>
      <c r="G7534" s="57" t="s">
        <v>13819</v>
      </c>
      <c r="H7534" s="57" t="s">
        <v>13808</v>
      </c>
    </row>
    <row r="7535" spans="2:8" ht="13.5" customHeight="1">
      <c r="B7535" t="s">
        <v>13392</v>
      </c>
      <c r="D7535" t="s">
        <v>13402</v>
      </c>
      <c r="F7535" s="76">
        <v>3</v>
      </c>
      <c r="G7535" s="57" t="s">
        <v>13819</v>
      </c>
      <c r="H7535" s="57" t="s">
        <v>13808</v>
      </c>
    </row>
    <row r="7536" spans="2:8" ht="13.5" customHeight="1">
      <c r="B7536" t="s">
        <v>13393</v>
      </c>
      <c r="D7536" t="s">
        <v>13403</v>
      </c>
      <c r="F7536" s="76">
        <v>4</v>
      </c>
      <c r="G7536" s="57" t="s">
        <v>13819</v>
      </c>
      <c r="H7536" s="57" t="s">
        <v>13808</v>
      </c>
    </row>
    <row r="7537" spans="2:8" ht="13.5" customHeight="1">
      <c r="B7537" t="s">
        <v>13394</v>
      </c>
      <c r="D7537" t="s">
        <v>13404</v>
      </c>
      <c r="F7537" s="76">
        <v>6</v>
      </c>
      <c r="G7537" s="57" t="s">
        <v>13819</v>
      </c>
      <c r="H7537" s="57" t="s">
        <v>13808</v>
      </c>
    </row>
    <row r="7538" spans="2:8" ht="13.5" customHeight="1">
      <c r="B7538" t="s">
        <v>12163</v>
      </c>
      <c r="D7538" t="s">
        <v>13405</v>
      </c>
      <c r="F7538" s="76">
        <v>7</v>
      </c>
      <c r="G7538" s="57" t="s">
        <v>13819</v>
      </c>
      <c r="H7538" s="57" t="s">
        <v>13808</v>
      </c>
    </row>
    <row r="7539" spans="2:8" ht="13.5" customHeight="1">
      <c r="B7539" t="s">
        <v>3421</v>
      </c>
      <c r="D7539" t="s">
        <v>13406</v>
      </c>
      <c r="F7539" s="76">
        <v>10</v>
      </c>
      <c r="G7539" s="57" t="s">
        <v>13819</v>
      </c>
      <c r="H7539" s="57" t="s">
        <v>13808</v>
      </c>
    </row>
    <row r="7540" spans="2:8" ht="13.5" customHeight="1">
      <c r="B7540" t="s">
        <v>12134</v>
      </c>
      <c r="D7540" t="s">
        <v>13407</v>
      </c>
      <c r="F7540" s="76">
        <v>17</v>
      </c>
      <c r="G7540" s="57" t="s">
        <v>13819</v>
      </c>
      <c r="H7540" s="57" t="s">
        <v>13808</v>
      </c>
    </row>
    <row r="7541" spans="2:8" ht="13.5" customHeight="1">
      <c r="B7541" t="s">
        <v>13395</v>
      </c>
      <c r="D7541" t="s">
        <v>13408</v>
      </c>
      <c r="F7541" s="76">
        <v>22</v>
      </c>
      <c r="G7541" s="57" t="s">
        <v>13819</v>
      </c>
      <c r="H7541" s="57" t="s">
        <v>13808</v>
      </c>
    </row>
    <row r="7542" spans="2:8" ht="13.5" customHeight="1">
      <c r="B7542" t="s">
        <v>13396</v>
      </c>
      <c r="D7542" t="s">
        <v>13409</v>
      </c>
      <c r="F7542" s="76">
        <v>278</v>
      </c>
      <c r="G7542" s="57" t="s">
        <v>13819</v>
      </c>
      <c r="H7542" s="57" t="s">
        <v>13808</v>
      </c>
    </row>
    <row r="7543" spans="2:8" ht="13.5" customHeight="1">
      <c r="B7543" t="s">
        <v>13410</v>
      </c>
      <c r="D7543" t="s">
        <v>13414</v>
      </c>
      <c r="F7543" s="76">
        <v>19</v>
      </c>
      <c r="G7543" s="57" t="s">
        <v>13819</v>
      </c>
      <c r="H7543" s="57" t="s">
        <v>13809</v>
      </c>
    </row>
    <row r="7544" spans="2:8" ht="13.5" customHeight="1">
      <c r="B7544" t="s">
        <v>13411</v>
      </c>
      <c r="D7544" t="s">
        <v>13415</v>
      </c>
      <c r="F7544" s="76">
        <v>55</v>
      </c>
      <c r="G7544" s="57" t="s">
        <v>13819</v>
      </c>
      <c r="H7544" s="57" t="s">
        <v>13809</v>
      </c>
    </row>
    <row r="7545" spans="2:8" ht="13.5" customHeight="1">
      <c r="B7545" t="s">
        <v>3456</v>
      </c>
      <c r="D7545" t="s">
        <v>13416</v>
      </c>
      <c r="F7545" s="76">
        <v>107</v>
      </c>
      <c r="G7545" s="57" t="s">
        <v>13819</v>
      </c>
      <c r="H7545" s="57" t="s">
        <v>13809</v>
      </c>
    </row>
    <row r="7546" spans="2:8" ht="13.5" customHeight="1">
      <c r="B7546" t="s">
        <v>13412</v>
      </c>
      <c r="D7546" t="s">
        <v>13417</v>
      </c>
      <c r="F7546" s="76">
        <v>120</v>
      </c>
      <c r="G7546" s="57" t="s">
        <v>13819</v>
      </c>
      <c r="H7546" s="57" t="s">
        <v>13809</v>
      </c>
    </row>
    <row r="7547" spans="2:8" ht="13.5" customHeight="1">
      <c r="B7547" t="s">
        <v>13413</v>
      </c>
      <c r="D7547" t="s">
        <v>13418</v>
      </c>
      <c r="F7547" s="76">
        <v>700</v>
      </c>
      <c r="G7547" s="57" t="s">
        <v>13819</v>
      </c>
      <c r="H7547" s="57" t="s">
        <v>13809</v>
      </c>
    </row>
    <row r="7548" spans="2:8" ht="13.5" customHeight="1">
      <c r="B7548" t="s">
        <v>5110</v>
      </c>
      <c r="D7548" t="s">
        <v>5111</v>
      </c>
      <c r="F7548" s="76">
        <v>8</v>
      </c>
      <c r="G7548" s="57" t="s">
        <v>13819</v>
      </c>
      <c r="H7548" s="57" t="s">
        <v>13810</v>
      </c>
    </row>
    <row r="7549" spans="2:8" ht="13.5" customHeight="1">
      <c r="B7549" t="s">
        <v>13419</v>
      </c>
      <c r="D7549" t="s">
        <v>13421</v>
      </c>
      <c r="F7549" s="76">
        <v>20</v>
      </c>
      <c r="G7549" s="57" t="s">
        <v>13819</v>
      </c>
      <c r="H7549" s="57" t="s">
        <v>13810</v>
      </c>
    </row>
    <row r="7550" spans="2:8" ht="13.5" customHeight="1">
      <c r="B7550" t="s">
        <v>13420</v>
      </c>
      <c r="D7550" t="s">
        <v>13422</v>
      </c>
      <c r="F7550" s="76">
        <v>17</v>
      </c>
      <c r="G7550" s="57" t="s">
        <v>13819</v>
      </c>
      <c r="H7550" s="57" t="s">
        <v>13811</v>
      </c>
    </row>
    <row r="7551" spans="2:8" ht="13.5" customHeight="1">
      <c r="B7551" t="s">
        <v>13423</v>
      </c>
      <c r="D7551" t="s">
        <v>13451</v>
      </c>
      <c r="F7551" s="76">
        <v>1</v>
      </c>
      <c r="G7551" s="57" t="s">
        <v>13819</v>
      </c>
      <c r="H7551" s="57" t="s">
        <v>13812</v>
      </c>
    </row>
    <row r="7552" spans="2:8" ht="13.5" customHeight="1">
      <c r="B7552" t="s">
        <v>11481</v>
      </c>
      <c r="D7552" t="s">
        <v>13452</v>
      </c>
      <c r="F7552" s="76">
        <v>1</v>
      </c>
      <c r="G7552" s="57" t="s">
        <v>13819</v>
      </c>
      <c r="H7552" s="57" t="s">
        <v>13812</v>
      </c>
    </row>
    <row r="7553" spans="2:8" ht="13.5" customHeight="1">
      <c r="B7553" t="s">
        <v>13424</v>
      </c>
      <c r="D7553" t="s">
        <v>13453</v>
      </c>
      <c r="F7553" s="76">
        <v>1</v>
      </c>
      <c r="G7553" s="57" t="s">
        <v>13819</v>
      </c>
      <c r="H7553" s="57" t="s">
        <v>13812</v>
      </c>
    </row>
    <row r="7554" spans="2:8" ht="13.5" customHeight="1">
      <c r="B7554" t="s">
        <v>13425</v>
      </c>
      <c r="D7554" t="s">
        <v>13454</v>
      </c>
      <c r="F7554" s="76">
        <v>1</v>
      </c>
      <c r="G7554" s="57" t="s">
        <v>13819</v>
      </c>
      <c r="H7554" s="57" t="s">
        <v>13812</v>
      </c>
    </row>
    <row r="7555" spans="2:8" ht="13.5" customHeight="1">
      <c r="B7555" t="s">
        <v>13426</v>
      </c>
      <c r="D7555" t="s">
        <v>13455</v>
      </c>
      <c r="F7555" s="76">
        <v>1</v>
      </c>
      <c r="G7555" s="57" t="s">
        <v>13819</v>
      </c>
      <c r="H7555" s="57" t="s">
        <v>13812</v>
      </c>
    </row>
    <row r="7556" spans="2:8" ht="13.5" customHeight="1">
      <c r="B7556" t="s">
        <v>12541</v>
      </c>
      <c r="D7556" t="s">
        <v>13456</v>
      </c>
      <c r="F7556" s="76">
        <v>1</v>
      </c>
      <c r="G7556" s="57" t="s">
        <v>13819</v>
      </c>
      <c r="H7556" s="57" t="s">
        <v>13812</v>
      </c>
    </row>
    <row r="7557" spans="2:8" ht="13.5" customHeight="1">
      <c r="B7557" t="s">
        <v>13427</v>
      </c>
      <c r="D7557" t="s">
        <v>13457</v>
      </c>
      <c r="F7557" s="76">
        <v>1</v>
      </c>
      <c r="G7557" s="57" t="s">
        <v>13819</v>
      </c>
      <c r="H7557" s="57" t="s">
        <v>13812</v>
      </c>
    </row>
    <row r="7558" spans="2:8" ht="13.5" customHeight="1">
      <c r="B7558" t="s">
        <v>13428</v>
      </c>
      <c r="D7558" t="s">
        <v>13458</v>
      </c>
      <c r="F7558" s="76">
        <v>1</v>
      </c>
      <c r="G7558" s="57" t="s">
        <v>13819</v>
      </c>
      <c r="H7558" s="57" t="s">
        <v>13812</v>
      </c>
    </row>
    <row r="7559" spans="2:8" ht="13.5" customHeight="1">
      <c r="B7559" t="s">
        <v>13429</v>
      </c>
      <c r="D7559" t="s">
        <v>13459</v>
      </c>
      <c r="F7559" s="76">
        <v>1</v>
      </c>
      <c r="G7559" s="57" t="s">
        <v>13819</v>
      </c>
      <c r="H7559" s="57" t="s">
        <v>13812</v>
      </c>
    </row>
    <row r="7560" spans="2:8" ht="13.5" customHeight="1">
      <c r="B7560" t="s">
        <v>13430</v>
      </c>
      <c r="D7560" t="s">
        <v>13460</v>
      </c>
      <c r="F7560" s="76">
        <v>1</v>
      </c>
      <c r="G7560" s="57" t="s">
        <v>13819</v>
      </c>
      <c r="H7560" s="57" t="s">
        <v>13812</v>
      </c>
    </row>
    <row r="7561" spans="2:8" ht="13.5" customHeight="1">
      <c r="B7561" t="s">
        <v>13431</v>
      </c>
      <c r="D7561" t="s">
        <v>13461</v>
      </c>
      <c r="F7561" s="76">
        <v>1</v>
      </c>
      <c r="G7561" s="57" t="s">
        <v>13819</v>
      </c>
      <c r="H7561" s="57" t="s">
        <v>13812</v>
      </c>
    </row>
    <row r="7562" spans="2:8" ht="13.5" customHeight="1">
      <c r="B7562" t="s">
        <v>13432</v>
      </c>
      <c r="D7562" t="s">
        <v>13462</v>
      </c>
      <c r="F7562" s="76">
        <v>2</v>
      </c>
      <c r="G7562" s="57" t="s">
        <v>13819</v>
      </c>
      <c r="H7562" s="57" t="s">
        <v>13812</v>
      </c>
    </row>
    <row r="7563" spans="2:8" ht="13.5" customHeight="1">
      <c r="B7563" t="s">
        <v>13433</v>
      </c>
      <c r="D7563" t="s">
        <v>13463</v>
      </c>
      <c r="F7563" s="76">
        <v>2</v>
      </c>
      <c r="G7563" s="57" t="s">
        <v>13819</v>
      </c>
      <c r="H7563" s="57" t="s">
        <v>13812</v>
      </c>
    </row>
    <row r="7564" spans="2:8" ht="13.5" customHeight="1">
      <c r="B7564" t="s">
        <v>13434</v>
      </c>
      <c r="D7564" t="s">
        <v>8647</v>
      </c>
      <c r="F7564" s="76">
        <v>3</v>
      </c>
      <c r="G7564" s="57" t="s">
        <v>13819</v>
      </c>
      <c r="H7564" s="57" t="s">
        <v>13812</v>
      </c>
    </row>
    <row r="7565" spans="2:8" ht="13.5" customHeight="1">
      <c r="B7565" t="s">
        <v>13435</v>
      </c>
      <c r="D7565" t="s">
        <v>13464</v>
      </c>
      <c r="F7565" s="76">
        <v>4</v>
      </c>
      <c r="G7565" s="57" t="s">
        <v>13819</v>
      </c>
      <c r="H7565" s="57" t="s">
        <v>13812</v>
      </c>
    </row>
    <row r="7566" spans="2:8" ht="13.5" customHeight="1">
      <c r="B7566" t="s">
        <v>13436</v>
      </c>
      <c r="D7566" t="s">
        <v>13465</v>
      </c>
      <c r="F7566" s="76">
        <v>5</v>
      </c>
      <c r="G7566" s="57" t="s">
        <v>13819</v>
      </c>
      <c r="H7566" s="57" t="s">
        <v>13812</v>
      </c>
    </row>
    <row r="7567" spans="2:8" ht="13.5" customHeight="1">
      <c r="B7567" t="s">
        <v>13437</v>
      </c>
      <c r="D7567" t="s">
        <v>13466</v>
      </c>
      <c r="F7567" s="76">
        <v>5</v>
      </c>
      <c r="G7567" s="57" t="s">
        <v>13819</v>
      </c>
      <c r="H7567" s="57" t="s">
        <v>13812</v>
      </c>
    </row>
    <row r="7568" spans="2:8" ht="13.5" customHeight="1">
      <c r="B7568" t="s">
        <v>13438</v>
      </c>
      <c r="D7568" t="s">
        <v>13467</v>
      </c>
      <c r="F7568" s="76">
        <v>5</v>
      </c>
      <c r="G7568" s="57" t="s">
        <v>13819</v>
      </c>
      <c r="H7568" s="57" t="s">
        <v>13812</v>
      </c>
    </row>
    <row r="7569" spans="2:8" ht="13.5" customHeight="1">
      <c r="B7569" t="s">
        <v>13439</v>
      </c>
      <c r="D7569" t="s">
        <v>13468</v>
      </c>
      <c r="F7569" s="76">
        <v>6</v>
      </c>
      <c r="G7569" s="57" t="s">
        <v>13819</v>
      </c>
      <c r="H7569" s="57" t="s">
        <v>13812</v>
      </c>
    </row>
    <row r="7570" spans="2:8" ht="13.5" customHeight="1">
      <c r="B7570" t="s">
        <v>13440</v>
      </c>
      <c r="D7570" t="s">
        <v>13469</v>
      </c>
      <c r="F7570" s="76">
        <v>6</v>
      </c>
      <c r="G7570" s="57" t="s">
        <v>13819</v>
      </c>
      <c r="H7570" s="57" t="s">
        <v>13812</v>
      </c>
    </row>
    <row r="7571" spans="2:8" ht="13.5" customHeight="1">
      <c r="B7571" t="s">
        <v>13441</v>
      </c>
      <c r="D7571" t="s">
        <v>13470</v>
      </c>
      <c r="F7571" s="76">
        <v>6</v>
      </c>
      <c r="G7571" s="57" t="s">
        <v>13819</v>
      </c>
      <c r="H7571" s="57" t="s">
        <v>13812</v>
      </c>
    </row>
    <row r="7572" spans="2:8" ht="13.5" customHeight="1">
      <c r="B7572" t="s">
        <v>13442</v>
      </c>
      <c r="D7572" t="s">
        <v>13471</v>
      </c>
      <c r="F7572" s="76">
        <v>7</v>
      </c>
      <c r="G7572" s="57" t="s">
        <v>13819</v>
      </c>
      <c r="H7572" s="57" t="s">
        <v>13812</v>
      </c>
    </row>
    <row r="7573" spans="2:8" ht="13.5" customHeight="1">
      <c r="B7573" t="s">
        <v>13443</v>
      </c>
      <c r="D7573" t="s">
        <v>13472</v>
      </c>
      <c r="F7573" s="76">
        <v>8</v>
      </c>
      <c r="G7573" s="57" t="s">
        <v>13819</v>
      </c>
      <c r="H7573" s="57" t="s">
        <v>13812</v>
      </c>
    </row>
    <row r="7574" spans="2:8" ht="13.5" customHeight="1">
      <c r="B7574" t="s">
        <v>13444</v>
      </c>
      <c r="D7574" t="s">
        <v>13473</v>
      </c>
      <c r="F7574" s="76">
        <v>10</v>
      </c>
      <c r="G7574" s="57" t="s">
        <v>13819</v>
      </c>
      <c r="H7574" s="57" t="s">
        <v>13812</v>
      </c>
    </row>
    <row r="7575" spans="2:8" ht="13.5" customHeight="1">
      <c r="B7575" t="s">
        <v>13445</v>
      </c>
      <c r="D7575" t="s">
        <v>13474</v>
      </c>
      <c r="F7575" s="76">
        <v>10</v>
      </c>
      <c r="G7575" s="57" t="s">
        <v>13819</v>
      </c>
      <c r="H7575" s="57" t="s">
        <v>13812</v>
      </c>
    </row>
    <row r="7576" spans="2:8" ht="13.5" customHeight="1">
      <c r="B7576" t="s">
        <v>13446</v>
      </c>
      <c r="D7576" t="s">
        <v>13475</v>
      </c>
      <c r="F7576" s="76">
        <v>19</v>
      </c>
      <c r="G7576" s="57" t="s">
        <v>13819</v>
      </c>
      <c r="H7576" s="57" t="s">
        <v>13812</v>
      </c>
    </row>
    <row r="7577" spans="2:8" ht="13.5" customHeight="1">
      <c r="B7577" t="s">
        <v>10982</v>
      </c>
      <c r="D7577" t="s">
        <v>13476</v>
      </c>
      <c r="F7577" s="76">
        <v>30</v>
      </c>
      <c r="G7577" s="57" t="s">
        <v>13819</v>
      </c>
      <c r="H7577" s="57" t="s">
        <v>13812</v>
      </c>
    </row>
    <row r="7578" spans="2:8" ht="13.5" customHeight="1">
      <c r="B7578" t="s">
        <v>11596</v>
      </c>
      <c r="D7578" t="s">
        <v>13477</v>
      </c>
      <c r="F7578" s="76">
        <v>34</v>
      </c>
      <c r="G7578" s="57" t="s">
        <v>13819</v>
      </c>
      <c r="H7578" s="57" t="s">
        <v>13812</v>
      </c>
    </row>
    <row r="7579" spans="2:8" ht="13.5" customHeight="1">
      <c r="B7579" t="s">
        <v>13447</v>
      </c>
      <c r="D7579" t="s">
        <v>13478</v>
      </c>
      <c r="F7579" s="76">
        <v>40</v>
      </c>
      <c r="G7579" s="57" t="s">
        <v>13819</v>
      </c>
      <c r="H7579" s="57" t="s">
        <v>13812</v>
      </c>
    </row>
    <row r="7580" spans="2:8" ht="13.5" customHeight="1">
      <c r="B7580" t="s">
        <v>13448</v>
      </c>
      <c r="D7580" t="s">
        <v>1052</v>
      </c>
      <c r="F7580" s="76">
        <v>44</v>
      </c>
      <c r="G7580" s="57" t="s">
        <v>13819</v>
      </c>
      <c r="H7580" s="57" t="s">
        <v>13812</v>
      </c>
    </row>
    <row r="7581" spans="2:8" ht="13.5" customHeight="1">
      <c r="B7581" t="s">
        <v>13449</v>
      </c>
      <c r="D7581" t="s">
        <v>13479</v>
      </c>
      <c r="F7581" s="76">
        <v>48</v>
      </c>
      <c r="G7581" s="57" t="s">
        <v>13819</v>
      </c>
      <c r="H7581" s="57" t="s">
        <v>13812</v>
      </c>
    </row>
    <row r="7582" spans="2:8" ht="13.5" customHeight="1">
      <c r="B7582" t="s">
        <v>13450</v>
      </c>
      <c r="D7582" t="s">
        <v>13480</v>
      </c>
      <c r="F7582" s="76">
        <v>50</v>
      </c>
      <c r="G7582" s="57" t="s">
        <v>13819</v>
      </c>
      <c r="H7582" s="57" t="s">
        <v>13812</v>
      </c>
    </row>
    <row r="7583" spans="2:8" ht="13.5" customHeight="1">
      <c r="B7583" t="s">
        <v>13481</v>
      </c>
      <c r="D7583" t="s">
        <v>13514</v>
      </c>
      <c r="F7583" s="76">
        <v>1</v>
      </c>
      <c r="G7583" s="57" t="s">
        <v>13819</v>
      </c>
      <c r="H7583" s="57" t="s">
        <v>13813</v>
      </c>
    </row>
    <row r="7584" spans="2:8" ht="13.5" customHeight="1">
      <c r="B7584" t="s">
        <v>13482</v>
      </c>
      <c r="D7584" t="s">
        <v>13515</v>
      </c>
      <c r="F7584" s="76">
        <v>1</v>
      </c>
      <c r="G7584" s="57" t="s">
        <v>13819</v>
      </c>
      <c r="H7584" s="57" t="s">
        <v>13813</v>
      </c>
    </row>
    <row r="7585" spans="2:8" ht="13.5" customHeight="1">
      <c r="B7585" t="s">
        <v>13483</v>
      </c>
      <c r="D7585" t="s">
        <v>13516</v>
      </c>
      <c r="F7585" s="76">
        <v>1</v>
      </c>
      <c r="G7585" s="57" t="s">
        <v>13819</v>
      </c>
      <c r="H7585" s="57" t="s">
        <v>13813</v>
      </c>
    </row>
    <row r="7586" spans="2:8" ht="13.5" customHeight="1">
      <c r="B7586" t="s">
        <v>13484</v>
      </c>
      <c r="D7586" t="s">
        <v>13517</v>
      </c>
      <c r="F7586" s="76">
        <v>1</v>
      </c>
      <c r="G7586" s="57" t="s">
        <v>13819</v>
      </c>
      <c r="H7586" s="57" t="s">
        <v>13813</v>
      </c>
    </row>
    <row r="7587" spans="2:8" ht="13.5" customHeight="1">
      <c r="B7587" t="s">
        <v>13485</v>
      </c>
      <c r="D7587" t="s">
        <v>13518</v>
      </c>
      <c r="F7587" s="76">
        <v>1</v>
      </c>
      <c r="G7587" s="57" t="s">
        <v>13819</v>
      </c>
      <c r="H7587" s="57" t="s">
        <v>13813</v>
      </c>
    </row>
    <row r="7588" spans="2:8" ht="13.5" customHeight="1">
      <c r="B7588" t="s">
        <v>13486</v>
      </c>
      <c r="D7588" t="s">
        <v>13519</v>
      </c>
      <c r="F7588" s="76">
        <v>2</v>
      </c>
      <c r="G7588" s="57" t="s">
        <v>13819</v>
      </c>
      <c r="H7588" s="57" t="s">
        <v>13813</v>
      </c>
    </row>
    <row r="7589" spans="2:8" ht="13.5" customHeight="1">
      <c r="B7589" t="s">
        <v>12831</v>
      </c>
      <c r="D7589" t="s">
        <v>13520</v>
      </c>
      <c r="F7589" s="76">
        <v>2</v>
      </c>
      <c r="G7589" s="57" t="s">
        <v>13819</v>
      </c>
      <c r="H7589" s="57" t="s">
        <v>13813</v>
      </c>
    </row>
    <row r="7590" spans="2:8" ht="13.5" customHeight="1">
      <c r="B7590" t="s">
        <v>8108</v>
      </c>
      <c r="D7590" t="s">
        <v>13521</v>
      </c>
      <c r="F7590" s="76">
        <v>2</v>
      </c>
      <c r="G7590" s="57" t="s">
        <v>13819</v>
      </c>
      <c r="H7590" s="57" t="s">
        <v>13813</v>
      </c>
    </row>
    <row r="7591" spans="2:8" ht="13.5" customHeight="1">
      <c r="B7591" t="s">
        <v>13487</v>
      </c>
      <c r="D7591" t="s">
        <v>13522</v>
      </c>
      <c r="F7591" s="76">
        <v>2</v>
      </c>
      <c r="G7591" s="57" t="s">
        <v>13819</v>
      </c>
      <c r="H7591" s="57" t="s">
        <v>13813</v>
      </c>
    </row>
    <row r="7592" spans="2:8" ht="13.5" customHeight="1">
      <c r="B7592" t="s">
        <v>13488</v>
      </c>
      <c r="D7592" t="s">
        <v>13523</v>
      </c>
      <c r="F7592" s="76">
        <v>2</v>
      </c>
      <c r="G7592" s="57" t="s">
        <v>13819</v>
      </c>
      <c r="H7592" s="57" t="s">
        <v>13813</v>
      </c>
    </row>
    <row r="7593" spans="2:8" ht="13.5" customHeight="1">
      <c r="B7593" t="s">
        <v>13489</v>
      </c>
      <c r="D7593" t="s">
        <v>13524</v>
      </c>
      <c r="F7593" s="76">
        <v>3</v>
      </c>
      <c r="G7593" s="57" t="s">
        <v>13819</v>
      </c>
      <c r="H7593" s="57" t="s">
        <v>13813</v>
      </c>
    </row>
    <row r="7594" spans="2:8" ht="13.5" customHeight="1">
      <c r="B7594" t="s">
        <v>9787</v>
      </c>
      <c r="D7594" t="s">
        <v>13525</v>
      </c>
      <c r="F7594" s="76">
        <v>3</v>
      </c>
      <c r="G7594" s="57" t="s">
        <v>13819</v>
      </c>
      <c r="H7594" s="57" t="s">
        <v>13813</v>
      </c>
    </row>
    <row r="7595" spans="2:8" ht="13.5" customHeight="1">
      <c r="B7595" t="s">
        <v>13490</v>
      </c>
      <c r="D7595" t="s">
        <v>13526</v>
      </c>
      <c r="F7595" s="76">
        <v>3</v>
      </c>
      <c r="G7595" s="57" t="s">
        <v>13819</v>
      </c>
      <c r="H7595" s="57" t="s">
        <v>13813</v>
      </c>
    </row>
    <row r="7596" spans="2:8" ht="13.5" customHeight="1">
      <c r="B7596" t="s">
        <v>13491</v>
      </c>
      <c r="D7596" t="s">
        <v>13527</v>
      </c>
      <c r="F7596" s="76">
        <v>3</v>
      </c>
      <c r="G7596" s="57" t="s">
        <v>13819</v>
      </c>
      <c r="H7596" s="57" t="s">
        <v>13813</v>
      </c>
    </row>
    <row r="7597" spans="2:8" ht="13.5" customHeight="1">
      <c r="B7597" t="s">
        <v>10338</v>
      </c>
      <c r="D7597" t="s">
        <v>13528</v>
      </c>
      <c r="F7597" s="76">
        <v>4</v>
      </c>
      <c r="G7597" s="57" t="s">
        <v>13819</v>
      </c>
      <c r="H7597" s="57" t="s">
        <v>13813</v>
      </c>
    </row>
    <row r="7598" spans="2:8" ht="13.5" customHeight="1">
      <c r="B7598" t="s">
        <v>13492</v>
      </c>
      <c r="D7598" t="s">
        <v>13529</v>
      </c>
      <c r="F7598" s="76">
        <v>4</v>
      </c>
      <c r="G7598" s="57" t="s">
        <v>13819</v>
      </c>
      <c r="H7598" s="57" t="s">
        <v>13813</v>
      </c>
    </row>
    <row r="7599" spans="2:8" ht="13.5" customHeight="1">
      <c r="B7599" t="s">
        <v>13493</v>
      </c>
      <c r="D7599" t="s">
        <v>13530</v>
      </c>
      <c r="F7599" s="76">
        <v>5</v>
      </c>
      <c r="G7599" s="57" t="s">
        <v>13819</v>
      </c>
      <c r="H7599" s="57" t="s">
        <v>13813</v>
      </c>
    </row>
    <row r="7600" spans="2:8" ht="13.5" customHeight="1">
      <c r="B7600" t="s">
        <v>13494</v>
      </c>
      <c r="D7600" t="s">
        <v>13531</v>
      </c>
      <c r="F7600" s="76">
        <v>5</v>
      </c>
      <c r="G7600" s="57" t="s">
        <v>13819</v>
      </c>
      <c r="H7600" s="57" t="s">
        <v>13813</v>
      </c>
    </row>
    <row r="7601" spans="2:8" ht="13.5" customHeight="1">
      <c r="B7601" t="s">
        <v>9964</v>
      </c>
      <c r="D7601" t="s">
        <v>13532</v>
      </c>
      <c r="F7601" s="76">
        <v>8</v>
      </c>
      <c r="G7601" s="57" t="s">
        <v>13819</v>
      </c>
      <c r="H7601" s="57" t="s">
        <v>13813</v>
      </c>
    </row>
    <row r="7602" spans="2:8" ht="13.5" customHeight="1">
      <c r="B7602" t="s">
        <v>13495</v>
      </c>
      <c r="D7602" t="s">
        <v>13533</v>
      </c>
      <c r="F7602" s="76">
        <v>8</v>
      </c>
      <c r="G7602" s="57" t="s">
        <v>13819</v>
      </c>
      <c r="H7602" s="57" t="s">
        <v>13813</v>
      </c>
    </row>
    <row r="7603" spans="2:8" ht="13.5" customHeight="1">
      <c r="B7603" t="s">
        <v>13496</v>
      </c>
      <c r="D7603" t="s">
        <v>13534</v>
      </c>
      <c r="F7603" s="76">
        <v>8</v>
      </c>
      <c r="G7603" s="57" t="s">
        <v>13819</v>
      </c>
      <c r="H7603" s="57" t="s">
        <v>13813</v>
      </c>
    </row>
    <row r="7604" spans="2:8" ht="13.5" customHeight="1">
      <c r="B7604" t="s">
        <v>13497</v>
      </c>
      <c r="D7604" t="s">
        <v>13535</v>
      </c>
      <c r="F7604" s="76">
        <v>9</v>
      </c>
      <c r="G7604" s="57" t="s">
        <v>13819</v>
      </c>
      <c r="H7604" s="57" t="s">
        <v>13813</v>
      </c>
    </row>
    <row r="7605" spans="2:8" ht="13.5" customHeight="1">
      <c r="B7605" t="s">
        <v>13498</v>
      </c>
      <c r="D7605" t="s">
        <v>13536</v>
      </c>
      <c r="F7605" s="76">
        <v>10</v>
      </c>
      <c r="G7605" s="57" t="s">
        <v>13819</v>
      </c>
      <c r="H7605" s="57" t="s">
        <v>13813</v>
      </c>
    </row>
    <row r="7606" spans="2:8" ht="13.5" customHeight="1">
      <c r="B7606" t="s">
        <v>13499</v>
      </c>
      <c r="D7606" t="s">
        <v>13537</v>
      </c>
      <c r="F7606" s="76">
        <v>10</v>
      </c>
      <c r="G7606" s="57" t="s">
        <v>13819</v>
      </c>
      <c r="H7606" s="57" t="s">
        <v>13813</v>
      </c>
    </row>
    <row r="7607" spans="2:8" ht="13.5" customHeight="1">
      <c r="B7607" t="s">
        <v>13500</v>
      </c>
      <c r="D7607" t="s">
        <v>13538</v>
      </c>
      <c r="F7607" s="76">
        <v>11</v>
      </c>
      <c r="G7607" s="57" t="s">
        <v>13819</v>
      </c>
      <c r="H7607" s="57" t="s">
        <v>13813</v>
      </c>
    </row>
    <row r="7608" spans="2:8" ht="13.5" customHeight="1">
      <c r="B7608" t="s">
        <v>13501</v>
      </c>
      <c r="D7608" t="s">
        <v>13539</v>
      </c>
      <c r="F7608" s="76">
        <v>16</v>
      </c>
      <c r="G7608" s="57" t="s">
        <v>13819</v>
      </c>
      <c r="H7608" s="57" t="s">
        <v>13813</v>
      </c>
    </row>
    <row r="7609" spans="2:8" ht="13.5" customHeight="1">
      <c r="B7609" t="s">
        <v>13502</v>
      </c>
      <c r="D7609" t="s">
        <v>13540</v>
      </c>
      <c r="F7609" s="76">
        <v>20</v>
      </c>
      <c r="G7609" s="57" t="s">
        <v>13819</v>
      </c>
      <c r="H7609" s="57" t="s">
        <v>13813</v>
      </c>
    </row>
    <row r="7610" spans="2:8" ht="13.5" customHeight="1">
      <c r="B7610" t="s">
        <v>13503</v>
      </c>
      <c r="D7610" t="s">
        <v>13541</v>
      </c>
      <c r="F7610" s="76">
        <v>23</v>
      </c>
      <c r="G7610" s="57" t="s">
        <v>13819</v>
      </c>
      <c r="H7610" s="57" t="s">
        <v>13813</v>
      </c>
    </row>
    <row r="7611" spans="2:8" ht="13.5" customHeight="1">
      <c r="B7611" t="s">
        <v>13504</v>
      </c>
      <c r="D7611" t="s">
        <v>5422</v>
      </c>
      <c r="F7611" s="76">
        <v>30</v>
      </c>
      <c r="G7611" s="57" t="s">
        <v>13819</v>
      </c>
      <c r="H7611" s="57" t="s">
        <v>13813</v>
      </c>
    </row>
    <row r="7612" spans="2:8" ht="13.5" customHeight="1">
      <c r="B7612" t="s">
        <v>13505</v>
      </c>
      <c r="D7612" t="s">
        <v>13542</v>
      </c>
      <c r="F7612" s="76">
        <v>30</v>
      </c>
      <c r="G7612" s="57" t="s">
        <v>13819</v>
      </c>
      <c r="H7612" s="57" t="s">
        <v>13813</v>
      </c>
    </row>
    <row r="7613" spans="2:8" ht="13.5" customHeight="1">
      <c r="B7613" t="s">
        <v>495</v>
      </c>
      <c r="D7613" t="s">
        <v>13543</v>
      </c>
      <c r="F7613" s="76">
        <v>40</v>
      </c>
      <c r="G7613" s="57" t="s">
        <v>13819</v>
      </c>
      <c r="H7613" s="57" t="s">
        <v>13813</v>
      </c>
    </row>
    <row r="7614" spans="2:8" ht="13.5" customHeight="1">
      <c r="B7614" t="s">
        <v>13506</v>
      </c>
      <c r="D7614" t="s">
        <v>13544</v>
      </c>
      <c r="F7614" s="76">
        <v>41</v>
      </c>
      <c r="G7614" s="57" t="s">
        <v>13819</v>
      </c>
      <c r="H7614" s="57" t="s">
        <v>13813</v>
      </c>
    </row>
    <row r="7615" spans="2:8" ht="13.5" customHeight="1">
      <c r="B7615" t="s">
        <v>13507</v>
      </c>
      <c r="D7615" t="s">
        <v>13545</v>
      </c>
      <c r="F7615" s="76">
        <v>44</v>
      </c>
      <c r="G7615" s="57" t="s">
        <v>13819</v>
      </c>
      <c r="H7615" s="57" t="s">
        <v>13813</v>
      </c>
    </row>
    <row r="7616" spans="2:8" ht="13.5" customHeight="1">
      <c r="B7616" t="s">
        <v>13508</v>
      </c>
      <c r="D7616" t="s">
        <v>13546</v>
      </c>
      <c r="F7616" s="76">
        <v>46</v>
      </c>
      <c r="G7616" s="57" t="s">
        <v>13819</v>
      </c>
      <c r="H7616" s="57" t="s">
        <v>13813</v>
      </c>
    </row>
    <row r="7617" spans="2:8" ht="13.5" customHeight="1">
      <c r="B7617" t="s">
        <v>13509</v>
      </c>
      <c r="D7617" t="s">
        <v>13547</v>
      </c>
      <c r="F7617" s="76">
        <v>58</v>
      </c>
      <c r="G7617" s="57" t="s">
        <v>13819</v>
      </c>
      <c r="H7617" s="57" t="s">
        <v>13813</v>
      </c>
    </row>
    <row r="7618" spans="2:8" ht="13.5" customHeight="1">
      <c r="B7618" t="s">
        <v>13510</v>
      </c>
      <c r="D7618" t="s">
        <v>13548</v>
      </c>
      <c r="F7618" s="76">
        <v>61</v>
      </c>
      <c r="G7618" s="57" t="s">
        <v>13819</v>
      </c>
      <c r="H7618" s="57" t="s">
        <v>13813</v>
      </c>
    </row>
    <row r="7619" spans="2:8" ht="13.5" customHeight="1">
      <c r="B7619" t="s">
        <v>11446</v>
      </c>
      <c r="D7619" t="s">
        <v>13549</v>
      </c>
      <c r="F7619" s="76">
        <v>80</v>
      </c>
      <c r="G7619" s="57" t="s">
        <v>13819</v>
      </c>
      <c r="H7619" s="57" t="s">
        <v>13813</v>
      </c>
    </row>
    <row r="7620" spans="2:8" ht="13.5" customHeight="1">
      <c r="B7620" t="s">
        <v>13511</v>
      </c>
      <c r="D7620" t="s">
        <v>13550</v>
      </c>
      <c r="F7620" s="76">
        <v>98</v>
      </c>
      <c r="G7620" s="57" t="s">
        <v>13819</v>
      </c>
      <c r="H7620" s="57" t="s">
        <v>13813</v>
      </c>
    </row>
    <row r="7621" spans="2:8" ht="13.5" customHeight="1">
      <c r="B7621" t="s">
        <v>13512</v>
      </c>
      <c r="D7621" t="s">
        <v>13551</v>
      </c>
      <c r="F7621" s="76">
        <v>105</v>
      </c>
      <c r="G7621" s="57" t="s">
        <v>13819</v>
      </c>
      <c r="H7621" s="57" t="s">
        <v>13813</v>
      </c>
    </row>
    <row r="7622" spans="2:8" ht="13.5" customHeight="1">
      <c r="B7622" t="s">
        <v>13513</v>
      </c>
      <c r="D7622" t="s">
        <v>13552</v>
      </c>
      <c r="F7622" s="76">
        <v>152</v>
      </c>
      <c r="G7622" s="57" t="s">
        <v>13819</v>
      </c>
      <c r="H7622" s="57" t="s">
        <v>13813</v>
      </c>
    </row>
    <row r="7623" spans="2:8" ht="13.5" customHeight="1">
      <c r="B7623" t="s">
        <v>13553</v>
      </c>
      <c r="D7623" t="s">
        <v>13586</v>
      </c>
      <c r="F7623" s="76">
        <v>1</v>
      </c>
      <c r="G7623" s="57" t="s">
        <v>13819</v>
      </c>
      <c r="H7623" s="57" t="s">
        <v>13814</v>
      </c>
    </row>
    <row r="7624" spans="2:8" ht="13.5" customHeight="1">
      <c r="B7624" t="s">
        <v>13554</v>
      </c>
      <c r="D7624" t="s">
        <v>13587</v>
      </c>
      <c r="F7624" s="76">
        <v>1</v>
      </c>
      <c r="G7624" s="57" t="s">
        <v>13819</v>
      </c>
      <c r="H7624" s="57" t="s">
        <v>13814</v>
      </c>
    </row>
    <row r="7625" spans="2:8" ht="13.5" customHeight="1">
      <c r="B7625" t="s">
        <v>13555</v>
      </c>
      <c r="D7625" t="s">
        <v>13588</v>
      </c>
      <c r="F7625" s="76">
        <v>1</v>
      </c>
      <c r="G7625" s="57" t="s">
        <v>13819</v>
      </c>
      <c r="H7625" s="57" t="s">
        <v>13814</v>
      </c>
    </row>
    <row r="7626" spans="2:8" ht="13.5" customHeight="1">
      <c r="B7626" t="s">
        <v>13556</v>
      </c>
      <c r="D7626" t="s">
        <v>13589</v>
      </c>
      <c r="F7626" s="76">
        <v>1</v>
      </c>
      <c r="G7626" s="57" t="s">
        <v>13819</v>
      </c>
      <c r="H7626" s="57" t="s">
        <v>13814</v>
      </c>
    </row>
    <row r="7627" spans="2:8" ht="13.5" customHeight="1">
      <c r="B7627" t="s">
        <v>13557</v>
      </c>
      <c r="D7627" t="s">
        <v>13590</v>
      </c>
      <c r="F7627" s="76">
        <v>1</v>
      </c>
      <c r="G7627" s="57" t="s">
        <v>13819</v>
      </c>
      <c r="H7627" s="57" t="s">
        <v>13814</v>
      </c>
    </row>
    <row r="7628" spans="2:8" ht="13.5" customHeight="1">
      <c r="B7628" t="s">
        <v>13558</v>
      </c>
      <c r="D7628" t="s">
        <v>13591</v>
      </c>
      <c r="F7628" s="76">
        <v>2</v>
      </c>
      <c r="G7628" s="57" t="s">
        <v>13819</v>
      </c>
      <c r="H7628" s="57" t="s">
        <v>13814</v>
      </c>
    </row>
    <row r="7629" spans="2:8" ht="13.5" customHeight="1">
      <c r="B7629" t="s">
        <v>13559</v>
      </c>
      <c r="D7629" t="s">
        <v>13592</v>
      </c>
      <c r="F7629" s="76">
        <v>2</v>
      </c>
      <c r="G7629" s="57" t="s">
        <v>13819</v>
      </c>
      <c r="H7629" s="57" t="s">
        <v>13814</v>
      </c>
    </row>
    <row r="7630" spans="2:8" ht="13.5" customHeight="1">
      <c r="B7630" t="s">
        <v>13560</v>
      </c>
      <c r="D7630" t="s">
        <v>13593</v>
      </c>
      <c r="F7630" s="76">
        <v>3</v>
      </c>
      <c r="G7630" s="57" t="s">
        <v>13819</v>
      </c>
      <c r="H7630" s="57" t="s">
        <v>13814</v>
      </c>
    </row>
    <row r="7631" spans="2:8" ht="13.5" customHeight="1">
      <c r="B7631" t="s">
        <v>9733</v>
      </c>
      <c r="D7631" t="s">
        <v>13594</v>
      </c>
      <c r="F7631" s="76">
        <v>4</v>
      </c>
      <c r="G7631" s="57" t="s">
        <v>13819</v>
      </c>
      <c r="H7631" s="57" t="s">
        <v>13814</v>
      </c>
    </row>
    <row r="7632" spans="2:8" ht="13.5" customHeight="1">
      <c r="B7632" t="s">
        <v>13561</v>
      </c>
      <c r="D7632" t="s">
        <v>13595</v>
      </c>
      <c r="F7632" s="76">
        <v>4</v>
      </c>
      <c r="G7632" s="57" t="s">
        <v>13819</v>
      </c>
      <c r="H7632" s="57" t="s">
        <v>13814</v>
      </c>
    </row>
    <row r="7633" spans="2:8" ht="13.5" customHeight="1">
      <c r="B7633" t="s">
        <v>11564</v>
      </c>
      <c r="D7633" t="s">
        <v>13596</v>
      </c>
      <c r="F7633" s="76">
        <v>4</v>
      </c>
      <c r="G7633" s="57" t="s">
        <v>13819</v>
      </c>
      <c r="H7633" s="57" t="s">
        <v>13814</v>
      </c>
    </row>
    <row r="7634" spans="2:8" ht="13.5" customHeight="1">
      <c r="B7634" t="s">
        <v>13562</v>
      </c>
      <c r="D7634" t="s">
        <v>13597</v>
      </c>
      <c r="F7634" s="76">
        <v>4</v>
      </c>
      <c r="G7634" s="57" t="s">
        <v>13819</v>
      </c>
      <c r="H7634" s="57" t="s">
        <v>13814</v>
      </c>
    </row>
    <row r="7635" spans="2:8" ht="13.5" customHeight="1">
      <c r="B7635" t="s">
        <v>9346</v>
      </c>
      <c r="D7635" t="s">
        <v>9466</v>
      </c>
      <c r="F7635" s="76">
        <v>4</v>
      </c>
      <c r="G7635" s="57" t="s">
        <v>13819</v>
      </c>
      <c r="H7635" s="57" t="s">
        <v>13814</v>
      </c>
    </row>
    <row r="7636" spans="2:8" ht="13.5" customHeight="1">
      <c r="B7636" t="s">
        <v>13563</v>
      </c>
      <c r="D7636" t="s">
        <v>13598</v>
      </c>
      <c r="F7636" s="76">
        <v>5</v>
      </c>
      <c r="G7636" s="57" t="s">
        <v>13819</v>
      </c>
      <c r="H7636" s="57" t="s">
        <v>13814</v>
      </c>
    </row>
    <row r="7637" spans="2:8" ht="13.5" customHeight="1">
      <c r="B7637" t="s">
        <v>13564</v>
      </c>
      <c r="D7637" t="s">
        <v>13599</v>
      </c>
      <c r="F7637" s="76">
        <v>5</v>
      </c>
      <c r="G7637" s="57" t="s">
        <v>13819</v>
      </c>
      <c r="H7637" s="57" t="s">
        <v>13814</v>
      </c>
    </row>
    <row r="7638" spans="2:8" ht="13.5" customHeight="1">
      <c r="B7638" t="s">
        <v>13565</v>
      </c>
      <c r="D7638" t="s">
        <v>13600</v>
      </c>
      <c r="F7638" s="76">
        <v>6</v>
      </c>
      <c r="G7638" s="57" t="s">
        <v>13819</v>
      </c>
      <c r="H7638" s="57" t="s">
        <v>13814</v>
      </c>
    </row>
    <row r="7639" spans="2:8" ht="13.5" customHeight="1">
      <c r="B7639" t="s">
        <v>13566</v>
      </c>
      <c r="D7639" t="s">
        <v>13601</v>
      </c>
      <c r="F7639" s="76">
        <v>8</v>
      </c>
      <c r="G7639" s="57" t="s">
        <v>13819</v>
      </c>
      <c r="H7639" s="57" t="s">
        <v>13814</v>
      </c>
    </row>
    <row r="7640" spans="2:8" ht="13.5" customHeight="1">
      <c r="B7640" t="s">
        <v>13567</v>
      </c>
      <c r="D7640" t="s">
        <v>13602</v>
      </c>
      <c r="F7640" s="76">
        <v>8</v>
      </c>
      <c r="G7640" s="57" t="s">
        <v>13819</v>
      </c>
      <c r="H7640" s="57" t="s">
        <v>13814</v>
      </c>
    </row>
    <row r="7641" spans="2:8" ht="13.5" customHeight="1">
      <c r="B7641" t="s">
        <v>8956</v>
      </c>
      <c r="D7641" t="s">
        <v>2737</v>
      </c>
      <c r="F7641" s="76">
        <v>8</v>
      </c>
      <c r="G7641" s="57" t="s">
        <v>13819</v>
      </c>
      <c r="H7641" s="57" t="s">
        <v>13814</v>
      </c>
    </row>
    <row r="7642" spans="2:8" ht="13.5" customHeight="1">
      <c r="B7642" t="s">
        <v>13568</v>
      </c>
      <c r="D7642" t="s">
        <v>13603</v>
      </c>
      <c r="F7642" s="76">
        <v>8</v>
      </c>
      <c r="G7642" s="57" t="s">
        <v>13819</v>
      </c>
      <c r="H7642" s="57" t="s">
        <v>13814</v>
      </c>
    </row>
    <row r="7643" spans="2:8" ht="13.5" customHeight="1">
      <c r="B7643" t="s">
        <v>13569</v>
      </c>
      <c r="D7643" t="s">
        <v>13604</v>
      </c>
      <c r="F7643" s="76">
        <v>10</v>
      </c>
      <c r="G7643" s="57" t="s">
        <v>13819</v>
      </c>
      <c r="H7643" s="57" t="s">
        <v>13814</v>
      </c>
    </row>
    <row r="7644" spans="2:8" ht="13.5" customHeight="1">
      <c r="B7644" t="s">
        <v>13570</v>
      </c>
      <c r="D7644" t="s">
        <v>13605</v>
      </c>
      <c r="F7644" s="76">
        <v>10</v>
      </c>
      <c r="G7644" s="57" t="s">
        <v>13819</v>
      </c>
      <c r="H7644" s="57" t="s">
        <v>13814</v>
      </c>
    </row>
    <row r="7645" spans="2:8" ht="13.5" customHeight="1">
      <c r="B7645" t="s">
        <v>13571</v>
      </c>
      <c r="D7645" t="s">
        <v>13606</v>
      </c>
      <c r="F7645" s="76">
        <v>10</v>
      </c>
      <c r="G7645" s="57" t="s">
        <v>13819</v>
      </c>
      <c r="H7645" s="57" t="s">
        <v>13814</v>
      </c>
    </row>
    <row r="7646" spans="2:8" ht="13.5" customHeight="1">
      <c r="B7646" t="s">
        <v>13572</v>
      </c>
      <c r="D7646" t="s">
        <v>13607</v>
      </c>
      <c r="F7646" s="76">
        <v>11</v>
      </c>
      <c r="G7646" s="57" t="s">
        <v>13819</v>
      </c>
      <c r="H7646" s="57" t="s">
        <v>13814</v>
      </c>
    </row>
    <row r="7647" spans="2:8" ht="13.5" customHeight="1">
      <c r="B7647" t="s">
        <v>13573</v>
      </c>
      <c r="D7647" t="s">
        <v>13608</v>
      </c>
      <c r="F7647" s="76">
        <v>12</v>
      </c>
      <c r="G7647" s="57" t="s">
        <v>13819</v>
      </c>
      <c r="H7647" s="57" t="s">
        <v>13814</v>
      </c>
    </row>
    <row r="7648" spans="2:8" ht="13.5" customHeight="1">
      <c r="B7648" t="s">
        <v>13574</v>
      </c>
      <c r="D7648" t="s">
        <v>13609</v>
      </c>
      <c r="F7648" s="76">
        <v>14</v>
      </c>
      <c r="G7648" s="57" t="s">
        <v>13819</v>
      </c>
      <c r="H7648" s="57" t="s">
        <v>13814</v>
      </c>
    </row>
    <row r="7649" spans="2:8" ht="13.5" customHeight="1">
      <c r="B7649" t="s">
        <v>13575</v>
      </c>
      <c r="D7649" t="s">
        <v>13610</v>
      </c>
      <c r="F7649" s="76">
        <v>15</v>
      </c>
      <c r="G7649" s="57" t="s">
        <v>13819</v>
      </c>
      <c r="H7649" s="57" t="s">
        <v>13814</v>
      </c>
    </row>
    <row r="7650" spans="2:8" ht="13.5" customHeight="1">
      <c r="B7650" t="s">
        <v>13576</v>
      </c>
      <c r="D7650" t="s">
        <v>13611</v>
      </c>
      <c r="F7650" s="76">
        <v>15</v>
      </c>
      <c r="G7650" s="57" t="s">
        <v>13819</v>
      </c>
      <c r="H7650" s="57" t="s">
        <v>13814</v>
      </c>
    </row>
    <row r="7651" spans="2:8" ht="13.5" customHeight="1">
      <c r="B7651" t="s">
        <v>13577</v>
      </c>
      <c r="D7651" t="s">
        <v>13612</v>
      </c>
      <c r="F7651" s="76">
        <v>17</v>
      </c>
      <c r="G7651" s="57" t="s">
        <v>13819</v>
      </c>
      <c r="H7651" s="57" t="s">
        <v>13814</v>
      </c>
    </row>
    <row r="7652" spans="2:8" ht="13.5" customHeight="1">
      <c r="B7652" t="s">
        <v>13578</v>
      </c>
      <c r="D7652" t="s">
        <v>13613</v>
      </c>
      <c r="F7652" s="76">
        <v>19</v>
      </c>
      <c r="G7652" s="57" t="s">
        <v>13819</v>
      </c>
      <c r="H7652" s="57" t="s">
        <v>13814</v>
      </c>
    </row>
    <row r="7653" spans="2:8" ht="13.5" customHeight="1">
      <c r="B7653" t="s">
        <v>13579</v>
      </c>
      <c r="D7653" t="s">
        <v>3188</v>
      </c>
      <c r="F7653" s="76">
        <v>23</v>
      </c>
      <c r="G7653" s="57" t="s">
        <v>13819</v>
      </c>
      <c r="H7653" s="57" t="s">
        <v>13814</v>
      </c>
    </row>
    <row r="7654" spans="2:8" ht="13.5" customHeight="1">
      <c r="B7654" t="s">
        <v>13580</v>
      </c>
      <c r="D7654" t="s">
        <v>13614</v>
      </c>
      <c r="F7654" s="76">
        <v>23</v>
      </c>
      <c r="G7654" s="57" t="s">
        <v>13819</v>
      </c>
      <c r="H7654" s="57" t="s">
        <v>13814</v>
      </c>
    </row>
    <row r="7655" spans="2:8" ht="13.5" customHeight="1">
      <c r="B7655" t="s">
        <v>13084</v>
      </c>
      <c r="D7655" t="s">
        <v>13615</v>
      </c>
      <c r="F7655" s="76">
        <v>24</v>
      </c>
      <c r="G7655" s="57" t="s">
        <v>13819</v>
      </c>
      <c r="H7655" s="57" t="s">
        <v>13814</v>
      </c>
    </row>
    <row r="7656" spans="2:8" ht="13.5" customHeight="1">
      <c r="B7656" t="s">
        <v>13581</v>
      </c>
      <c r="D7656" t="s">
        <v>13616</v>
      </c>
      <c r="F7656" s="76">
        <v>35</v>
      </c>
      <c r="G7656" s="57" t="s">
        <v>13819</v>
      </c>
      <c r="H7656" s="57" t="s">
        <v>13814</v>
      </c>
    </row>
    <row r="7657" spans="2:8" ht="13.5" customHeight="1">
      <c r="B7657" t="s">
        <v>13582</v>
      </c>
      <c r="D7657" t="s">
        <v>13617</v>
      </c>
      <c r="F7657" s="76">
        <v>38</v>
      </c>
      <c r="G7657" s="57" t="s">
        <v>13819</v>
      </c>
      <c r="H7657" s="57" t="s">
        <v>13814</v>
      </c>
    </row>
    <row r="7658" spans="2:8" ht="13.5" customHeight="1">
      <c r="B7658" t="s">
        <v>7715</v>
      </c>
      <c r="D7658" t="s">
        <v>13618</v>
      </c>
      <c r="F7658" s="76">
        <v>40</v>
      </c>
      <c r="G7658" s="57" t="s">
        <v>13819</v>
      </c>
      <c r="H7658" s="57" t="s">
        <v>13814</v>
      </c>
    </row>
    <row r="7659" spans="2:8" ht="13.5" customHeight="1">
      <c r="B7659" t="s">
        <v>466</v>
      </c>
      <c r="D7659" t="s">
        <v>9527</v>
      </c>
      <c r="F7659" s="76">
        <v>86</v>
      </c>
      <c r="G7659" s="57" t="s">
        <v>13819</v>
      </c>
      <c r="H7659" s="57" t="s">
        <v>13814</v>
      </c>
    </row>
    <row r="7660" spans="2:8" ht="13.5" customHeight="1">
      <c r="B7660" t="s">
        <v>13583</v>
      </c>
      <c r="D7660" t="s">
        <v>6195</v>
      </c>
      <c r="F7660" s="76">
        <v>89</v>
      </c>
      <c r="G7660" s="57" t="s">
        <v>13819</v>
      </c>
      <c r="H7660" s="57" t="s">
        <v>13814</v>
      </c>
    </row>
    <row r="7661" spans="2:8" ht="13.5" customHeight="1">
      <c r="B7661" t="s">
        <v>13584</v>
      </c>
      <c r="D7661" t="s">
        <v>13619</v>
      </c>
      <c r="F7661" s="76">
        <v>233</v>
      </c>
      <c r="G7661" s="57" t="s">
        <v>13819</v>
      </c>
      <c r="H7661" s="57" t="s">
        <v>13814</v>
      </c>
    </row>
    <row r="7662" spans="2:8" ht="13.5" customHeight="1">
      <c r="B7662" t="s">
        <v>13585</v>
      </c>
      <c r="D7662" t="s">
        <v>3186</v>
      </c>
      <c r="F7662" s="76">
        <v>286</v>
      </c>
      <c r="G7662" s="57" t="s">
        <v>13819</v>
      </c>
      <c r="H7662" s="57" t="s">
        <v>13814</v>
      </c>
    </row>
    <row r="7663" spans="2:8" ht="13.5" customHeight="1">
      <c r="B7663" t="s">
        <v>13620</v>
      </c>
      <c r="D7663" t="s">
        <v>13683</v>
      </c>
      <c r="F7663" s="76">
        <v>1</v>
      </c>
      <c r="G7663" s="57" t="s">
        <v>13819</v>
      </c>
      <c r="H7663" s="57" t="s">
        <v>13815</v>
      </c>
    </row>
    <row r="7664" spans="2:8" ht="13.5" customHeight="1">
      <c r="B7664" t="s">
        <v>13621</v>
      </c>
      <c r="D7664" t="s">
        <v>13684</v>
      </c>
      <c r="F7664" s="76">
        <v>2</v>
      </c>
      <c r="G7664" s="57" t="s">
        <v>13819</v>
      </c>
      <c r="H7664" s="57" t="s">
        <v>13815</v>
      </c>
    </row>
    <row r="7665" spans="2:8" ht="13.5" customHeight="1">
      <c r="B7665" t="s">
        <v>13622</v>
      </c>
      <c r="D7665" t="s">
        <v>13685</v>
      </c>
      <c r="F7665" s="76">
        <v>2</v>
      </c>
      <c r="G7665" s="57" t="s">
        <v>13819</v>
      </c>
      <c r="H7665" s="57" t="s">
        <v>13815</v>
      </c>
    </row>
    <row r="7666" spans="2:8" ht="13.5" customHeight="1">
      <c r="B7666" t="s">
        <v>13623</v>
      </c>
      <c r="D7666" t="s">
        <v>13686</v>
      </c>
      <c r="F7666" s="76">
        <v>4</v>
      </c>
      <c r="G7666" s="57" t="s">
        <v>13819</v>
      </c>
      <c r="H7666" s="57" t="s">
        <v>13815</v>
      </c>
    </row>
    <row r="7667" spans="2:8" ht="13.5" customHeight="1">
      <c r="B7667" t="s">
        <v>4778</v>
      </c>
      <c r="D7667" t="s">
        <v>13687</v>
      </c>
      <c r="F7667" s="76">
        <v>4</v>
      </c>
      <c r="G7667" s="57" t="s">
        <v>13819</v>
      </c>
      <c r="H7667" s="57" t="s">
        <v>13815</v>
      </c>
    </row>
    <row r="7668" spans="2:8" ht="13.5" customHeight="1">
      <c r="B7668" t="s">
        <v>13624</v>
      </c>
      <c r="D7668" t="s">
        <v>13688</v>
      </c>
      <c r="F7668" s="76">
        <v>5</v>
      </c>
      <c r="G7668" s="57" t="s">
        <v>13819</v>
      </c>
      <c r="H7668" s="57" t="s">
        <v>13815</v>
      </c>
    </row>
    <row r="7669" spans="2:8" ht="13.5" customHeight="1">
      <c r="B7669" t="s">
        <v>13625</v>
      </c>
      <c r="D7669" t="s">
        <v>13689</v>
      </c>
      <c r="F7669" s="76">
        <v>6</v>
      </c>
      <c r="G7669" s="57" t="s">
        <v>13819</v>
      </c>
      <c r="H7669" s="57" t="s">
        <v>13815</v>
      </c>
    </row>
    <row r="7670" spans="2:8" ht="13.5" customHeight="1">
      <c r="B7670" t="s">
        <v>13626</v>
      </c>
      <c r="D7670" t="s">
        <v>13690</v>
      </c>
      <c r="F7670" s="76">
        <v>6</v>
      </c>
      <c r="G7670" s="57" t="s">
        <v>13819</v>
      </c>
      <c r="H7670" s="57" t="s">
        <v>13815</v>
      </c>
    </row>
    <row r="7671" spans="2:8" ht="13.5" customHeight="1">
      <c r="B7671" t="s">
        <v>13627</v>
      </c>
      <c r="D7671" t="s">
        <v>13691</v>
      </c>
      <c r="F7671" s="76">
        <v>6</v>
      </c>
      <c r="G7671" s="57" t="s">
        <v>13819</v>
      </c>
      <c r="H7671" s="57" t="s">
        <v>13815</v>
      </c>
    </row>
    <row r="7672" spans="2:8" ht="13.5" customHeight="1">
      <c r="B7672" t="s">
        <v>13628</v>
      </c>
      <c r="D7672" t="s">
        <v>13692</v>
      </c>
      <c r="F7672" s="76">
        <v>6</v>
      </c>
      <c r="G7672" s="57" t="s">
        <v>13819</v>
      </c>
      <c r="H7672" s="57" t="s">
        <v>13815</v>
      </c>
    </row>
    <row r="7673" spans="2:8" ht="13.5" customHeight="1">
      <c r="B7673" t="s">
        <v>13629</v>
      </c>
      <c r="D7673" t="s">
        <v>13693</v>
      </c>
      <c r="F7673" s="76">
        <v>9</v>
      </c>
      <c r="G7673" s="57" t="s">
        <v>13819</v>
      </c>
      <c r="H7673" s="57" t="s">
        <v>13815</v>
      </c>
    </row>
    <row r="7674" spans="2:8" ht="13.5" customHeight="1">
      <c r="B7674" t="s">
        <v>13630</v>
      </c>
      <c r="D7674" t="s">
        <v>13694</v>
      </c>
      <c r="F7674" s="76">
        <v>10</v>
      </c>
      <c r="G7674" s="57" t="s">
        <v>13819</v>
      </c>
      <c r="H7674" s="57" t="s">
        <v>13815</v>
      </c>
    </row>
    <row r="7675" spans="2:8" ht="13.5" customHeight="1">
      <c r="B7675" t="s">
        <v>13631</v>
      </c>
      <c r="D7675" t="s">
        <v>13695</v>
      </c>
      <c r="F7675" s="76">
        <v>10</v>
      </c>
      <c r="G7675" s="57" t="s">
        <v>13819</v>
      </c>
      <c r="H7675" s="57" t="s">
        <v>13815</v>
      </c>
    </row>
    <row r="7676" spans="2:8" ht="13.5" customHeight="1">
      <c r="B7676" t="s">
        <v>376</v>
      </c>
      <c r="D7676" t="s">
        <v>13696</v>
      </c>
      <c r="F7676" s="76">
        <v>10</v>
      </c>
      <c r="G7676" s="57" t="s">
        <v>13819</v>
      </c>
      <c r="H7676" s="57" t="s">
        <v>13815</v>
      </c>
    </row>
    <row r="7677" spans="2:8" ht="13.5" customHeight="1">
      <c r="B7677" t="s">
        <v>8721</v>
      </c>
      <c r="D7677" t="s">
        <v>8722</v>
      </c>
      <c r="F7677" s="76">
        <v>12</v>
      </c>
      <c r="G7677" s="57" t="s">
        <v>13819</v>
      </c>
      <c r="H7677" s="57" t="s">
        <v>13815</v>
      </c>
    </row>
    <row r="7678" spans="2:8" ht="13.5" customHeight="1">
      <c r="B7678" s="9" t="s">
        <v>10815</v>
      </c>
      <c r="D7678" s="9" t="s">
        <v>13697</v>
      </c>
      <c r="F7678" s="76">
        <v>13</v>
      </c>
      <c r="G7678" s="57" t="s">
        <v>13819</v>
      </c>
      <c r="H7678" s="57" t="s">
        <v>13815</v>
      </c>
    </row>
    <row r="7679" spans="2:8" ht="13.5" customHeight="1">
      <c r="B7679" s="9" t="s">
        <v>13632</v>
      </c>
      <c r="D7679" s="9" t="s">
        <v>13698</v>
      </c>
      <c r="F7679" s="76">
        <v>13</v>
      </c>
      <c r="G7679" s="57" t="s">
        <v>13819</v>
      </c>
      <c r="H7679" s="57" t="s">
        <v>13815</v>
      </c>
    </row>
    <row r="7680" spans="2:8" ht="13.5" customHeight="1">
      <c r="B7680" s="133" t="s">
        <v>1550</v>
      </c>
      <c r="D7680" s="133" t="s">
        <v>13699</v>
      </c>
      <c r="F7680" s="76">
        <v>15</v>
      </c>
      <c r="G7680" s="57" t="s">
        <v>13819</v>
      </c>
      <c r="H7680" s="57" t="s">
        <v>13815</v>
      </c>
    </row>
    <row r="7681" spans="2:8" ht="13.5" customHeight="1">
      <c r="B7681" s="9" t="s">
        <v>13633</v>
      </c>
      <c r="D7681" s="9" t="s">
        <v>13700</v>
      </c>
      <c r="F7681" s="76">
        <v>16</v>
      </c>
      <c r="G7681" s="57" t="s">
        <v>13819</v>
      </c>
      <c r="H7681" s="57" t="s">
        <v>13815</v>
      </c>
    </row>
    <row r="7682" spans="2:8" ht="13.5" customHeight="1">
      <c r="B7682" s="9" t="s">
        <v>13634</v>
      </c>
      <c r="D7682" s="9" t="s">
        <v>13701</v>
      </c>
      <c r="F7682" s="76">
        <v>16</v>
      </c>
      <c r="G7682" s="57" t="s">
        <v>13819</v>
      </c>
      <c r="H7682" s="57" t="s">
        <v>13815</v>
      </c>
    </row>
    <row r="7683" spans="2:8" ht="13.5" customHeight="1">
      <c r="B7683" s="9" t="s">
        <v>13635</v>
      </c>
      <c r="D7683" s="9" t="s">
        <v>13702</v>
      </c>
      <c r="F7683" s="76">
        <v>20</v>
      </c>
      <c r="G7683" s="57" t="s">
        <v>13819</v>
      </c>
      <c r="H7683" s="57" t="s">
        <v>13815</v>
      </c>
    </row>
    <row r="7684" spans="2:8" ht="13.5" customHeight="1">
      <c r="B7684" s="9" t="s">
        <v>13636</v>
      </c>
      <c r="D7684" s="9" t="s">
        <v>13703</v>
      </c>
      <c r="F7684" s="76">
        <v>33</v>
      </c>
      <c r="G7684" s="57" t="s">
        <v>13819</v>
      </c>
      <c r="H7684" s="57" t="s">
        <v>13815</v>
      </c>
    </row>
    <row r="7685" spans="2:8" ht="13.5" customHeight="1">
      <c r="B7685" s="9" t="s">
        <v>13637</v>
      </c>
      <c r="D7685" s="9" t="s">
        <v>13704</v>
      </c>
      <c r="F7685" s="76">
        <v>49</v>
      </c>
      <c r="G7685" s="57" t="s">
        <v>13819</v>
      </c>
      <c r="H7685" s="57" t="s">
        <v>13815</v>
      </c>
    </row>
    <row r="7686" spans="2:8" ht="13.5" customHeight="1">
      <c r="B7686" s="9" t="s">
        <v>13638</v>
      </c>
      <c r="D7686" s="9" t="s">
        <v>13705</v>
      </c>
      <c r="F7686" s="76">
        <v>54</v>
      </c>
      <c r="G7686" s="57" t="s">
        <v>13819</v>
      </c>
      <c r="H7686" s="57" t="s">
        <v>13815</v>
      </c>
    </row>
    <row r="7687" spans="2:8" ht="13.5" customHeight="1">
      <c r="B7687" s="9" t="s">
        <v>241</v>
      </c>
      <c r="D7687" s="9" t="s">
        <v>13706</v>
      </c>
      <c r="F7687" s="76">
        <v>62</v>
      </c>
      <c r="G7687" s="57" t="s">
        <v>13819</v>
      </c>
      <c r="H7687" s="57" t="s">
        <v>13815</v>
      </c>
    </row>
    <row r="7688" spans="2:8" ht="13.5" customHeight="1">
      <c r="B7688" s="9" t="s">
        <v>13639</v>
      </c>
      <c r="D7688" s="9" t="s">
        <v>13707</v>
      </c>
      <c r="F7688" s="76">
        <v>66</v>
      </c>
      <c r="G7688" s="57" t="s">
        <v>13819</v>
      </c>
      <c r="H7688" s="57" t="s">
        <v>13815</v>
      </c>
    </row>
    <row r="7689" spans="2:8" ht="13.5" customHeight="1">
      <c r="B7689" s="9" t="s">
        <v>13640</v>
      </c>
      <c r="D7689" s="9" t="s">
        <v>2252</v>
      </c>
      <c r="F7689" s="76">
        <v>142</v>
      </c>
      <c r="G7689" s="57" t="s">
        <v>13819</v>
      </c>
      <c r="H7689" s="57" t="s">
        <v>13815</v>
      </c>
    </row>
    <row r="7690" spans="2:8" ht="13.5" customHeight="1">
      <c r="B7690" s="9" t="s">
        <v>13641</v>
      </c>
      <c r="D7690" s="9" t="s">
        <v>3086</v>
      </c>
      <c r="F7690" s="76">
        <v>303</v>
      </c>
      <c r="G7690" s="57" t="s">
        <v>13819</v>
      </c>
      <c r="H7690" s="57" t="s">
        <v>13815</v>
      </c>
    </row>
    <row r="7691" spans="2:8" ht="13.5" customHeight="1">
      <c r="B7691" s="9" t="s">
        <v>3716</v>
      </c>
      <c r="D7691" s="9" t="s">
        <v>13708</v>
      </c>
      <c r="F7691" s="76">
        <v>478</v>
      </c>
      <c r="G7691" s="57" t="s">
        <v>13819</v>
      </c>
      <c r="H7691" s="57" t="s">
        <v>13815</v>
      </c>
    </row>
    <row r="7692" spans="2:8" ht="13.5" customHeight="1">
      <c r="B7692" s="9" t="s">
        <v>7107</v>
      </c>
      <c r="D7692" s="9" t="s">
        <v>13709</v>
      </c>
      <c r="F7692" s="76">
        <v>966</v>
      </c>
      <c r="G7692" s="57" t="s">
        <v>13819</v>
      </c>
      <c r="H7692" s="57" t="s">
        <v>13815</v>
      </c>
    </row>
    <row r="7693" spans="2:8" ht="13.5" customHeight="1">
      <c r="B7693" s="9" t="s">
        <v>13642</v>
      </c>
      <c r="D7693" s="9" t="s">
        <v>13710</v>
      </c>
      <c r="F7693" s="76">
        <v>1093</v>
      </c>
      <c r="G7693" s="57" t="s">
        <v>13819</v>
      </c>
      <c r="H7693" s="57" t="s">
        <v>13815</v>
      </c>
    </row>
    <row r="7694" spans="2:8" ht="13.5" customHeight="1">
      <c r="B7694" s="9" t="s">
        <v>13643</v>
      </c>
      <c r="D7694" s="9" t="s">
        <v>13711</v>
      </c>
      <c r="F7694" s="76">
        <v>1</v>
      </c>
      <c r="G7694" s="57" t="s">
        <v>13819</v>
      </c>
      <c r="H7694" s="57" t="s">
        <v>13816</v>
      </c>
    </row>
    <row r="7695" spans="2:8" ht="13.5" customHeight="1">
      <c r="B7695" s="9" t="s">
        <v>13644</v>
      </c>
      <c r="D7695" s="9" t="s">
        <v>13712</v>
      </c>
      <c r="F7695" s="76">
        <v>1</v>
      </c>
      <c r="G7695" s="57" t="s">
        <v>13819</v>
      </c>
      <c r="H7695" s="57" t="s">
        <v>13816</v>
      </c>
    </row>
    <row r="7696" spans="2:8" ht="13.5" customHeight="1">
      <c r="B7696" s="9" t="s">
        <v>13645</v>
      </c>
      <c r="D7696" s="9" t="s">
        <v>13713</v>
      </c>
      <c r="F7696" s="76">
        <v>2</v>
      </c>
      <c r="G7696" s="57" t="s">
        <v>13819</v>
      </c>
      <c r="H7696" s="57" t="s">
        <v>13816</v>
      </c>
    </row>
    <row r="7697" spans="2:8" ht="13.5" customHeight="1">
      <c r="B7697" s="9" t="s">
        <v>13646</v>
      </c>
      <c r="D7697" s="9" t="s">
        <v>6708</v>
      </c>
      <c r="F7697" s="76">
        <v>4</v>
      </c>
      <c r="G7697" s="57" t="s">
        <v>13819</v>
      </c>
      <c r="H7697" s="57" t="s">
        <v>13816</v>
      </c>
    </row>
    <row r="7698" spans="2:8" ht="13.5" customHeight="1">
      <c r="B7698" s="9" t="s">
        <v>13647</v>
      </c>
      <c r="D7698" s="9" t="s">
        <v>13714</v>
      </c>
      <c r="F7698" s="76">
        <v>8</v>
      </c>
      <c r="G7698" s="57" t="s">
        <v>13819</v>
      </c>
      <c r="H7698" s="57" t="s">
        <v>13816</v>
      </c>
    </row>
    <row r="7699" spans="2:8" ht="13.5" customHeight="1">
      <c r="B7699" s="9" t="s">
        <v>13648</v>
      </c>
      <c r="D7699" s="9" t="s">
        <v>13715</v>
      </c>
      <c r="F7699" s="76">
        <v>24</v>
      </c>
      <c r="G7699" s="57" t="s">
        <v>13819</v>
      </c>
      <c r="H7699" s="57" t="s">
        <v>13816</v>
      </c>
    </row>
    <row r="7700" spans="2:8" ht="13.5" customHeight="1">
      <c r="B7700" s="9" t="s">
        <v>13649</v>
      </c>
      <c r="D7700" s="9" t="s">
        <v>13716</v>
      </c>
      <c r="F7700" s="76">
        <v>30</v>
      </c>
      <c r="G7700" s="57" t="s">
        <v>13819</v>
      </c>
      <c r="H7700" s="57" t="s">
        <v>13816</v>
      </c>
    </row>
    <row r="7701" spans="2:8" ht="13.5" customHeight="1">
      <c r="B7701" s="9" t="s">
        <v>13650</v>
      </c>
      <c r="D7701" s="9" t="s">
        <v>13717</v>
      </c>
      <c r="F7701" s="76">
        <v>34</v>
      </c>
      <c r="G7701" s="57" t="s">
        <v>13819</v>
      </c>
      <c r="H7701" s="57" t="s">
        <v>13816</v>
      </c>
    </row>
    <row r="7702" spans="2:8" ht="13.5" customHeight="1">
      <c r="B7702" s="9" t="s">
        <v>13651</v>
      </c>
      <c r="D7702" s="9" t="s">
        <v>13718</v>
      </c>
      <c r="F7702" s="76">
        <v>45</v>
      </c>
      <c r="G7702" s="57" t="s">
        <v>13819</v>
      </c>
      <c r="H7702" s="57" t="s">
        <v>13816</v>
      </c>
    </row>
    <row r="7703" spans="2:8" ht="13.5" customHeight="1">
      <c r="B7703" s="9" t="s">
        <v>13652</v>
      </c>
      <c r="D7703" s="9" t="s">
        <v>13719</v>
      </c>
      <c r="F7703" s="76">
        <v>48</v>
      </c>
      <c r="G7703" s="57" t="s">
        <v>13819</v>
      </c>
      <c r="H7703" s="57" t="s">
        <v>13816</v>
      </c>
    </row>
    <row r="7704" spans="2:8" ht="13.5" customHeight="1">
      <c r="B7704" s="9" t="s">
        <v>11670</v>
      </c>
      <c r="D7704" s="9" t="s">
        <v>13720</v>
      </c>
      <c r="F7704" s="76">
        <v>52</v>
      </c>
      <c r="G7704" s="57" t="s">
        <v>13819</v>
      </c>
      <c r="H7704" s="57" t="s">
        <v>13816</v>
      </c>
    </row>
    <row r="7705" spans="2:8" ht="13.5" customHeight="1">
      <c r="B7705" s="9" t="s">
        <v>11325</v>
      </c>
      <c r="D7705" s="9" t="s">
        <v>13721</v>
      </c>
      <c r="F7705" s="76">
        <v>62</v>
      </c>
      <c r="G7705" s="57" t="s">
        <v>13819</v>
      </c>
      <c r="H7705" s="57" t="s">
        <v>13816</v>
      </c>
    </row>
    <row r="7706" spans="2:8" ht="13.5" customHeight="1">
      <c r="B7706" s="9" t="s">
        <v>13653</v>
      </c>
      <c r="D7706" s="9" t="s">
        <v>13722</v>
      </c>
      <c r="F7706" s="76">
        <v>86</v>
      </c>
      <c r="G7706" s="57" t="s">
        <v>13819</v>
      </c>
      <c r="H7706" s="57" t="s">
        <v>13816</v>
      </c>
    </row>
    <row r="7707" spans="2:8" ht="13.5" customHeight="1">
      <c r="B7707" s="9" t="s">
        <v>13654</v>
      </c>
      <c r="D7707" s="9" t="s">
        <v>13723</v>
      </c>
      <c r="F7707" s="76">
        <v>122</v>
      </c>
      <c r="G7707" s="57" t="s">
        <v>13819</v>
      </c>
      <c r="H7707" s="57" t="s">
        <v>13816</v>
      </c>
    </row>
    <row r="7708" spans="2:8" ht="13.5" customHeight="1">
      <c r="B7708" s="9" t="s">
        <v>13655</v>
      </c>
      <c r="D7708" s="9" t="s">
        <v>13724</v>
      </c>
      <c r="F7708" s="76">
        <v>560</v>
      </c>
      <c r="G7708" s="57" t="s">
        <v>13819</v>
      </c>
      <c r="H7708" s="57" t="s">
        <v>13816</v>
      </c>
    </row>
    <row r="7709" spans="2:8" ht="13.5" customHeight="1">
      <c r="B7709" s="9" t="s">
        <v>13656</v>
      </c>
      <c r="D7709" s="9" t="s">
        <v>3707</v>
      </c>
      <c r="F7709" s="76">
        <v>9</v>
      </c>
      <c r="G7709" s="57" t="s">
        <v>13819</v>
      </c>
      <c r="H7709" s="57" t="s">
        <v>13817</v>
      </c>
    </row>
    <row r="7710" spans="2:8" ht="13.5" customHeight="1">
      <c r="B7710" s="9" t="s">
        <v>13657</v>
      </c>
      <c r="D7710" s="9" t="s">
        <v>13725</v>
      </c>
      <c r="F7710" s="76">
        <v>1</v>
      </c>
      <c r="G7710" s="57" t="s">
        <v>13819</v>
      </c>
      <c r="H7710" s="57" t="s">
        <v>13818</v>
      </c>
    </row>
    <row r="7711" spans="2:8" ht="13.5" customHeight="1">
      <c r="B7711" s="9" t="s">
        <v>13658</v>
      </c>
      <c r="D7711" s="9" t="s">
        <v>13726</v>
      </c>
      <c r="F7711" s="76">
        <v>1</v>
      </c>
      <c r="G7711" s="57" t="s">
        <v>13819</v>
      </c>
      <c r="H7711" s="57" t="s">
        <v>13818</v>
      </c>
    </row>
    <row r="7712" spans="2:8" ht="13.5" customHeight="1">
      <c r="B7712" s="9" t="s">
        <v>13659</v>
      </c>
      <c r="D7712" s="9" t="s">
        <v>13727</v>
      </c>
      <c r="F7712" s="76">
        <v>1</v>
      </c>
      <c r="G7712" s="57" t="s">
        <v>13819</v>
      </c>
      <c r="H7712" s="57" t="s">
        <v>13818</v>
      </c>
    </row>
    <row r="7713" spans="2:8" ht="13.5" customHeight="1">
      <c r="B7713" s="9" t="s">
        <v>13660</v>
      </c>
      <c r="D7713" s="9" t="s">
        <v>13728</v>
      </c>
      <c r="F7713" s="76">
        <v>1</v>
      </c>
      <c r="G7713" s="57" t="s">
        <v>13819</v>
      </c>
      <c r="H7713" s="57" t="s">
        <v>13818</v>
      </c>
    </row>
    <row r="7714" spans="2:8" ht="13.5" customHeight="1">
      <c r="B7714" s="9" t="s">
        <v>13661</v>
      </c>
      <c r="D7714" s="9" t="s">
        <v>13729</v>
      </c>
      <c r="F7714" s="76">
        <v>1</v>
      </c>
      <c r="G7714" s="57" t="s">
        <v>13819</v>
      </c>
      <c r="H7714" s="57" t="s">
        <v>13818</v>
      </c>
    </row>
    <row r="7715" spans="2:8" ht="13.5" customHeight="1">
      <c r="B7715" s="9" t="s">
        <v>13662</v>
      </c>
      <c r="D7715" s="9" t="s">
        <v>13730</v>
      </c>
      <c r="F7715" s="76">
        <v>1</v>
      </c>
      <c r="G7715" s="57" t="s">
        <v>13819</v>
      </c>
      <c r="H7715" s="57" t="s">
        <v>13818</v>
      </c>
    </row>
    <row r="7716" spans="2:8" ht="13.5" customHeight="1">
      <c r="B7716" s="9" t="s">
        <v>13663</v>
      </c>
      <c r="D7716" s="9" t="s">
        <v>13731</v>
      </c>
      <c r="F7716" s="76">
        <v>2</v>
      </c>
      <c r="G7716" s="57" t="s">
        <v>13819</v>
      </c>
      <c r="H7716" s="57" t="s">
        <v>13818</v>
      </c>
    </row>
    <row r="7717" spans="2:8" ht="13.5" customHeight="1">
      <c r="B7717" s="9" t="s">
        <v>13664</v>
      </c>
      <c r="D7717" s="9" t="s">
        <v>13732</v>
      </c>
      <c r="F7717" s="76">
        <v>2</v>
      </c>
      <c r="G7717" s="57" t="s">
        <v>13819</v>
      </c>
      <c r="H7717" s="57" t="s">
        <v>13818</v>
      </c>
    </row>
    <row r="7718" spans="2:8" ht="13.5" customHeight="1">
      <c r="B7718" s="9" t="s">
        <v>13665</v>
      </c>
      <c r="D7718" s="9" t="s">
        <v>13733</v>
      </c>
      <c r="F7718" s="76">
        <v>2</v>
      </c>
      <c r="G7718" s="57" t="s">
        <v>13819</v>
      </c>
      <c r="H7718" s="57" t="s">
        <v>13818</v>
      </c>
    </row>
    <row r="7719" spans="2:8" ht="13.5" customHeight="1">
      <c r="B7719" s="9" t="s">
        <v>13666</v>
      </c>
      <c r="D7719" s="9" t="s">
        <v>13734</v>
      </c>
      <c r="F7719" s="76">
        <v>2</v>
      </c>
      <c r="G7719" s="57" t="s">
        <v>13819</v>
      </c>
      <c r="H7719" s="57" t="s">
        <v>13818</v>
      </c>
    </row>
    <row r="7720" spans="2:8" ht="13.5" customHeight="1">
      <c r="B7720" s="9" t="s">
        <v>13667</v>
      </c>
      <c r="D7720" s="9" t="s">
        <v>13735</v>
      </c>
      <c r="F7720" s="76">
        <v>2</v>
      </c>
      <c r="G7720" s="57" t="s">
        <v>13819</v>
      </c>
      <c r="H7720" s="57" t="s">
        <v>13818</v>
      </c>
    </row>
    <row r="7721" spans="2:8" ht="13.5" customHeight="1">
      <c r="B7721" s="9" t="s">
        <v>13668</v>
      </c>
      <c r="D7721" s="9" t="s">
        <v>13736</v>
      </c>
      <c r="F7721" s="76">
        <v>2</v>
      </c>
      <c r="G7721" s="57" t="s">
        <v>13819</v>
      </c>
      <c r="H7721" s="57" t="s">
        <v>13818</v>
      </c>
    </row>
    <row r="7722" spans="2:8" ht="13.5" customHeight="1">
      <c r="B7722" s="9" t="s">
        <v>13669</v>
      </c>
      <c r="D7722" s="9" t="s">
        <v>13737</v>
      </c>
      <c r="F7722" s="76">
        <v>2</v>
      </c>
      <c r="G7722" s="57" t="s">
        <v>13819</v>
      </c>
      <c r="H7722" s="57" t="s">
        <v>13818</v>
      </c>
    </row>
    <row r="7723" spans="2:8" ht="13.5" customHeight="1">
      <c r="B7723" s="9" t="s">
        <v>13670</v>
      </c>
      <c r="D7723" s="9" t="s">
        <v>13738</v>
      </c>
      <c r="F7723" s="76">
        <v>2</v>
      </c>
      <c r="G7723" s="57" t="s">
        <v>13819</v>
      </c>
      <c r="H7723" s="57" t="s">
        <v>13818</v>
      </c>
    </row>
    <row r="7724" spans="2:8" ht="13.5" customHeight="1">
      <c r="B7724" s="9" t="s">
        <v>13671</v>
      </c>
      <c r="D7724" s="9" t="s">
        <v>13739</v>
      </c>
      <c r="F7724" s="76">
        <v>2</v>
      </c>
      <c r="G7724" s="57" t="s">
        <v>13819</v>
      </c>
      <c r="H7724" s="57" t="s">
        <v>13818</v>
      </c>
    </row>
    <row r="7725" spans="2:8" ht="13.5" customHeight="1">
      <c r="B7725" s="9" t="s">
        <v>13672</v>
      </c>
      <c r="D7725" s="9" t="s">
        <v>13740</v>
      </c>
      <c r="F7725" s="76">
        <v>3</v>
      </c>
      <c r="G7725" s="57" t="s">
        <v>13819</v>
      </c>
      <c r="H7725" s="57" t="s">
        <v>13818</v>
      </c>
    </row>
    <row r="7726" spans="2:8" ht="13.5" customHeight="1">
      <c r="B7726" s="9" t="s">
        <v>13673</v>
      </c>
      <c r="D7726" s="9" t="s">
        <v>13741</v>
      </c>
      <c r="F7726" s="76">
        <v>3</v>
      </c>
      <c r="G7726" s="57" t="s">
        <v>13819</v>
      </c>
      <c r="H7726" s="57" t="s">
        <v>13818</v>
      </c>
    </row>
    <row r="7727" spans="2:8" ht="13.5" customHeight="1">
      <c r="B7727" s="9" t="s">
        <v>13674</v>
      </c>
      <c r="D7727" s="9" t="s">
        <v>13742</v>
      </c>
      <c r="F7727" s="76">
        <v>3</v>
      </c>
      <c r="G7727" s="57" t="s">
        <v>13819</v>
      </c>
      <c r="H7727" s="57" t="s">
        <v>13818</v>
      </c>
    </row>
    <row r="7728" spans="2:8" ht="13.5" customHeight="1">
      <c r="B7728" s="9" t="s">
        <v>13675</v>
      </c>
      <c r="D7728" s="9" t="s">
        <v>13743</v>
      </c>
      <c r="F7728" s="76">
        <v>3</v>
      </c>
      <c r="G7728" s="57" t="s">
        <v>13819</v>
      </c>
      <c r="H7728" s="57" t="s">
        <v>13818</v>
      </c>
    </row>
    <row r="7729" spans="2:8" ht="13.5" customHeight="1">
      <c r="B7729" s="9" t="s">
        <v>13676</v>
      </c>
      <c r="D7729" s="9" t="s">
        <v>13744</v>
      </c>
      <c r="F7729" s="76">
        <v>4</v>
      </c>
      <c r="G7729" s="57" t="s">
        <v>13819</v>
      </c>
      <c r="H7729" s="57" t="s">
        <v>13818</v>
      </c>
    </row>
    <row r="7730" spans="2:8" ht="13.5" customHeight="1">
      <c r="B7730" s="9" t="s">
        <v>13677</v>
      </c>
      <c r="D7730" s="9" t="s">
        <v>13745</v>
      </c>
      <c r="F7730" s="76">
        <v>5</v>
      </c>
      <c r="G7730" s="57" t="s">
        <v>13819</v>
      </c>
      <c r="H7730" s="57" t="s">
        <v>13818</v>
      </c>
    </row>
    <row r="7731" spans="2:8" ht="13.5" customHeight="1">
      <c r="B7731" s="9" t="s">
        <v>13678</v>
      </c>
      <c r="D7731" s="9" t="s">
        <v>13746</v>
      </c>
      <c r="F7731" s="76">
        <v>5</v>
      </c>
      <c r="G7731" s="57" t="s">
        <v>13819</v>
      </c>
      <c r="H7731" s="57" t="s">
        <v>13818</v>
      </c>
    </row>
    <row r="7732" spans="2:8" ht="13.5" customHeight="1">
      <c r="B7732" s="9" t="s">
        <v>13679</v>
      </c>
      <c r="D7732" s="9" t="s">
        <v>13747</v>
      </c>
      <c r="F7732" s="76">
        <v>5</v>
      </c>
      <c r="G7732" s="57" t="s">
        <v>13819</v>
      </c>
      <c r="H7732" s="57" t="s">
        <v>13818</v>
      </c>
    </row>
    <row r="7733" spans="2:8" ht="13.5" customHeight="1">
      <c r="B7733" s="9" t="s">
        <v>13680</v>
      </c>
      <c r="D7733" s="9" t="s">
        <v>13748</v>
      </c>
      <c r="F7733" s="76">
        <v>9</v>
      </c>
      <c r="G7733" s="57" t="s">
        <v>13819</v>
      </c>
      <c r="H7733" s="57" t="s">
        <v>13818</v>
      </c>
    </row>
    <row r="7734" spans="2:8" ht="13.5" customHeight="1">
      <c r="B7734" s="9" t="s">
        <v>13681</v>
      </c>
      <c r="D7734" s="9" t="s">
        <v>13749</v>
      </c>
      <c r="F7734" s="76">
        <v>9</v>
      </c>
      <c r="G7734" s="57" t="s">
        <v>13819</v>
      </c>
      <c r="H7734" s="57" t="s">
        <v>13818</v>
      </c>
    </row>
    <row r="7735" spans="2:8" ht="13.5" customHeight="1">
      <c r="B7735" s="9" t="s">
        <v>12158</v>
      </c>
      <c r="D7735" s="9" t="s">
        <v>13750</v>
      </c>
      <c r="F7735" s="76">
        <v>9</v>
      </c>
      <c r="G7735" s="57" t="s">
        <v>13819</v>
      </c>
      <c r="H7735" s="57" t="s">
        <v>13818</v>
      </c>
    </row>
    <row r="7736" spans="2:8" ht="13.5" customHeight="1">
      <c r="B7736" s="9" t="s">
        <v>13682</v>
      </c>
      <c r="D7736" s="9" t="s">
        <v>13751</v>
      </c>
      <c r="F7736" s="76">
        <v>12</v>
      </c>
      <c r="G7736" s="57" t="s">
        <v>13819</v>
      </c>
      <c r="H7736" s="57" t="s">
        <v>13818</v>
      </c>
    </row>
    <row r="7737" spans="2:8" ht="13.5" customHeight="1">
      <c r="B7737" s="208" t="s">
        <v>13820</v>
      </c>
      <c r="D7737" s="208" t="s">
        <v>14424</v>
      </c>
      <c r="F7737" s="57">
        <v>57210</v>
      </c>
      <c r="G7737" s="57" t="s">
        <v>15169</v>
      </c>
      <c r="H7737" s="76" t="s">
        <v>15039</v>
      </c>
    </row>
    <row r="7738" spans="2:8" ht="13.5" customHeight="1">
      <c r="B7738" s="209" t="s">
        <v>5570</v>
      </c>
      <c r="D7738" s="208" t="s">
        <v>4935</v>
      </c>
      <c r="F7738" s="57">
        <v>17603</v>
      </c>
      <c r="G7738" s="57" t="s">
        <v>15169</v>
      </c>
      <c r="H7738" s="76" t="s">
        <v>15040</v>
      </c>
    </row>
    <row r="7739" spans="2:8" ht="13.5" customHeight="1">
      <c r="B7739" s="209" t="s">
        <v>13821</v>
      </c>
      <c r="D7739" s="208" t="s">
        <v>14425</v>
      </c>
      <c r="F7739" s="57">
        <v>14631</v>
      </c>
      <c r="G7739" s="57" t="s">
        <v>15169</v>
      </c>
      <c r="H7739" s="76" t="s">
        <v>15039</v>
      </c>
    </row>
    <row r="7740" spans="2:8" ht="13.5" customHeight="1">
      <c r="B7740" s="209" t="s">
        <v>13822</v>
      </c>
      <c r="D7740" s="208" t="s">
        <v>14426</v>
      </c>
      <c r="F7740" s="57">
        <v>91</v>
      </c>
      <c r="G7740" s="57" t="s">
        <v>15169</v>
      </c>
      <c r="H7740" s="76" t="s">
        <v>15039</v>
      </c>
    </row>
    <row r="7741" spans="2:8" ht="13.5" customHeight="1">
      <c r="B7741" s="209" t="s">
        <v>13823</v>
      </c>
      <c r="D7741" s="208" t="s">
        <v>14427</v>
      </c>
      <c r="F7741" s="57">
        <v>8916</v>
      </c>
      <c r="G7741" s="57" t="s">
        <v>15169</v>
      </c>
      <c r="H7741" s="76" t="s">
        <v>15040</v>
      </c>
    </row>
    <row r="7742" spans="2:8" ht="13.5" customHeight="1">
      <c r="B7742" s="209" t="s">
        <v>13824</v>
      </c>
      <c r="D7742" s="208" t="s">
        <v>14428</v>
      </c>
      <c r="F7742" s="57">
        <v>342</v>
      </c>
      <c r="G7742" s="57" t="s">
        <v>15169</v>
      </c>
      <c r="H7742" s="76" t="s">
        <v>15040</v>
      </c>
    </row>
    <row r="7743" spans="2:8" ht="13.5" customHeight="1">
      <c r="B7743" s="209" t="s">
        <v>13825</v>
      </c>
      <c r="D7743" s="208" t="s">
        <v>14429</v>
      </c>
      <c r="F7743" s="57">
        <v>7510</v>
      </c>
      <c r="G7743" s="57" t="s">
        <v>15169</v>
      </c>
      <c r="H7743" s="76" t="s">
        <v>15039</v>
      </c>
    </row>
    <row r="7744" spans="2:8" ht="13.5" customHeight="1">
      <c r="B7744" s="209" t="s">
        <v>13826</v>
      </c>
      <c r="D7744" s="208" t="s">
        <v>14430</v>
      </c>
      <c r="F7744" s="57">
        <v>9605</v>
      </c>
      <c r="G7744" s="57" t="s">
        <v>15169</v>
      </c>
      <c r="H7744" s="76" t="s">
        <v>15039</v>
      </c>
    </row>
    <row r="7745" spans="2:8" ht="13.5" customHeight="1">
      <c r="B7745" s="209" t="s">
        <v>13827</v>
      </c>
      <c r="D7745" s="225" t="s">
        <v>14431</v>
      </c>
      <c r="F7745" s="57">
        <v>2783</v>
      </c>
      <c r="G7745" s="57" t="s">
        <v>15169</v>
      </c>
      <c r="H7745" s="76" t="s">
        <v>15039</v>
      </c>
    </row>
    <row r="7746" spans="2:8" ht="13.5" customHeight="1">
      <c r="B7746" s="209" t="s">
        <v>13828</v>
      </c>
      <c r="D7746" s="208" t="s">
        <v>14432</v>
      </c>
      <c r="F7746" s="57">
        <v>1399</v>
      </c>
      <c r="G7746" s="57" t="s">
        <v>15169</v>
      </c>
      <c r="H7746" s="76" t="s">
        <v>15040</v>
      </c>
    </row>
    <row r="7747" spans="2:8" ht="13.5" customHeight="1">
      <c r="B7747" s="209" t="s">
        <v>13829</v>
      </c>
      <c r="D7747" s="208" t="s">
        <v>14433</v>
      </c>
      <c r="F7747" s="57">
        <v>282</v>
      </c>
      <c r="G7747" s="57" t="s">
        <v>15169</v>
      </c>
      <c r="H7747" s="76" t="s">
        <v>15041</v>
      </c>
    </row>
    <row r="7748" spans="2:8" ht="13.5" customHeight="1">
      <c r="B7748" s="209" t="s">
        <v>13830</v>
      </c>
      <c r="D7748" s="208" t="s">
        <v>14434</v>
      </c>
      <c r="F7748" s="57">
        <v>16</v>
      </c>
      <c r="G7748" s="57" t="s">
        <v>15169</v>
      </c>
      <c r="H7748" s="76" t="s">
        <v>15041</v>
      </c>
    </row>
    <row r="7749" spans="2:8" ht="13.5" customHeight="1">
      <c r="B7749" s="209" t="s">
        <v>13831</v>
      </c>
      <c r="D7749" s="208" t="s">
        <v>14435</v>
      </c>
      <c r="F7749" s="57">
        <v>4207</v>
      </c>
      <c r="G7749" s="57" t="s">
        <v>15169</v>
      </c>
      <c r="H7749" s="76" t="s">
        <v>15040</v>
      </c>
    </row>
    <row r="7750" spans="2:8" ht="13.5" customHeight="1">
      <c r="B7750" s="209" t="s">
        <v>13832</v>
      </c>
      <c r="D7750" s="208" t="s">
        <v>6923</v>
      </c>
      <c r="F7750" s="57">
        <v>498</v>
      </c>
      <c r="G7750" s="57" t="s">
        <v>15169</v>
      </c>
      <c r="H7750" s="76" t="s">
        <v>15042</v>
      </c>
    </row>
    <row r="7751" spans="2:8" ht="13.5" customHeight="1">
      <c r="B7751" s="209" t="s">
        <v>13833</v>
      </c>
      <c r="D7751" s="208" t="s">
        <v>13186</v>
      </c>
      <c r="F7751" s="57">
        <v>35</v>
      </c>
      <c r="G7751" s="57" t="s">
        <v>15169</v>
      </c>
      <c r="H7751" s="76" t="s">
        <v>15040</v>
      </c>
    </row>
    <row r="7752" spans="2:8" ht="13.5" customHeight="1">
      <c r="B7752" s="209" t="s">
        <v>13834</v>
      </c>
      <c r="D7752" s="208" t="s">
        <v>14436</v>
      </c>
      <c r="F7752" s="57">
        <v>1715</v>
      </c>
      <c r="G7752" s="57" t="s">
        <v>15169</v>
      </c>
      <c r="H7752" s="76" t="s">
        <v>15040</v>
      </c>
    </row>
    <row r="7753" spans="2:8" ht="13.5" customHeight="1">
      <c r="B7753" s="209" t="s">
        <v>13835</v>
      </c>
      <c r="D7753" s="208" t="s">
        <v>14437</v>
      </c>
      <c r="F7753" s="57">
        <v>976</v>
      </c>
      <c r="G7753" s="57" t="s">
        <v>15169</v>
      </c>
      <c r="H7753" s="76" t="s">
        <v>15043</v>
      </c>
    </row>
    <row r="7754" spans="2:8" ht="13.5" customHeight="1">
      <c r="B7754" s="209" t="s">
        <v>13836</v>
      </c>
      <c r="D7754" s="208" t="s">
        <v>14438</v>
      </c>
      <c r="F7754" s="57">
        <v>246</v>
      </c>
      <c r="G7754" s="57" t="s">
        <v>15169</v>
      </c>
      <c r="H7754" s="76" t="s">
        <v>15043</v>
      </c>
    </row>
    <row r="7755" spans="2:8" ht="13.5" customHeight="1">
      <c r="B7755" s="209" t="s">
        <v>13837</v>
      </c>
      <c r="D7755" s="208" t="s">
        <v>6930</v>
      </c>
      <c r="F7755" s="57">
        <v>712</v>
      </c>
      <c r="G7755" s="57" t="s">
        <v>15169</v>
      </c>
      <c r="H7755" s="76" t="s">
        <v>15043</v>
      </c>
    </row>
    <row r="7756" spans="2:8" ht="13.5" customHeight="1">
      <c r="B7756" s="209" t="s">
        <v>13838</v>
      </c>
      <c r="D7756" s="208" t="s">
        <v>14439</v>
      </c>
      <c r="F7756" s="57">
        <v>480</v>
      </c>
      <c r="G7756" s="57" t="s">
        <v>15169</v>
      </c>
      <c r="H7756" s="76" t="s">
        <v>15043</v>
      </c>
    </row>
    <row r="7757" spans="2:8" ht="13.5" customHeight="1">
      <c r="B7757" s="209" t="s">
        <v>13839</v>
      </c>
      <c r="D7757" s="208" t="s">
        <v>14440</v>
      </c>
      <c r="F7757" s="57">
        <v>3624</v>
      </c>
      <c r="G7757" s="57" t="s">
        <v>15169</v>
      </c>
      <c r="H7757" s="76" t="s">
        <v>15044</v>
      </c>
    </row>
    <row r="7758" spans="2:8" ht="13.5" customHeight="1">
      <c r="B7758" s="209" t="s">
        <v>13840</v>
      </c>
      <c r="D7758" s="208" t="s">
        <v>14441</v>
      </c>
      <c r="F7758" s="57">
        <v>512</v>
      </c>
      <c r="G7758" s="57" t="s">
        <v>15169</v>
      </c>
      <c r="H7758" s="76" t="s">
        <v>15044</v>
      </c>
    </row>
    <row r="7759" spans="2:8" ht="13.5" customHeight="1">
      <c r="B7759" s="209" t="s">
        <v>13841</v>
      </c>
      <c r="D7759" s="208" t="s">
        <v>14442</v>
      </c>
      <c r="F7759" s="57">
        <v>405</v>
      </c>
      <c r="G7759" s="57" t="s">
        <v>15169</v>
      </c>
      <c r="H7759" s="76" t="s">
        <v>15044</v>
      </c>
    </row>
    <row r="7760" spans="2:8" ht="13.5" customHeight="1">
      <c r="B7760" s="209" t="s">
        <v>13842</v>
      </c>
      <c r="D7760" s="208" t="s">
        <v>14443</v>
      </c>
      <c r="F7760" s="57">
        <v>2</v>
      </c>
      <c r="G7760" s="57" t="s">
        <v>15169</v>
      </c>
      <c r="H7760" s="76" t="s">
        <v>15045</v>
      </c>
    </row>
    <row r="7761" spans="2:8" ht="13.5" customHeight="1">
      <c r="B7761" s="209" t="s">
        <v>13843</v>
      </c>
      <c r="D7761" s="208" t="s">
        <v>14444</v>
      </c>
      <c r="F7761" s="57">
        <v>18456</v>
      </c>
      <c r="G7761" s="57" t="s">
        <v>15169</v>
      </c>
      <c r="H7761" s="76" t="s">
        <v>15045</v>
      </c>
    </row>
    <row r="7762" spans="2:8" ht="13.5" customHeight="1">
      <c r="B7762" s="209" t="s">
        <v>13844</v>
      </c>
      <c r="D7762" s="208" t="s">
        <v>14445</v>
      </c>
      <c r="F7762" s="57">
        <v>271</v>
      </c>
      <c r="G7762" s="57" t="s">
        <v>15169</v>
      </c>
      <c r="H7762" s="76" t="s">
        <v>15043</v>
      </c>
    </row>
    <row r="7763" spans="2:8" ht="13.5" customHeight="1">
      <c r="B7763" s="210" t="s">
        <v>13845</v>
      </c>
      <c r="D7763" s="226" t="s">
        <v>14446</v>
      </c>
      <c r="F7763" s="57">
        <v>6</v>
      </c>
      <c r="G7763" s="57" t="s">
        <v>15169</v>
      </c>
      <c r="H7763" s="76" t="s">
        <v>15046</v>
      </c>
    </row>
    <row r="7764" spans="2:8" ht="13.5" customHeight="1">
      <c r="B7764" s="209" t="s">
        <v>13846</v>
      </c>
      <c r="D7764" s="208" t="s">
        <v>6936</v>
      </c>
      <c r="F7764" s="57">
        <v>346</v>
      </c>
      <c r="G7764" s="57" t="s">
        <v>15169</v>
      </c>
      <c r="H7764" s="76" t="s">
        <v>15045</v>
      </c>
    </row>
    <row r="7765" spans="2:8" ht="13.5" customHeight="1">
      <c r="B7765" s="209" t="s">
        <v>13847</v>
      </c>
      <c r="D7765" s="208" t="s">
        <v>14447</v>
      </c>
      <c r="F7765" s="57">
        <v>2277</v>
      </c>
      <c r="G7765" s="57" t="s">
        <v>15169</v>
      </c>
      <c r="H7765" s="76" t="s">
        <v>15047</v>
      </c>
    </row>
    <row r="7766" spans="2:8" ht="13.5" customHeight="1">
      <c r="B7766" s="209" t="s">
        <v>13848</v>
      </c>
      <c r="D7766" s="208" t="s">
        <v>14448</v>
      </c>
      <c r="F7766" s="57">
        <v>30</v>
      </c>
      <c r="G7766" s="57" t="s">
        <v>15169</v>
      </c>
      <c r="H7766" s="76" t="s">
        <v>15048</v>
      </c>
    </row>
    <row r="7767" spans="2:8" ht="13.5" customHeight="1">
      <c r="B7767" s="209" t="s">
        <v>13849</v>
      </c>
      <c r="D7767" s="208" t="s">
        <v>14449</v>
      </c>
      <c r="F7767" s="57">
        <v>9</v>
      </c>
      <c r="G7767" s="57" t="s">
        <v>15169</v>
      </c>
      <c r="H7767" s="76" t="s">
        <v>15046</v>
      </c>
    </row>
    <row r="7768" spans="2:8" ht="13.5" customHeight="1">
      <c r="B7768" s="209" t="s">
        <v>13850</v>
      </c>
      <c r="D7768" s="208" t="s">
        <v>8679</v>
      </c>
      <c r="F7768" s="57">
        <v>2</v>
      </c>
      <c r="G7768" s="57" t="s">
        <v>15169</v>
      </c>
      <c r="H7768" s="76" t="s">
        <v>15046</v>
      </c>
    </row>
    <row r="7769" spans="2:8" ht="13.5" customHeight="1">
      <c r="B7769" s="209" t="s">
        <v>13851</v>
      </c>
      <c r="D7769" s="208" t="s">
        <v>14450</v>
      </c>
      <c r="F7769" s="57">
        <v>30</v>
      </c>
      <c r="G7769" s="57" t="s">
        <v>15169</v>
      </c>
      <c r="H7769" s="76" t="s">
        <v>15046</v>
      </c>
    </row>
    <row r="7770" spans="2:8" ht="13.5" customHeight="1">
      <c r="B7770" s="209" t="s">
        <v>13852</v>
      </c>
      <c r="D7770" s="208" t="s">
        <v>14451</v>
      </c>
      <c r="F7770" s="57">
        <v>633</v>
      </c>
      <c r="G7770" s="57" t="s">
        <v>15169</v>
      </c>
      <c r="H7770" s="76" t="s">
        <v>15046</v>
      </c>
    </row>
    <row r="7771" spans="2:8" ht="13.5" customHeight="1">
      <c r="B7771" s="209" t="s">
        <v>13853</v>
      </c>
      <c r="D7771" s="208" t="s">
        <v>14452</v>
      </c>
      <c r="F7771" s="57">
        <v>76</v>
      </c>
      <c r="G7771" s="57" t="s">
        <v>15169</v>
      </c>
      <c r="H7771" s="76" t="s">
        <v>15046</v>
      </c>
    </row>
    <row r="7772" spans="2:8" ht="13.5" customHeight="1">
      <c r="B7772" s="209" t="s">
        <v>13854</v>
      </c>
      <c r="D7772" s="208" t="s">
        <v>14453</v>
      </c>
      <c r="F7772" s="57">
        <v>3110</v>
      </c>
      <c r="G7772" s="57" t="s">
        <v>15169</v>
      </c>
      <c r="H7772" s="76" t="s">
        <v>15049</v>
      </c>
    </row>
    <row r="7773" spans="2:8" ht="13.5" customHeight="1">
      <c r="B7773" s="209" t="s">
        <v>13855</v>
      </c>
      <c r="D7773" s="208" t="s">
        <v>14454</v>
      </c>
      <c r="F7773" s="57">
        <v>8</v>
      </c>
      <c r="G7773" s="57" t="s">
        <v>15169</v>
      </c>
      <c r="H7773" s="76" t="s">
        <v>15049</v>
      </c>
    </row>
    <row r="7774" spans="2:8" ht="13.5" customHeight="1">
      <c r="B7774" s="209" t="s">
        <v>13856</v>
      </c>
      <c r="D7774" s="208" t="s">
        <v>14455</v>
      </c>
      <c r="F7774" s="57">
        <v>7300</v>
      </c>
      <c r="G7774" s="57" t="s">
        <v>15169</v>
      </c>
      <c r="H7774" s="76" t="s">
        <v>15049</v>
      </c>
    </row>
    <row r="7775" spans="2:8" ht="13.5" customHeight="1">
      <c r="B7775" s="209" t="s">
        <v>13857</v>
      </c>
      <c r="D7775" s="208" t="s">
        <v>14456</v>
      </c>
      <c r="F7775" s="57">
        <v>310</v>
      </c>
      <c r="G7775" s="57" t="s">
        <v>15169</v>
      </c>
      <c r="H7775" s="76" t="s">
        <v>15049</v>
      </c>
    </row>
    <row r="7776" spans="2:8" ht="13.5" customHeight="1">
      <c r="B7776" s="209" t="s">
        <v>13858</v>
      </c>
      <c r="D7776" s="208" t="s">
        <v>3074</v>
      </c>
      <c r="F7776" s="57">
        <v>52379</v>
      </c>
      <c r="G7776" s="57" t="s">
        <v>15169</v>
      </c>
      <c r="H7776" s="76" t="s">
        <v>15039</v>
      </c>
    </row>
    <row r="7777" spans="2:8" ht="13.5" customHeight="1">
      <c r="B7777" s="209" t="s">
        <v>13859</v>
      </c>
      <c r="D7777" s="208" t="s">
        <v>14457</v>
      </c>
      <c r="F7777" s="57">
        <v>404</v>
      </c>
      <c r="G7777" s="57" t="s">
        <v>15169</v>
      </c>
      <c r="H7777" s="76" t="s">
        <v>15043</v>
      </c>
    </row>
    <row r="7778" spans="2:8" ht="13.5" customHeight="1">
      <c r="B7778" s="209" t="s">
        <v>13860</v>
      </c>
      <c r="D7778" s="208" t="s">
        <v>6857</v>
      </c>
      <c r="F7778" s="57">
        <v>40</v>
      </c>
      <c r="G7778" s="57" t="s">
        <v>15169</v>
      </c>
      <c r="H7778" s="76" t="s">
        <v>15050</v>
      </c>
    </row>
    <row r="7779" spans="2:8" ht="13.5" customHeight="1">
      <c r="B7779" s="209" t="s">
        <v>13861</v>
      </c>
      <c r="D7779" s="208" t="s">
        <v>14458</v>
      </c>
      <c r="F7779" s="57">
        <v>7055</v>
      </c>
      <c r="G7779" s="57" t="s">
        <v>15169</v>
      </c>
      <c r="H7779" s="76" t="s">
        <v>15039</v>
      </c>
    </row>
    <row r="7780" spans="2:8" ht="13.5" customHeight="1">
      <c r="B7780" s="209" t="s">
        <v>3403</v>
      </c>
      <c r="D7780" s="208" t="s">
        <v>14459</v>
      </c>
      <c r="F7780" s="57">
        <v>1493</v>
      </c>
      <c r="G7780" s="57" t="s">
        <v>15169</v>
      </c>
      <c r="H7780" s="76" t="s">
        <v>15051</v>
      </c>
    </row>
    <row r="7781" spans="2:8" ht="13.5" customHeight="1">
      <c r="B7781" s="209" t="s">
        <v>13862</v>
      </c>
      <c r="D7781" s="208" t="s">
        <v>3070</v>
      </c>
      <c r="F7781" s="57">
        <v>94253</v>
      </c>
      <c r="G7781" s="57" t="s">
        <v>15169</v>
      </c>
      <c r="H7781" s="76" t="s">
        <v>15039</v>
      </c>
    </row>
    <row r="7782" spans="2:8" ht="13.5" customHeight="1">
      <c r="B7782" s="209" t="s">
        <v>13863</v>
      </c>
      <c r="D7782" s="208" t="s">
        <v>5667</v>
      </c>
      <c r="F7782" s="57">
        <v>42816</v>
      </c>
      <c r="G7782" s="57" t="s">
        <v>15169</v>
      </c>
      <c r="H7782" s="76" t="s">
        <v>15039</v>
      </c>
    </row>
    <row r="7783" spans="2:8" ht="13.5" customHeight="1">
      <c r="B7783" s="209" t="s">
        <v>13864</v>
      </c>
      <c r="D7783" s="208" t="s">
        <v>14460</v>
      </c>
      <c r="F7783" s="57">
        <v>11389</v>
      </c>
      <c r="G7783" s="57" t="s">
        <v>15169</v>
      </c>
      <c r="H7783" s="76" t="s">
        <v>15039</v>
      </c>
    </row>
    <row r="7784" spans="2:8" ht="13.5" customHeight="1">
      <c r="B7784" s="209" t="s">
        <v>13865</v>
      </c>
      <c r="D7784" s="208" t="s">
        <v>14461</v>
      </c>
      <c r="F7784" s="57">
        <v>55352</v>
      </c>
      <c r="G7784" s="57" t="s">
        <v>15169</v>
      </c>
      <c r="H7784" s="76" t="s">
        <v>15052</v>
      </c>
    </row>
    <row r="7785" spans="2:8" ht="13.5" customHeight="1">
      <c r="B7785" s="209" t="s">
        <v>13866</v>
      </c>
      <c r="D7785" s="208" t="s">
        <v>14462</v>
      </c>
      <c r="F7785" s="57">
        <v>5246</v>
      </c>
      <c r="G7785" s="57" t="s">
        <v>15169</v>
      </c>
      <c r="H7785" s="76" t="s">
        <v>15052</v>
      </c>
    </row>
    <row r="7786" spans="2:8" ht="13.5" customHeight="1">
      <c r="B7786" s="209" t="s">
        <v>13867</v>
      </c>
      <c r="D7786" s="208" t="s">
        <v>6836</v>
      </c>
      <c r="F7786" s="57">
        <v>12421</v>
      </c>
      <c r="G7786" s="57" t="s">
        <v>15169</v>
      </c>
      <c r="H7786" s="76" t="s">
        <v>15052</v>
      </c>
    </row>
    <row r="7787" spans="2:8" ht="13.5" customHeight="1">
      <c r="B7787" s="209" t="s">
        <v>3487</v>
      </c>
      <c r="D7787" s="208" t="s">
        <v>14463</v>
      </c>
      <c r="F7787" s="57">
        <v>884</v>
      </c>
      <c r="G7787" s="57" t="s">
        <v>15169</v>
      </c>
      <c r="H7787" s="76" t="s">
        <v>15051</v>
      </c>
    </row>
    <row r="7788" spans="2:8" ht="13.5" customHeight="1">
      <c r="B7788" s="209" t="s">
        <v>13868</v>
      </c>
      <c r="D7788" s="208" t="s">
        <v>14464</v>
      </c>
      <c r="F7788" s="57">
        <v>1315</v>
      </c>
      <c r="G7788" s="57" t="s">
        <v>15169</v>
      </c>
      <c r="H7788" s="76" t="s">
        <v>15051</v>
      </c>
    </row>
    <row r="7789" spans="2:8" ht="13.5" customHeight="1">
      <c r="B7789" s="209" t="s">
        <v>13869</v>
      </c>
      <c r="D7789" s="208" t="s">
        <v>14465</v>
      </c>
      <c r="F7789" s="57">
        <v>37214</v>
      </c>
      <c r="G7789" s="57" t="s">
        <v>15169</v>
      </c>
      <c r="H7789" s="76" t="s">
        <v>15052</v>
      </c>
    </row>
    <row r="7790" spans="2:8" ht="13.5" customHeight="1">
      <c r="B7790" s="209" t="s">
        <v>13870</v>
      </c>
      <c r="D7790" s="208" t="s">
        <v>14466</v>
      </c>
      <c r="F7790" s="57">
        <v>8079</v>
      </c>
      <c r="G7790" s="57" t="s">
        <v>15169</v>
      </c>
      <c r="H7790" s="76" t="s">
        <v>15053</v>
      </c>
    </row>
    <row r="7791" spans="2:8" ht="13.5" customHeight="1">
      <c r="B7791" s="209" t="s">
        <v>13871</v>
      </c>
      <c r="D7791" s="208" t="s">
        <v>14467</v>
      </c>
      <c r="F7791" s="57">
        <v>1933</v>
      </c>
      <c r="G7791" s="57" t="s">
        <v>15169</v>
      </c>
      <c r="H7791" s="76" t="s">
        <v>15052</v>
      </c>
    </row>
    <row r="7792" spans="2:8" ht="13.5" customHeight="1">
      <c r="B7792" s="209" t="s">
        <v>13872</v>
      </c>
      <c r="D7792" s="208" t="s">
        <v>6644</v>
      </c>
      <c r="F7792" s="57">
        <v>48307</v>
      </c>
      <c r="G7792" s="57" t="s">
        <v>15169</v>
      </c>
      <c r="H7792" s="76" t="s">
        <v>15052</v>
      </c>
    </row>
    <row r="7793" spans="2:8" ht="13.5" customHeight="1">
      <c r="B7793" s="209" t="s">
        <v>13873</v>
      </c>
      <c r="D7793" s="208" t="s">
        <v>14468</v>
      </c>
      <c r="F7793" s="57">
        <v>20570</v>
      </c>
      <c r="G7793" s="57" t="s">
        <v>15169</v>
      </c>
      <c r="H7793" s="76" t="s">
        <v>15053</v>
      </c>
    </row>
    <row r="7794" spans="2:8" ht="13.5" customHeight="1">
      <c r="B7794" s="209" t="s">
        <v>13874</v>
      </c>
      <c r="D7794" s="208" t="s">
        <v>5621</v>
      </c>
      <c r="F7794" s="57">
        <v>56438</v>
      </c>
      <c r="G7794" s="57" t="s">
        <v>15169</v>
      </c>
      <c r="H7794" s="76" t="s">
        <v>15054</v>
      </c>
    </row>
    <row r="7795" spans="2:8" ht="13.5" customHeight="1">
      <c r="B7795" s="209" t="s">
        <v>13875</v>
      </c>
      <c r="D7795" s="208" t="s">
        <v>8020</v>
      </c>
      <c r="F7795" s="57">
        <v>90533</v>
      </c>
      <c r="G7795" s="57" t="s">
        <v>15169</v>
      </c>
      <c r="H7795" s="76" t="s">
        <v>15053</v>
      </c>
    </row>
    <row r="7796" spans="2:8" ht="13.5" customHeight="1">
      <c r="B7796" s="209" t="s">
        <v>13876</v>
      </c>
      <c r="D7796" s="208" t="s">
        <v>14469</v>
      </c>
      <c r="F7796" s="57">
        <v>819</v>
      </c>
      <c r="G7796" s="57" t="s">
        <v>15169</v>
      </c>
      <c r="H7796" s="76" t="s">
        <v>15051</v>
      </c>
    </row>
    <row r="7797" spans="2:8" ht="13.5" customHeight="1">
      <c r="B7797" s="209" t="s">
        <v>13877</v>
      </c>
      <c r="D7797" s="208" t="s">
        <v>14470</v>
      </c>
      <c r="F7797" s="57">
        <v>5430</v>
      </c>
      <c r="G7797" s="57" t="s">
        <v>15169</v>
      </c>
      <c r="H7797" s="76" t="s">
        <v>15051</v>
      </c>
    </row>
    <row r="7798" spans="2:8" ht="13.5" customHeight="1">
      <c r="B7798" s="209" t="s">
        <v>13878</v>
      </c>
      <c r="D7798" s="208" t="s">
        <v>14471</v>
      </c>
      <c r="F7798" s="57">
        <v>13370</v>
      </c>
      <c r="G7798" s="57" t="s">
        <v>15169</v>
      </c>
      <c r="H7798" s="76" t="s">
        <v>15053</v>
      </c>
    </row>
    <row r="7799" spans="2:8" ht="13.5" customHeight="1">
      <c r="B7799" s="209" t="s">
        <v>13879</v>
      </c>
      <c r="D7799" s="208" t="s">
        <v>14472</v>
      </c>
      <c r="F7799" s="57">
        <v>7622</v>
      </c>
      <c r="G7799" s="57" t="s">
        <v>15169</v>
      </c>
      <c r="H7799" s="76" t="s">
        <v>15050</v>
      </c>
    </row>
    <row r="7800" spans="2:8" ht="13.5" customHeight="1">
      <c r="B7800" s="209" t="s">
        <v>13880</v>
      </c>
      <c r="D7800" s="208" t="s">
        <v>14473</v>
      </c>
      <c r="F7800" s="57">
        <v>100</v>
      </c>
      <c r="G7800" s="57" t="s">
        <v>15169</v>
      </c>
      <c r="H7800" s="76" t="s">
        <v>15050</v>
      </c>
    </row>
    <row r="7801" spans="2:8" ht="13.5" customHeight="1">
      <c r="B7801" s="209" t="s">
        <v>13881</v>
      </c>
      <c r="D7801" s="208" t="s">
        <v>14474</v>
      </c>
      <c r="F7801" s="57">
        <v>1426</v>
      </c>
      <c r="G7801" s="57" t="s">
        <v>15169</v>
      </c>
      <c r="H7801" s="76" t="s">
        <v>15050</v>
      </c>
    </row>
    <row r="7802" spans="2:8" ht="13.5" customHeight="1">
      <c r="B7802" s="209" t="s">
        <v>6760</v>
      </c>
      <c r="D7802" s="208" t="s">
        <v>14475</v>
      </c>
      <c r="F7802" s="57">
        <v>1436</v>
      </c>
      <c r="G7802" s="57" t="s">
        <v>15169</v>
      </c>
      <c r="H7802" s="76" t="s">
        <v>15050</v>
      </c>
    </row>
    <row r="7803" spans="2:8" ht="13.5" customHeight="1">
      <c r="B7803" s="209" t="s">
        <v>13882</v>
      </c>
      <c r="D7803" s="208" t="s">
        <v>14476</v>
      </c>
      <c r="F7803" s="57">
        <v>9198</v>
      </c>
      <c r="G7803" s="57" t="s">
        <v>15169</v>
      </c>
      <c r="H7803" s="76" t="s">
        <v>15041</v>
      </c>
    </row>
    <row r="7804" spans="2:8" ht="13.5" customHeight="1">
      <c r="B7804" s="209" t="s">
        <v>13883</v>
      </c>
      <c r="D7804" s="208" t="s">
        <v>14477</v>
      </c>
      <c r="F7804" s="57">
        <v>5</v>
      </c>
      <c r="G7804" s="57" t="s">
        <v>15169</v>
      </c>
      <c r="H7804" s="76" t="s">
        <v>15041</v>
      </c>
    </row>
    <row r="7805" spans="2:8" ht="13.5" customHeight="1">
      <c r="B7805" s="209" t="s">
        <v>13884</v>
      </c>
      <c r="D7805" s="208" t="s">
        <v>14478</v>
      </c>
      <c r="F7805" s="57">
        <v>70</v>
      </c>
      <c r="G7805" s="57" t="s">
        <v>15169</v>
      </c>
      <c r="H7805" s="76" t="s">
        <v>15050</v>
      </c>
    </row>
    <row r="7806" spans="2:8" ht="13.5" customHeight="1">
      <c r="B7806" s="209" t="s">
        <v>7133</v>
      </c>
      <c r="D7806" s="208" t="s">
        <v>14479</v>
      </c>
      <c r="F7806" s="57">
        <v>50</v>
      </c>
      <c r="G7806" s="57" t="s">
        <v>15169</v>
      </c>
      <c r="H7806" s="76" t="s">
        <v>15050</v>
      </c>
    </row>
    <row r="7807" spans="2:8" ht="13.5" customHeight="1">
      <c r="B7807" s="209" t="s">
        <v>13885</v>
      </c>
      <c r="D7807" s="208" t="s">
        <v>6791</v>
      </c>
      <c r="F7807" s="57">
        <v>881</v>
      </c>
      <c r="G7807" s="57" t="s">
        <v>15169</v>
      </c>
      <c r="H7807" s="76" t="s">
        <v>15051</v>
      </c>
    </row>
    <row r="7808" spans="2:8" ht="13.5" customHeight="1">
      <c r="B7808" s="209" t="s">
        <v>13886</v>
      </c>
      <c r="D7808" s="208" t="s">
        <v>14480</v>
      </c>
      <c r="F7808" s="57">
        <v>1190</v>
      </c>
      <c r="G7808" s="57" t="s">
        <v>15169</v>
      </c>
      <c r="H7808" s="76" t="s">
        <v>15051</v>
      </c>
    </row>
    <row r="7809" spans="2:8" ht="13.5" customHeight="1">
      <c r="B7809" s="209" t="s">
        <v>13887</v>
      </c>
      <c r="D7809" s="208" t="s">
        <v>14481</v>
      </c>
      <c r="F7809" s="57">
        <v>2142</v>
      </c>
      <c r="G7809" s="57" t="s">
        <v>15169</v>
      </c>
      <c r="H7809" s="76" t="s">
        <v>15051</v>
      </c>
    </row>
    <row r="7810" spans="2:8" ht="13.5" customHeight="1">
      <c r="B7810" s="209" t="s">
        <v>6782</v>
      </c>
      <c r="D7810" s="208" t="s">
        <v>14482</v>
      </c>
      <c r="F7810" s="57">
        <v>420</v>
      </c>
      <c r="G7810" s="57" t="s">
        <v>15169</v>
      </c>
      <c r="H7810" s="76" t="s">
        <v>15051</v>
      </c>
    </row>
    <row r="7811" spans="2:8" ht="13.5" customHeight="1">
      <c r="B7811" s="209" t="s">
        <v>13888</v>
      </c>
      <c r="D7811" s="208" t="s">
        <v>14483</v>
      </c>
      <c r="F7811" s="57">
        <v>27</v>
      </c>
      <c r="G7811" s="57" t="s">
        <v>15169</v>
      </c>
      <c r="H7811" s="76" t="s">
        <v>15044</v>
      </c>
    </row>
    <row r="7812" spans="2:8" ht="13.5" customHeight="1">
      <c r="B7812" s="209" t="s">
        <v>13889</v>
      </c>
      <c r="D7812" s="208" t="s">
        <v>14484</v>
      </c>
      <c r="F7812" s="57">
        <v>132</v>
      </c>
      <c r="G7812" s="57" t="s">
        <v>15169</v>
      </c>
      <c r="H7812" s="76" t="s">
        <v>15055</v>
      </c>
    </row>
    <row r="7813" spans="2:8" ht="13.5" customHeight="1">
      <c r="B7813" s="209" t="s">
        <v>13890</v>
      </c>
      <c r="D7813" s="208" t="s">
        <v>14485</v>
      </c>
      <c r="F7813" s="57">
        <v>884</v>
      </c>
      <c r="G7813" s="57" t="s">
        <v>15169</v>
      </c>
      <c r="H7813" s="76" t="s">
        <v>15051</v>
      </c>
    </row>
    <row r="7814" spans="2:8" ht="13.5" customHeight="1">
      <c r="B7814" s="209" t="s">
        <v>13891</v>
      </c>
      <c r="D7814" s="208" t="s">
        <v>14486</v>
      </c>
      <c r="F7814" s="57">
        <v>860</v>
      </c>
      <c r="G7814" s="57" t="s">
        <v>15169</v>
      </c>
      <c r="H7814" s="76" t="s">
        <v>15055</v>
      </c>
    </row>
    <row r="7815" spans="2:8" ht="13.5" customHeight="1">
      <c r="B7815" s="209" t="s">
        <v>13892</v>
      </c>
      <c r="D7815" s="208" t="s">
        <v>14487</v>
      </c>
      <c r="F7815" s="57">
        <v>679</v>
      </c>
      <c r="G7815" s="57" t="s">
        <v>15169</v>
      </c>
      <c r="H7815" s="76" t="s">
        <v>15055</v>
      </c>
    </row>
    <row r="7816" spans="2:8" ht="13.5" customHeight="1">
      <c r="B7816" s="209" t="s">
        <v>13893</v>
      </c>
      <c r="D7816" s="208" t="s">
        <v>14488</v>
      </c>
      <c r="F7816" s="57">
        <v>720</v>
      </c>
      <c r="G7816" s="57" t="s">
        <v>15169</v>
      </c>
      <c r="H7816" s="76" t="s">
        <v>15055</v>
      </c>
    </row>
    <row r="7817" spans="2:8" ht="13.5" customHeight="1">
      <c r="B7817" s="209" t="s">
        <v>13894</v>
      </c>
      <c r="D7817" s="208" t="s">
        <v>14489</v>
      </c>
      <c r="F7817" s="57">
        <v>653</v>
      </c>
      <c r="G7817" s="57" t="s">
        <v>15169</v>
      </c>
      <c r="H7817" s="76" t="s">
        <v>15055</v>
      </c>
    </row>
    <row r="7818" spans="2:8" ht="13.5" customHeight="1">
      <c r="B7818" s="209" t="s">
        <v>13895</v>
      </c>
      <c r="D7818" s="208" t="s">
        <v>14490</v>
      </c>
      <c r="F7818" s="57">
        <v>93</v>
      </c>
      <c r="G7818" s="57" t="s">
        <v>15169</v>
      </c>
      <c r="H7818" s="76" t="s">
        <v>15055</v>
      </c>
    </row>
    <row r="7819" spans="2:8" ht="13.5" customHeight="1">
      <c r="B7819" s="209" t="s">
        <v>13896</v>
      </c>
      <c r="D7819" s="208" t="s">
        <v>14491</v>
      </c>
      <c r="F7819" s="57">
        <v>798</v>
      </c>
      <c r="G7819" s="57" t="s">
        <v>15169</v>
      </c>
      <c r="H7819" s="76" t="s">
        <v>15048</v>
      </c>
    </row>
    <row r="7820" spans="2:8" ht="13.5" customHeight="1">
      <c r="B7820" s="209" t="s">
        <v>3395</v>
      </c>
      <c r="D7820" s="208" t="s">
        <v>14492</v>
      </c>
      <c r="F7820" s="57">
        <v>7495</v>
      </c>
      <c r="G7820" s="57" t="s">
        <v>15169</v>
      </c>
      <c r="H7820" s="76" t="s">
        <v>15048</v>
      </c>
    </row>
    <row r="7821" spans="2:8" ht="13.5" customHeight="1">
      <c r="B7821" s="209" t="s">
        <v>13897</v>
      </c>
      <c r="D7821" s="208" t="s">
        <v>6829</v>
      </c>
      <c r="F7821" s="57">
        <v>200</v>
      </c>
      <c r="G7821" s="57" t="s">
        <v>15169</v>
      </c>
      <c r="H7821" s="76" t="s">
        <v>15056</v>
      </c>
    </row>
    <row r="7822" spans="2:8" ht="13.5" customHeight="1">
      <c r="B7822" s="209" t="s">
        <v>6931</v>
      </c>
      <c r="D7822" s="208" t="s">
        <v>6932</v>
      </c>
      <c r="F7822" s="57">
        <v>9496</v>
      </c>
      <c r="G7822" s="57" t="s">
        <v>15169</v>
      </c>
      <c r="H7822" s="76" t="s">
        <v>15048</v>
      </c>
    </row>
    <row r="7823" spans="2:8" ht="13.5" customHeight="1">
      <c r="B7823" s="209" t="s">
        <v>13898</v>
      </c>
      <c r="D7823" s="208" t="s">
        <v>1106</v>
      </c>
      <c r="F7823" s="57">
        <v>1121</v>
      </c>
      <c r="G7823" s="57" t="s">
        <v>15169</v>
      </c>
      <c r="H7823" s="76" t="s">
        <v>15048</v>
      </c>
    </row>
    <row r="7824" spans="2:8" ht="13.5" customHeight="1">
      <c r="B7824" s="209" t="s">
        <v>13899</v>
      </c>
      <c r="D7824" s="208" t="s">
        <v>14493</v>
      </c>
      <c r="F7824" s="57">
        <v>676</v>
      </c>
      <c r="G7824" s="57" t="s">
        <v>15169</v>
      </c>
      <c r="H7824" s="76" t="s">
        <v>15048</v>
      </c>
    </row>
    <row r="7825" spans="2:8" ht="13.5" customHeight="1">
      <c r="B7825" s="209" t="s">
        <v>13900</v>
      </c>
      <c r="D7825" s="208" t="s">
        <v>14494</v>
      </c>
      <c r="F7825" s="57">
        <v>906</v>
      </c>
      <c r="G7825" s="57" t="s">
        <v>15169</v>
      </c>
      <c r="H7825" s="76" t="s">
        <v>15046</v>
      </c>
    </row>
    <row r="7826" spans="2:8" ht="13.5" customHeight="1">
      <c r="B7826" s="209" t="s">
        <v>13901</v>
      </c>
      <c r="D7826" s="208" t="s">
        <v>14495</v>
      </c>
      <c r="F7826" s="57">
        <v>720</v>
      </c>
      <c r="G7826" s="57" t="s">
        <v>15169</v>
      </c>
      <c r="H7826" s="76" t="s">
        <v>15046</v>
      </c>
    </row>
    <row r="7827" spans="2:8" ht="13.5" customHeight="1">
      <c r="B7827" s="209" t="s">
        <v>13902</v>
      </c>
      <c r="D7827" s="208" t="s">
        <v>14496</v>
      </c>
      <c r="F7827" s="57">
        <v>133</v>
      </c>
      <c r="G7827" s="57" t="s">
        <v>15169</v>
      </c>
      <c r="H7827" s="76" t="s">
        <v>15046</v>
      </c>
    </row>
    <row r="7828" spans="2:8" ht="13.5" customHeight="1">
      <c r="B7828" s="209" t="s">
        <v>13903</v>
      </c>
      <c r="D7828" s="208" t="s">
        <v>14497</v>
      </c>
      <c r="F7828" s="57">
        <v>116</v>
      </c>
      <c r="G7828" s="57" t="s">
        <v>15169</v>
      </c>
      <c r="H7828" s="76" t="s">
        <v>15046</v>
      </c>
    </row>
    <row r="7829" spans="2:8" ht="13.5" customHeight="1">
      <c r="B7829" s="209" t="s">
        <v>13904</v>
      </c>
      <c r="D7829" s="208" t="s">
        <v>14498</v>
      </c>
      <c r="F7829" s="57">
        <v>151</v>
      </c>
      <c r="G7829" s="57" t="s">
        <v>15169</v>
      </c>
      <c r="H7829" s="76" t="s">
        <v>15046</v>
      </c>
    </row>
    <row r="7830" spans="2:8" ht="13.5" customHeight="1">
      <c r="B7830" s="209" t="s">
        <v>13905</v>
      </c>
      <c r="D7830" s="208" t="s">
        <v>14499</v>
      </c>
      <c r="F7830" s="57">
        <v>149</v>
      </c>
      <c r="G7830" s="57" t="s">
        <v>15169</v>
      </c>
      <c r="H7830" s="76" t="s">
        <v>15046</v>
      </c>
    </row>
    <row r="7831" spans="2:8" ht="13.5" customHeight="1">
      <c r="B7831" s="209" t="s">
        <v>13906</v>
      </c>
      <c r="D7831" s="208" t="s">
        <v>14500</v>
      </c>
      <c r="F7831" s="57">
        <v>138</v>
      </c>
      <c r="G7831" s="57" t="s">
        <v>15169</v>
      </c>
      <c r="H7831" s="76" t="s">
        <v>15046</v>
      </c>
    </row>
    <row r="7832" spans="2:8" ht="13.5" customHeight="1">
      <c r="B7832" s="209" t="s">
        <v>13907</v>
      </c>
      <c r="D7832" s="208" t="s">
        <v>14501</v>
      </c>
      <c r="F7832" s="57">
        <v>142</v>
      </c>
      <c r="G7832" s="57" t="s">
        <v>15169</v>
      </c>
      <c r="H7832" s="76" t="s">
        <v>15046</v>
      </c>
    </row>
    <row r="7833" spans="2:8" ht="13.5" customHeight="1">
      <c r="B7833" s="209" t="s">
        <v>13908</v>
      </c>
      <c r="D7833" s="225" t="s">
        <v>14502</v>
      </c>
      <c r="F7833" s="57">
        <v>10426</v>
      </c>
      <c r="G7833" s="57" t="s">
        <v>15169</v>
      </c>
      <c r="H7833" s="76" t="s">
        <v>15057</v>
      </c>
    </row>
    <row r="7834" spans="2:8" ht="13.5" customHeight="1">
      <c r="B7834" s="209" t="s">
        <v>13909</v>
      </c>
      <c r="D7834" s="225" t="s">
        <v>14503</v>
      </c>
      <c r="F7834" s="57">
        <v>10838</v>
      </c>
      <c r="G7834" s="57" t="s">
        <v>15169</v>
      </c>
      <c r="H7834" s="76" t="s">
        <v>15057</v>
      </c>
    </row>
    <row r="7835" spans="2:8" ht="13.5" customHeight="1">
      <c r="B7835" s="209" t="s">
        <v>13910</v>
      </c>
      <c r="D7835" s="208" t="s">
        <v>14504</v>
      </c>
      <c r="F7835" s="57">
        <v>8284</v>
      </c>
      <c r="G7835" s="57" t="s">
        <v>15169</v>
      </c>
      <c r="H7835" s="76" t="s">
        <v>15058</v>
      </c>
    </row>
    <row r="7836" spans="2:8" ht="13.5" customHeight="1">
      <c r="B7836" s="209" t="s">
        <v>13911</v>
      </c>
      <c r="D7836" s="208" t="s">
        <v>14505</v>
      </c>
      <c r="F7836" s="57">
        <v>669</v>
      </c>
      <c r="G7836" s="57" t="s">
        <v>15169</v>
      </c>
      <c r="H7836" s="76" t="s">
        <v>15058</v>
      </c>
    </row>
    <row r="7837" spans="2:8" ht="13.5" customHeight="1">
      <c r="B7837" s="209" t="s">
        <v>13912</v>
      </c>
      <c r="D7837" s="208" t="s">
        <v>14506</v>
      </c>
      <c r="F7837" s="57">
        <v>100</v>
      </c>
      <c r="G7837" s="57" t="s">
        <v>15169</v>
      </c>
      <c r="H7837" s="76" t="s">
        <v>15059</v>
      </c>
    </row>
    <row r="7838" spans="2:8" ht="13.5" customHeight="1">
      <c r="B7838" s="210" t="s">
        <v>13913</v>
      </c>
      <c r="D7838" s="226" t="s">
        <v>14507</v>
      </c>
      <c r="F7838" s="57">
        <v>1350</v>
      </c>
      <c r="G7838" s="57" t="s">
        <v>15169</v>
      </c>
      <c r="H7838" s="76" t="s">
        <v>15057</v>
      </c>
    </row>
    <row r="7839" spans="2:8" ht="13.5" customHeight="1">
      <c r="B7839" s="209" t="s">
        <v>13914</v>
      </c>
      <c r="D7839" s="208" t="s">
        <v>7095</v>
      </c>
      <c r="F7839" s="57">
        <v>123</v>
      </c>
      <c r="G7839" s="57" t="s">
        <v>15169</v>
      </c>
      <c r="H7839" s="76" t="s">
        <v>15058</v>
      </c>
    </row>
    <row r="7840" spans="2:8" ht="13.5" customHeight="1">
      <c r="B7840" s="209" t="s">
        <v>13915</v>
      </c>
      <c r="D7840" s="208" t="s">
        <v>4662</v>
      </c>
      <c r="F7840" s="57">
        <v>410</v>
      </c>
      <c r="G7840" s="57" t="s">
        <v>15169</v>
      </c>
      <c r="H7840" s="76" t="s">
        <v>15060</v>
      </c>
    </row>
    <row r="7841" spans="2:8" ht="13.5" customHeight="1">
      <c r="B7841" s="209" t="s">
        <v>13916</v>
      </c>
      <c r="D7841" s="225" t="s">
        <v>14508</v>
      </c>
      <c r="F7841" s="57">
        <v>2670</v>
      </c>
      <c r="G7841" s="57" t="s">
        <v>15169</v>
      </c>
      <c r="H7841" s="76" t="s">
        <v>15060</v>
      </c>
    </row>
    <row r="7842" spans="2:8" ht="13.5" customHeight="1">
      <c r="B7842" s="209" t="s">
        <v>13917</v>
      </c>
      <c r="D7842" s="208" t="s">
        <v>14509</v>
      </c>
      <c r="F7842" s="57">
        <v>321</v>
      </c>
      <c r="G7842" s="57" t="s">
        <v>15169</v>
      </c>
      <c r="H7842" s="76" t="s">
        <v>15059</v>
      </c>
    </row>
    <row r="7843" spans="2:8" ht="13.5" customHeight="1">
      <c r="B7843" s="209" t="s">
        <v>13918</v>
      </c>
      <c r="D7843" s="208" t="s">
        <v>14510</v>
      </c>
      <c r="F7843" s="57">
        <v>11</v>
      </c>
      <c r="G7843" s="57" t="s">
        <v>15169</v>
      </c>
      <c r="H7843" s="76" t="s">
        <v>15059</v>
      </c>
    </row>
    <row r="7844" spans="2:8" ht="13.5" customHeight="1">
      <c r="B7844" s="209" t="s">
        <v>13919</v>
      </c>
      <c r="D7844" s="225" t="s">
        <v>14511</v>
      </c>
      <c r="F7844" s="57">
        <v>3370</v>
      </c>
      <c r="G7844" s="57" t="s">
        <v>15169</v>
      </c>
      <c r="H7844" s="76" t="s">
        <v>15061</v>
      </c>
    </row>
    <row r="7845" spans="2:8" ht="13.5" customHeight="1">
      <c r="B7845" s="209" t="s">
        <v>13920</v>
      </c>
      <c r="D7845" s="208" t="s">
        <v>14512</v>
      </c>
      <c r="F7845" s="57">
        <v>488</v>
      </c>
      <c r="G7845" s="57" t="s">
        <v>15169</v>
      </c>
      <c r="H7845" s="76" t="s">
        <v>15057</v>
      </c>
    </row>
    <row r="7846" spans="2:8" ht="13.5" customHeight="1">
      <c r="B7846" s="209" t="s">
        <v>13921</v>
      </c>
      <c r="D7846" s="208" t="s">
        <v>14513</v>
      </c>
      <c r="F7846" s="57">
        <v>8311</v>
      </c>
      <c r="G7846" s="57" t="s">
        <v>15169</v>
      </c>
      <c r="H7846" s="76" t="s">
        <v>15062</v>
      </c>
    </row>
    <row r="7847" spans="2:8" ht="13.5" customHeight="1">
      <c r="B7847" s="209" t="s">
        <v>13922</v>
      </c>
      <c r="D7847" s="208" t="s">
        <v>9092</v>
      </c>
      <c r="F7847" s="57">
        <v>7909</v>
      </c>
      <c r="G7847" s="57" t="s">
        <v>15169</v>
      </c>
      <c r="H7847" s="76" t="s">
        <v>15061</v>
      </c>
    </row>
    <row r="7848" spans="2:8" ht="13.5" customHeight="1">
      <c r="B7848" s="209" t="s">
        <v>13923</v>
      </c>
      <c r="D7848" s="208" t="s">
        <v>14514</v>
      </c>
      <c r="F7848" s="57">
        <v>86</v>
      </c>
      <c r="G7848" s="57" t="s">
        <v>15169</v>
      </c>
      <c r="H7848" s="76" t="s">
        <v>15060</v>
      </c>
    </row>
    <row r="7849" spans="2:8" ht="13.5" customHeight="1">
      <c r="B7849" s="209" t="s">
        <v>13924</v>
      </c>
      <c r="D7849" s="208" t="s">
        <v>14515</v>
      </c>
      <c r="F7849" s="57">
        <v>2054</v>
      </c>
      <c r="G7849" s="57" t="s">
        <v>15169</v>
      </c>
      <c r="H7849" s="76" t="s">
        <v>15057</v>
      </c>
    </row>
    <row r="7850" spans="2:8" ht="13.5" customHeight="1">
      <c r="B7850" s="209" t="s">
        <v>13925</v>
      </c>
      <c r="D7850" s="208" t="s">
        <v>7526</v>
      </c>
      <c r="F7850" s="57">
        <v>14</v>
      </c>
      <c r="G7850" s="57" t="s">
        <v>15169</v>
      </c>
      <c r="H7850" s="76" t="s">
        <v>15063</v>
      </c>
    </row>
    <row r="7851" spans="2:8" ht="13.5" customHeight="1">
      <c r="B7851" s="209"/>
      <c r="D7851" s="208" t="s">
        <v>14516</v>
      </c>
      <c r="F7851" s="57">
        <v>250</v>
      </c>
      <c r="G7851" s="57" t="s">
        <v>15169</v>
      </c>
      <c r="H7851" s="76" t="s">
        <v>15062</v>
      </c>
    </row>
    <row r="7852" spans="2:8" ht="13.5" customHeight="1">
      <c r="B7852" s="209" t="s">
        <v>13926</v>
      </c>
      <c r="D7852" s="208" t="s">
        <v>14517</v>
      </c>
      <c r="F7852" s="57">
        <v>2098</v>
      </c>
      <c r="G7852" s="57" t="s">
        <v>15169</v>
      </c>
      <c r="H7852" s="76" t="s">
        <v>15062</v>
      </c>
    </row>
    <row r="7853" spans="2:8" ht="13.5" customHeight="1">
      <c r="B7853" s="209" t="s">
        <v>5561</v>
      </c>
      <c r="D7853" s="208" t="s">
        <v>14518</v>
      </c>
      <c r="F7853" s="57">
        <v>14</v>
      </c>
      <c r="G7853" s="57" t="s">
        <v>15169</v>
      </c>
      <c r="H7853" s="76" t="s">
        <v>15064</v>
      </c>
    </row>
    <row r="7854" spans="2:8" ht="13.5" customHeight="1">
      <c r="B7854" s="209" t="s">
        <v>13927</v>
      </c>
      <c r="D7854" s="208" t="s">
        <v>14519</v>
      </c>
      <c r="F7854" s="57">
        <v>239</v>
      </c>
      <c r="G7854" s="57" t="s">
        <v>15169</v>
      </c>
      <c r="H7854" s="76" t="s">
        <v>15064</v>
      </c>
    </row>
    <row r="7855" spans="2:8" ht="13.5" customHeight="1">
      <c r="B7855" s="209" t="s">
        <v>13928</v>
      </c>
      <c r="D7855" s="208" t="s">
        <v>14520</v>
      </c>
      <c r="F7855" s="57">
        <v>181</v>
      </c>
      <c r="G7855" s="57" t="s">
        <v>15169</v>
      </c>
      <c r="H7855" s="76" t="s">
        <v>15064</v>
      </c>
    </row>
    <row r="7856" spans="2:8" ht="13.5" customHeight="1">
      <c r="B7856" s="209" t="s">
        <v>13929</v>
      </c>
      <c r="D7856" s="208" t="s">
        <v>14521</v>
      </c>
      <c r="F7856" s="57">
        <v>548</v>
      </c>
      <c r="G7856" s="57" t="s">
        <v>15169</v>
      </c>
      <c r="H7856" s="76" t="s">
        <v>15065</v>
      </c>
    </row>
    <row r="7857" spans="2:8" ht="13.5" customHeight="1">
      <c r="B7857" s="209" t="s">
        <v>5744</v>
      </c>
      <c r="D7857" s="208" t="s">
        <v>14522</v>
      </c>
      <c r="F7857" s="57">
        <v>122</v>
      </c>
      <c r="G7857" s="57" t="s">
        <v>15169</v>
      </c>
      <c r="H7857" s="76" t="s">
        <v>15051</v>
      </c>
    </row>
    <row r="7858" spans="2:8" ht="13.5" customHeight="1">
      <c r="B7858" s="210" t="s">
        <v>5646</v>
      </c>
      <c r="D7858" s="226" t="s">
        <v>14523</v>
      </c>
      <c r="F7858" s="57">
        <v>555</v>
      </c>
      <c r="G7858" s="57" t="s">
        <v>15169</v>
      </c>
      <c r="H7858" s="76" t="s">
        <v>15051</v>
      </c>
    </row>
    <row r="7859" spans="2:8" ht="13.5" customHeight="1">
      <c r="B7859" s="209"/>
      <c r="D7859" s="208" t="s">
        <v>14524</v>
      </c>
      <c r="F7859" s="57">
        <v>907</v>
      </c>
      <c r="G7859" s="57" t="s">
        <v>15169</v>
      </c>
      <c r="H7859" s="76" t="s">
        <v>15051</v>
      </c>
    </row>
    <row r="7860" spans="2:8" ht="13.5" customHeight="1">
      <c r="B7860" s="209" t="s">
        <v>13930</v>
      </c>
      <c r="D7860" s="208" t="s">
        <v>14525</v>
      </c>
      <c r="F7860" s="57">
        <v>713</v>
      </c>
      <c r="G7860" s="57" t="s">
        <v>15169</v>
      </c>
      <c r="H7860" s="76" t="s">
        <v>15043</v>
      </c>
    </row>
    <row r="7861" spans="2:8" ht="13.5" customHeight="1">
      <c r="B7861" s="209" t="s">
        <v>13931</v>
      </c>
      <c r="D7861" s="208" t="s">
        <v>14526</v>
      </c>
      <c r="F7861" s="57">
        <v>206</v>
      </c>
      <c r="G7861" s="57" t="s">
        <v>15169</v>
      </c>
      <c r="H7861" s="76" t="s">
        <v>15044</v>
      </c>
    </row>
    <row r="7862" spans="2:8" ht="13.5" customHeight="1">
      <c r="B7862" s="209" t="s">
        <v>13932</v>
      </c>
      <c r="D7862" s="208" t="s">
        <v>14527</v>
      </c>
      <c r="F7862" s="57">
        <v>16</v>
      </c>
      <c r="G7862" s="57" t="s">
        <v>15169</v>
      </c>
      <c r="H7862" s="76" t="s">
        <v>15055</v>
      </c>
    </row>
    <row r="7863" spans="2:8" ht="13.5" customHeight="1">
      <c r="B7863" s="209" t="s">
        <v>13933</v>
      </c>
      <c r="D7863" s="208" t="s">
        <v>14528</v>
      </c>
      <c r="F7863" s="57">
        <v>463</v>
      </c>
      <c r="G7863" s="57" t="s">
        <v>15169</v>
      </c>
      <c r="H7863" s="76" t="s">
        <v>15055</v>
      </c>
    </row>
    <row r="7864" spans="2:8" ht="13.5" customHeight="1">
      <c r="B7864" s="209" t="s">
        <v>6941</v>
      </c>
      <c r="D7864" s="208" t="s">
        <v>6942</v>
      </c>
      <c r="F7864" s="57">
        <v>147</v>
      </c>
      <c r="G7864" s="57" t="s">
        <v>15169</v>
      </c>
      <c r="H7864" s="76" t="s">
        <v>15048</v>
      </c>
    </row>
    <row r="7865" spans="2:8" ht="13.5" customHeight="1">
      <c r="B7865" s="209" t="s">
        <v>6937</v>
      </c>
      <c r="D7865" s="208" t="s">
        <v>6938</v>
      </c>
      <c r="F7865" s="57">
        <v>315</v>
      </c>
      <c r="G7865" s="57" t="s">
        <v>15169</v>
      </c>
      <c r="H7865" s="76" t="s">
        <v>15048</v>
      </c>
    </row>
    <row r="7866" spans="2:8" ht="13.5" customHeight="1">
      <c r="B7866" s="209" t="s">
        <v>13934</v>
      </c>
      <c r="D7866" s="208" t="s">
        <v>14529</v>
      </c>
      <c r="F7866" s="57">
        <v>2280</v>
      </c>
      <c r="G7866" s="57" t="s">
        <v>15169</v>
      </c>
      <c r="H7866" s="76" t="s">
        <v>15048</v>
      </c>
    </row>
    <row r="7867" spans="2:8" ht="13.5" customHeight="1">
      <c r="B7867" s="209" t="s">
        <v>13935</v>
      </c>
      <c r="D7867" s="208" t="s">
        <v>14530</v>
      </c>
      <c r="F7867" s="57">
        <v>126</v>
      </c>
      <c r="G7867" s="57" t="s">
        <v>15169</v>
      </c>
      <c r="H7867" s="76" t="s">
        <v>15046</v>
      </c>
    </row>
    <row r="7868" spans="2:8" ht="13.5" customHeight="1">
      <c r="B7868" s="209" t="s">
        <v>13936</v>
      </c>
      <c r="D7868" s="208" t="s">
        <v>14531</v>
      </c>
      <c r="F7868" s="57">
        <v>16275</v>
      </c>
      <c r="G7868" s="57" t="s">
        <v>15169</v>
      </c>
      <c r="H7868" s="76" t="s">
        <v>15061</v>
      </c>
    </row>
    <row r="7869" spans="2:8" ht="13.5" customHeight="1">
      <c r="B7869" s="209" t="s">
        <v>13937</v>
      </c>
      <c r="D7869" s="208" t="s">
        <v>5673</v>
      </c>
      <c r="F7869" s="57">
        <v>89433</v>
      </c>
      <c r="G7869" s="57" t="s">
        <v>15169</v>
      </c>
      <c r="H7869" s="76" t="s">
        <v>15066</v>
      </c>
    </row>
    <row r="7870" spans="2:8" ht="13.5" customHeight="1">
      <c r="B7870" s="209" t="s">
        <v>13938</v>
      </c>
      <c r="D7870" s="208" t="s">
        <v>14532</v>
      </c>
      <c r="F7870" s="57">
        <v>17776</v>
      </c>
      <c r="G7870" s="57" t="s">
        <v>15169</v>
      </c>
      <c r="H7870" s="76" t="s">
        <v>15067</v>
      </c>
    </row>
    <row r="7871" spans="2:8" ht="13.5" customHeight="1">
      <c r="B7871" s="209" t="s">
        <v>13939</v>
      </c>
      <c r="D7871" s="208" t="s">
        <v>14533</v>
      </c>
      <c r="F7871" s="57">
        <v>21712</v>
      </c>
      <c r="G7871" s="57" t="s">
        <v>15169</v>
      </c>
      <c r="H7871" s="76" t="s">
        <v>15068</v>
      </c>
    </row>
    <row r="7872" spans="2:8" ht="13.5" customHeight="1">
      <c r="B7872" s="209" t="s">
        <v>13940</v>
      </c>
      <c r="D7872" s="225" t="s">
        <v>14534</v>
      </c>
      <c r="F7872" s="57">
        <v>2615</v>
      </c>
      <c r="G7872" s="57" t="s">
        <v>15169</v>
      </c>
      <c r="H7872" s="76" t="s">
        <v>15069</v>
      </c>
    </row>
    <row r="7873" spans="2:8" ht="13.5" customHeight="1">
      <c r="B7873" s="209" t="s">
        <v>246</v>
      </c>
      <c r="D7873" s="208" t="s">
        <v>247</v>
      </c>
      <c r="F7873" s="57">
        <v>1195</v>
      </c>
      <c r="G7873" s="57" t="s">
        <v>15169</v>
      </c>
      <c r="H7873" s="76" t="s">
        <v>15051</v>
      </c>
    </row>
    <row r="7874" spans="2:8" ht="13.5" customHeight="1">
      <c r="B7874" s="209" t="s">
        <v>13941</v>
      </c>
      <c r="D7874" s="208" t="s">
        <v>2027</v>
      </c>
      <c r="F7874" s="57">
        <v>10036</v>
      </c>
      <c r="G7874" s="57" t="s">
        <v>15169</v>
      </c>
      <c r="H7874" s="76" t="s">
        <v>15061</v>
      </c>
    </row>
    <row r="7875" spans="2:8" ht="13.5" customHeight="1">
      <c r="B7875" s="209" t="s">
        <v>13942</v>
      </c>
      <c r="D7875" s="208" t="s">
        <v>14535</v>
      </c>
      <c r="F7875" s="57">
        <v>2000</v>
      </c>
      <c r="G7875" s="57" t="s">
        <v>15169</v>
      </c>
      <c r="H7875" s="76" t="s">
        <v>15067</v>
      </c>
    </row>
    <row r="7876" spans="2:8" ht="13.5" customHeight="1">
      <c r="B7876" s="209" t="s">
        <v>13943</v>
      </c>
      <c r="D7876" s="208" t="s">
        <v>477</v>
      </c>
      <c r="F7876" s="57">
        <v>644</v>
      </c>
      <c r="G7876" s="57" t="s">
        <v>15169</v>
      </c>
      <c r="H7876" s="76" t="s">
        <v>15067</v>
      </c>
    </row>
    <row r="7877" spans="2:8" ht="13.5" customHeight="1">
      <c r="B7877" s="209" t="s">
        <v>2820</v>
      </c>
      <c r="D7877" s="208" t="s">
        <v>14536</v>
      </c>
      <c r="F7877" s="57">
        <v>189</v>
      </c>
      <c r="G7877" s="57" t="s">
        <v>15169</v>
      </c>
      <c r="H7877" s="76" t="s">
        <v>15039</v>
      </c>
    </row>
    <row r="7878" spans="2:8" ht="13.5" customHeight="1">
      <c r="B7878" s="209"/>
      <c r="D7878" s="208" t="s">
        <v>14537</v>
      </c>
      <c r="F7878" s="57">
        <v>122</v>
      </c>
      <c r="G7878" s="57" t="s">
        <v>15169</v>
      </c>
      <c r="H7878" s="76" t="s">
        <v>15067</v>
      </c>
    </row>
    <row r="7879" spans="2:8" ht="13.5" customHeight="1">
      <c r="B7879" s="209" t="s">
        <v>13944</v>
      </c>
      <c r="D7879" s="208" t="s">
        <v>14538</v>
      </c>
      <c r="F7879" s="57">
        <v>1616</v>
      </c>
      <c r="G7879" s="57" t="s">
        <v>15169</v>
      </c>
      <c r="H7879" s="76" t="s">
        <v>15067</v>
      </c>
    </row>
    <row r="7880" spans="2:8" ht="13.5" customHeight="1">
      <c r="B7880" s="209" t="s">
        <v>6933</v>
      </c>
      <c r="D7880" s="208" t="s">
        <v>14539</v>
      </c>
      <c r="F7880" s="57">
        <v>1699</v>
      </c>
      <c r="G7880" s="57" t="s">
        <v>15169</v>
      </c>
      <c r="H7880" s="76" t="s">
        <v>15039</v>
      </c>
    </row>
    <row r="7881" spans="2:8" ht="13.5" customHeight="1">
      <c r="B7881" s="209" t="s">
        <v>5534</v>
      </c>
      <c r="D7881" s="208" t="s">
        <v>5720</v>
      </c>
      <c r="F7881" s="57">
        <v>538</v>
      </c>
      <c r="G7881" s="57" t="s">
        <v>15169</v>
      </c>
      <c r="H7881" s="76" t="s">
        <v>15039</v>
      </c>
    </row>
    <row r="7882" spans="2:8" ht="13.5" customHeight="1">
      <c r="B7882" s="209" t="s">
        <v>13945</v>
      </c>
      <c r="D7882" s="208" t="s">
        <v>5637</v>
      </c>
      <c r="F7882" s="57">
        <v>23</v>
      </c>
      <c r="G7882" s="57" t="s">
        <v>15169</v>
      </c>
      <c r="H7882" s="76" t="s">
        <v>15046</v>
      </c>
    </row>
    <row r="7883" spans="2:8" ht="13.5" customHeight="1">
      <c r="B7883" s="209" t="s">
        <v>13946</v>
      </c>
      <c r="D7883" s="208" t="s">
        <v>14540</v>
      </c>
      <c r="F7883" s="57">
        <v>164</v>
      </c>
      <c r="G7883" s="57" t="s">
        <v>15169</v>
      </c>
      <c r="H7883" s="76" t="s">
        <v>15070</v>
      </c>
    </row>
    <row r="7884" spans="2:8" ht="13.5" customHeight="1">
      <c r="B7884" s="209" t="s">
        <v>262</v>
      </c>
      <c r="D7884" s="208" t="s">
        <v>14541</v>
      </c>
      <c r="F7884" s="57">
        <v>53574</v>
      </c>
      <c r="G7884" s="57" t="s">
        <v>15169</v>
      </c>
      <c r="H7884" s="76" t="s">
        <v>15068</v>
      </c>
    </row>
    <row r="7885" spans="2:8" ht="13.5" customHeight="1">
      <c r="B7885" s="209" t="s">
        <v>261</v>
      </c>
      <c r="D7885" s="208" t="s">
        <v>14542</v>
      </c>
      <c r="F7885" s="57">
        <v>29723</v>
      </c>
      <c r="G7885" s="57" t="s">
        <v>15169</v>
      </c>
      <c r="H7885" s="76" t="s">
        <v>15068</v>
      </c>
    </row>
    <row r="7886" spans="2:8" ht="13.5" customHeight="1">
      <c r="B7886" s="209" t="s">
        <v>13947</v>
      </c>
      <c r="D7886" s="208" t="s">
        <v>14543</v>
      </c>
      <c r="F7886" s="57">
        <v>373</v>
      </c>
      <c r="G7886" s="57" t="s">
        <v>15169</v>
      </c>
      <c r="H7886" s="76" t="s">
        <v>15068</v>
      </c>
    </row>
    <row r="7887" spans="2:8" ht="13.5" customHeight="1">
      <c r="B7887" s="209" t="s">
        <v>13948</v>
      </c>
      <c r="D7887" s="208" t="s">
        <v>14544</v>
      </c>
      <c r="F7887" s="57">
        <v>1275</v>
      </c>
      <c r="G7887" s="57" t="s">
        <v>15169</v>
      </c>
      <c r="H7887" s="76" t="s">
        <v>15068</v>
      </c>
    </row>
    <row r="7888" spans="2:8" ht="13.5" customHeight="1">
      <c r="B7888" s="209" t="s">
        <v>13949</v>
      </c>
      <c r="D7888" s="208" t="s">
        <v>14545</v>
      </c>
      <c r="F7888" s="57">
        <v>574</v>
      </c>
      <c r="G7888" s="57" t="s">
        <v>15169</v>
      </c>
      <c r="H7888" s="76" t="s">
        <v>15051</v>
      </c>
    </row>
    <row r="7889" spans="2:8" ht="13.5" customHeight="1">
      <c r="B7889" s="209" t="s">
        <v>13950</v>
      </c>
      <c r="D7889" s="208" t="s">
        <v>14546</v>
      </c>
      <c r="F7889" s="57">
        <v>68</v>
      </c>
      <c r="G7889" s="57" t="s">
        <v>15169</v>
      </c>
      <c r="H7889" s="76" t="s">
        <v>15044</v>
      </c>
    </row>
    <row r="7890" spans="2:8" ht="13.5" customHeight="1">
      <c r="B7890" s="209" t="s">
        <v>13951</v>
      </c>
      <c r="D7890" s="208" t="s">
        <v>1345</v>
      </c>
      <c r="F7890" s="57">
        <v>6156</v>
      </c>
      <c r="G7890" s="57" t="s">
        <v>15169</v>
      </c>
      <c r="H7890" s="76" t="s">
        <v>15067</v>
      </c>
    </row>
    <row r="7891" spans="2:8" ht="13.5" customHeight="1">
      <c r="B7891" s="209" t="s">
        <v>311</v>
      </c>
      <c r="D7891" s="208" t="s">
        <v>312</v>
      </c>
      <c r="F7891" s="57">
        <v>204</v>
      </c>
      <c r="G7891" s="57" t="s">
        <v>15169</v>
      </c>
      <c r="H7891" s="76" t="s">
        <v>15067</v>
      </c>
    </row>
    <row r="7892" spans="2:8" ht="13.5" customHeight="1">
      <c r="B7892" s="209" t="s">
        <v>6939</v>
      </c>
      <c r="D7892" s="208" t="s">
        <v>6940</v>
      </c>
      <c r="F7892" s="57">
        <v>290</v>
      </c>
      <c r="G7892" s="57" t="s">
        <v>15169</v>
      </c>
      <c r="H7892" s="76" t="s">
        <v>15048</v>
      </c>
    </row>
    <row r="7893" spans="2:8" ht="13.5" customHeight="1">
      <c r="B7893" s="209" t="s">
        <v>13952</v>
      </c>
      <c r="D7893" s="208" t="s">
        <v>14547</v>
      </c>
      <c r="F7893" s="57">
        <v>396</v>
      </c>
      <c r="G7893" s="57" t="s">
        <v>15169</v>
      </c>
      <c r="H7893" s="76" t="s">
        <v>15071</v>
      </c>
    </row>
    <row r="7894" spans="2:8" ht="13.5" customHeight="1">
      <c r="B7894" s="209" t="s">
        <v>13953</v>
      </c>
      <c r="D7894" s="208" t="s">
        <v>5717</v>
      </c>
      <c r="F7894" s="57">
        <v>227006</v>
      </c>
      <c r="G7894" s="57" t="s">
        <v>15169</v>
      </c>
      <c r="H7894" s="76" t="s">
        <v>15066</v>
      </c>
    </row>
    <row r="7895" spans="2:8" ht="13.5" customHeight="1">
      <c r="B7895" s="209" t="s">
        <v>13954</v>
      </c>
      <c r="D7895" s="208" t="s">
        <v>14548</v>
      </c>
      <c r="F7895" s="57">
        <v>779</v>
      </c>
      <c r="G7895" s="57" t="s">
        <v>15169</v>
      </c>
      <c r="H7895" s="76" t="s">
        <v>15039</v>
      </c>
    </row>
    <row r="7896" spans="2:8" ht="13.5" customHeight="1">
      <c r="B7896" s="209" t="s">
        <v>13955</v>
      </c>
      <c r="D7896" s="208" t="s">
        <v>14549</v>
      </c>
      <c r="F7896" s="57">
        <v>851</v>
      </c>
      <c r="G7896" s="57" t="s">
        <v>15169</v>
      </c>
      <c r="H7896" s="76" t="s">
        <v>15069</v>
      </c>
    </row>
    <row r="7897" spans="2:8" ht="13.5" customHeight="1">
      <c r="B7897" s="209" t="s">
        <v>13956</v>
      </c>
      <c r="D7897" s="208" t="s">
        <v>14550</v>
      </c>
      <c r="F7897" s="57">
        <v>67</v>
      </c>
      <c r="G7897" s="57" t="s">
        <v>15169</v>
      </c>
      <c r="H7897" s="76" t="s">
        <v>15046</v>
      </c>
    </row>
    <row r="7898" spans="2:8" ht="13.5" customHeight="1">
      <c r="B7898" s="209" t="s">
        <v>5864</v>
      </c>
      <c r="D7898" s="208" t="s">
        <v>14551</v>
      </c>
      <c r="F7898" s="57">
        <v>57</v>
      </c>
      <c r="G7898" s="57" t="s">
        <v>15169</v>
      </c>
      <c r="H7898" s="76" t="s">
        <v>15046</v>
      </c>
    </row>
    <row r="7899" spans="2:8" ht="13.5" customHeight="1">
      <c r="B7899" s="209" t="s">
        <v>13957</v>
      </c>
      <c r="D7899" s="208">
        <v>74456115</v>
      </c>
      <c r="F7899" s="57">
        <v>8885</v>
      </c>
      <c r="G7899" s="57" t="s">
        <v>15169</v>
      </c>
      <c r="H7899" s="76" t="s">
        <v>15069</v>
      </c>
    </row>
    <row r="7900" spans="2:8" ht="13.5" customHeight="1">
      <c r="B7900" s="209" t="s">
        <v>13958</v>
      </c>
      <c r="D7900" s="208" t="s">
        <v>14552</v>
      </c>
      <c r="F7900" s="57">
        <v>34</v>
      </c>
      <c r="G7900" s="57" t="s">
        <v>15169</v>
      </c>
      <c r="H7900" s="76" t="s">
        <v>15046</v>
      </c>
    </row>
    <row r="7901" spans="2:8" ht="13.5" customHeight="1">
      <c r="B7901" s="209" t="s">
        <v>13959</v>
      </c>
      <c r="D7901" s="208" t="s">
        <v>14553</v>
      </c>
      <c r="F7901" s="57">
        <v>580</v>
      </c>
      <c r="G7901" s="57" t="s">
        <v>15169</v>
      </c>
      <c r="H7901" s="76" t="s">
        <v>15044</v>
      </c>
    </row>
    <row r="7902" spans="2:8" ht="13.5" customHeight="1">
      <c r="B7902" s="209"/>
      <c r="D7902" s="208" t="s">
        <v>14554</v>
      </c>
      <c r="F7902" s="57">
        <v>425</v>
      </c>
      <c r="G7902" s="57" t="s">
        <v>15169</v>
      </c>
      <c r="H7902" s="76" t="s">
        <v>15069</v>
      </c>
    </row>
    <row r="7903" spans="2:8" ht="13.5" customHeight="1">
      <c r="B7903" s="209"/>
      <c r="D7903" s="208" t="s">
        <v>14555</v>
      </c>
      <c r="F7903" s="57">
        <v>196</v>
      </c>
      <c r="G7903" s="57" t="s">
        <v>15169</v>
      </c>
      <c r="H7903" s="76" t="s">
        <v>15069</v>
      </c>
    </row>
    <row r="7904" spans="2:8" ht="13.5" customHeight="1">
      <c r="B7904" s="209" t="s">
        <v>13960</v>
      </c>
      <c r="D7904" s="208" t="s">
        <v>14556</v>
      </c>
      <c r="F7904" s="57">
        <v>7</v>
      </c>
      <c r="G7904" s="57" t="s">
        <v>15169</v>
      </c>
      <c r="H7904" s="76" t="s">
        <v>15046</v>
      </c>
    </row>
    <row r="7905" spans="2:8" ht="13.5" customHeight="1">
      <c r="B7905" s="209" t="s">
        <v>13961</v>
      </c>
      <c r="D7905" s="208" t="s">
        <v>14557</v>
      </c>
      <c r="F7905" s="57">
        <v>1244</v>
      </c>
      <c r="G7905" s="57" t="s">
        <v>15169</v>
      </c>
      <c r="H7905" s="76" t="s">
        <v>15072</v>
      </c>
    </row>
    <row r="7906" spans="2:8" ht="13.5" customHeight="1">
      <c r="B7906" s="209" t="s">
        <v>13962</v>
      </c>
      <c r="D7906" s="208" t="s">
        <v>14558</v>
      </c>
      <c r="F7906" s="57">
        <v>761</v>
      </c>
      <c r="G7906" s="57" t="s">
        <v>15169</v>
      </c>
      <c r="H7906" s="76" t="s">
        <v>15072</v>
      </c>
    </row>
    <row r="7907" spans="2:8" ht="13.5" customHeight="1">
      <c r="B7907" s="209" t="s">
        <v>13963</v>
      </c>
      <c r="D7907" s="208" t="s">
        <v>14559</v>
      </c>
      <c r="F7907" s="57">
        <v>2756</v>
      </c>
      <c r="G7907" s="57" t="s">
        <v>15169</v>
      </c>
      <c r="H7907" s="76" t="s">
        <v>15072</v>
      </c>
    </row>
    <row r="7908" spans="2:8" ht="13.5" customHeight="1">
      <c r="B7908" s="209" t="s">
        <v>13964</v>
      </c>
      <c r="D7908" s="208" t="s">
        <v>14560</v>
      </c>
      <c r="F7908" s="57">
        <v>7729</v>
      </c>
      <c r="G7908" s="57" t="s">
        <v>15169</v>
      </c>
      <c r="H7908" s="76" t="s">
        <v>15073</v>
      </c>
    </row>
    <row r="7909" spans="2:8" ht="13.5" customHeight="1">
      <c r="B7909" s="209" t="s">
        <v>778</v>
      </c>
      <c r="D7909" s="208" t="s">
        <v>14561</v>
      </c>
      <c r="F7909" s="57">
        <v>957</v>
      </c>
      <c r="G7909" s="57" t="s">
        <v>15169</v>
      </c>
      <c r="H7909" s="76" t="s">
        <v>15072</v>
      </c>
    </row>
    <row r="7910" spans="2:8" ht="13.5" customHeight="1">
      <c r="B7910" s="209" t="s">
        <v>13965</v>
      </c>
      <c r="D7910" s="208" t="s">
        <v>14562</v>
      </c>
      <c r="F7910" s="57">
        <v>6943</v>
      </c>
      <c r="G7910" s="57" t="s">
        <v>15169</v>
      </c>
      <c r="H7910" s="76" t="s">
        <v>15073</v>
      </c>
    </row>
    <row r="7911" spans="2:8" ht="13.5" customHeight="1">
      <c r="B7911" s="209" t="s">
        <v>13966</v>
      </c>
      <c r="D7911" s="208" t="s">
        <v>14563</v>
      </c>
      <c r="F7911" s="57">
        <v>429</v>
      </c>
      <c r="G7911" s="57" t="s">
        <v>15169</v>
      </c>
      <c r="H7911" s="76" t="s">
        <v>15072</v>
      </c>
    </row>
    <row r="7912" spans="2:8" ht="13.5" customHeight="1">
      <c r="B7912" s="209" t="s">
        <v>13967</v>
      </c>
      <c r="D7912" s="208" t="s">
        <v>5649</v>
      </c>
      <c r="F7912" s="57">
        <v>64</v>
      </c>
      <c r="G7912" s="57" t="s">
        <v>15169</v>
      </c>
      <c r="H7912" s="76" t="s">
        <v>15074</v>
      </c>
    </row>
    <row r="7913" spans="2:8" ht="13.5" customHeight="1">
      <c r="B7913" s="209" t="s">
        <v>13968</v>
      </c>
      <c r="D7913" s="208" t="s">
        <v>14564</v>
      </c>
      <c r="F7913" s="57">
        <v>228</v>
      </c>
      <c r="G7913" s="57" t="s">
        <v>15169</v>
      </c>
      <c r="H7913" s="76" t="s">
        <v>15075</v>
      </c>
    </row>
    <row r="7914" spans="2:8" ht="13.5" customHeight="1">
      <c r="B7914" s="209" t="s">
        <v>13969</v>
      </c>
      <c r="D7914" s="208" t="s">
        <v>14565</v>
      </c>
      <c r="F7914" s="57">
        <v>485</v>
      </c>
      <c r="G7914" s="57" t="s">
        <v>15169</v>
      </c>
      <c r="H7914" s="76" t="s">
        <v>15071</v>
      </c>
    </row>
    <row r="7915" spans="2:8" ht="13.5" customHeight="1">
      <c r="B7915" s="209" t="s">
        <v>13970</v>
      </c>
      <c r="D7915" s="208" t="s">
        <v>6905</v>
      </c>
      <c r="F7915" s="57">
        <v>1372</v>
      </c>
      <c r="G7915" s="57" t="s">
        <v>15169</v>
      </c>
      <c r="H7915" s="76" t="s">
        <v>15076</v>
      </c>
    </row>
    <row r="7916" spans="2:8" ht="13.5" customHeight="1">
      <c r="B7916" s="209" t="s">
        <v>13971</v>
      </c>
      <c r="D7916" s="208" t="s">
        <v>14566</v>
      </c>
      <c r="F7916" s="57">
        <v>417</v>
      </c>
      <c r="G7916" s="57" t="s">
        <v>15169</v>
      </c>
      <c r="H7916" s="76" t="s">
        <v>15071</v>
      </c>
    </row>
    <row r="7917" spans="2:8" ht="13.5" customHeight="1">
      <c r="B7917" s="209" t="s">
        <v>13972</v>
      </c>
      <c r="D7917" s="208" t="s">
        <v>6901</v>
      </c>
      <c r="F7917" s="57">
        <v>20</v>
      </c>
      <c r="G7917" s="57" t="s">
        <v>15169</v>
      </c>
      <c r="H7917" s="76" t="s">
        <v>15071</v>
      </c>
    </row>
    <row r="7918" spans="2:8" ht="13.5" customHeight="1">
      <c r="B7918" s="209" t="s">
        <v>13973</v>
      </c>
      <c r="D7918" s="208" t="s">
        <v>6907</v>
      </c>
      <c r="F7918" s="57">
        <v>1111</v>
      </c>
      <c r="G7918" s="57" t="s">
        <v>15169</v>
      </c>
      <c r="H7918" s="76" t="s">
        <v>15071</v>
      </c>
    </row>
    <row r="7919" spans="2:8" ht="13.5" customHeight="1">
      <c r="B7919" s="209" t="s">
        <v>13974</v>
      </c>
      <c r="D7919" s="208" t="s">
        <v>14567</v>
      </c>
      <c r="F7919" s="57">
        <v>188</v>
      </c>
      <c r="G7919" s="57" t="s">
        <v>15169</v>
      </c>
      <c r="H7919" s="76" t="s">
        <v>15047</v>
      </c>
    </row>
    <row r="7920" spans="2:8" ht="13.5" customHeight="1">
      <c r="B7920" s="209" t="s">
        <v>13975</v>
      </c>
      <c r="D7920" s="208" t="s">
        <v>14568</v>
      </c>
      <c r="F7920" s="57">
        <v>543</v>
      </c>
      <c r="G7920" s="57" t="s">
        <v>15169</v>
      </c>
      <c r="H7920" s="76" t="s">
        <v>15047</v>
      </c>
    </row>
    <row r="7921" spans="2:8" ht="13.5" customHeight="1">
      <c r="B7921" s="209" t="s">
        <v>13976</v>
      </c>
      <c r="D7921" s="208" t="s">
        <v>14569</v>
      </c>
      <c r="F7921" s="57">
        <v>1040</v>
      </c>
      <c r="G7921" s="57" t="s">
        <v>15169</v>
      </c>
      <c r="H7921" s="76" t="s">
        <v>15047</v>
      </c>
    </row>
    <row r="7922" spans="2:8" ht="13.5" customHeight="1">
      <c r="B7922" s="209" t="s">
        <v>13977</v>
      </c>
      <c r="D7922" s="208" t="s">
        <v>14570</v>
      </c>
      <c r="F7922" s="57">
        <v>1961</v>
      </c>
      <c r="G7922" s="57" t="s">
        <v>15169</v>
      </c>
      <c r="H7922" s="76" t="s">
        <v>15047</v>
      </c>
    </row>
    <row r="7923" spans="2:8" ht="13.5" customHeight="1">
      <c r="B7923" s="209" t="s">
        <v>13978</v>
      </c>
      <c r="D7923" s="208" t="s">
        <v>14571</v>
      </c>
      <c r="F7923" s="57">
        <v>138</v>
      </c>
      <c r="G7923" s="57" t="s">
        <v>15169</v>
      </c>
      <c r="H7923" s="76" t="s">
        <v>15047</v>
      </c>
    </row>
    <row r="7924" spans="2:8" ht="13.5" customHeight="1">
      <c r="B7924" s="209" t="s">
        <v>13979</v>
      </c>
      <c r="D7924" s="208" t="s">
        <v>14572</v>
      </c>
      <c r="F7924" s="57">
        <v>374</v>
      </c>
      <c r="G7924" s="57" t="s">
        <v>15169</v>
      </c>
      <c r="H7924" s="76" t="s">
        <v>15047</v>
      </c>
    </row>
    <row r="7925" spans="2:8" ht="13.5" customHeight="1">
      <c r="B7925" s="209" t="s">
        <v>6900</v>
      </c>
      <c r="D7925" s="208" t="s">
        <v>14573</v>
      </c>
      <c r="F7925" s="57">
        <v>9</v>
      </c>
      <c r="G7925" s="57" t="s">
        <v>15169</v>
      </c>
      <c r="H7925" s="76" t="s">
        <v>15077</v>
      </c>
    </row>
    <row r="7926" spans="2:8" ht="13.5" customHeight="1">
      <c r="B7926" s="209" t="s">
        <v>13980</v>
      </c>
      <c r="D7926" s="208" t="s">
        <v>14574</v>
      </c>
      <c r="F7926" s="57">
        <v>457</v>
      </c>
      <c r="G7926" s="57" t="s">
        <v>15169</v>
      </c>
      <c r="H7926" s="76" t="s">
        <v>15077</v>
      </c>
    </row>
    <row r="7927" spans="2:8" ht="13.5" customHeight="1">
      <c r="B7927" s="209" t="s">
        <v>7046</v>
      </c>
      <c r="D7927" s="208" t="s">
        <v>7047</v>
      </c>
      <c r="F7927" s="57">
        <v>295</v>
      </c>
      <c r="G7927" s="57" t="s">
        <v>15169</v>
      </c>
      <c r="H7927" s="76" t="s">
        <v>15076</v>
      </c>
    </row>
    <row r="7928" spans="2:8" ht="13.5" customHeight="1">
      <c r="B7928" s="209" t="s">
        <v>13981</v>
      </c>
      <c r="D7928" s="208" t="s">
        <v>14575</v>
      </c>
      <c r="F7928" s="57">
        <v>505</v>
      </c>
      <c r="G7928" s="57" t="s">
        <v>15169</v>
      </c>
      <c r="H7928" s="76" t="s">
        <v>15078</v>
      </c>
    </row>
    <row r="7929" spans="2:8" ht="13.5" customHeight="1">
      <c r="B7929" s="209" t="s">
        <v>13982</v>
      </c>
      <c r="D7929" s="208" t="s">
        <v>14576</v>
      </c>
      <c r="F7929" s="57">
        <v>131</v>
      </c>
      <c r="G7929" s="57" t="s">
        <v>15169</v>
      </c>
      <c r="H7929" s="76" t="s">
        <v>15079</v>
      </c>
    </row>
    <row r="7930" spans="2:8" ht="13.5" customHeight="1">
      <c r="B7930" s="209" t="s">
        <v>13983</v>
      </c>
      <c r="D7930" s="208" t="s">
        <v>14577</v>
      </c>
      <c r="F7930" s="57">
        <v>34</v>
      </c>
      <c r="G7930" s="57" t="s">
        <v>15169</v>
      </c>
      <c r="H7930" s="76" t="s">
        <v>15079</v>
      </c>
    </row>
    <row r="7931" spans="2:8" ht="13.5" customHeight="1">
      <c r="B7931" s="209" t="s">
        <v>13984</v>
      </c>
      <c r="D7931" s="208" t="s">
        <v>14578</v>
      </c>
      <c r="F7931" s="57">
        <v>135</v>
      </c>
      <c r="G7931" s="57" t="s">
        <v>15169</v>
      </c>
      <c r="H7931" s="76" t="s">
        <v>15079</v>
      </c>
    </row>
    <row r="7932" spans="2:8" ht="13.5" customHeight="1">
      <c r="B7932" s="209" t="s">
        <v>5566</v>
      </c>
      <c r="D7932" s="208" t="s">
        <v>14579</v>
      </c>
      <c r="F7932" s="57">
        <v>5</v>
      </c>
      <c r="G7932" s="57" t="s">
        <v>15169</v>
      </c>
      <c r="H7932" s="76" t="s">
        <v>15064</v>
      </c>
    </row>
    <row r="7933" spans="2:8" ht="13.5" customHeight="1">
      <c r="B7933" s="209" t="s">
        <v>13985</v>
      </c>
      <c r="D7933" s="208" t="s">
        <v>14580</v>
      </c>
      <c r="F7933" s="57">
        <v>320</v>
      </c>
      <c r="G7933" s="57" t="s">
        <v>15169</v>
      </c>
      <c r="H7933" s="76" t="s">
        <v>15071</v>
      </c>
    </row>
    <row r="7934" spans="2:8" ht="13.5" customHeight="1">
      <c r="B7934" s="209" t="s">
        <v>13986</v>
      </c>
      <c r="D7934" s="208" t="s">
        <v>14581</v>
      </c>
      <c r="F7934" s="57">
        <v>50</v>
      </c>
      <c r="G7934" s="57" t="s">
        <v>15169</v>
      </c>
      <c r="H7934" s="76" t="s">
        <v>15071</v>
      </c>
    </row>
    <row r="7935" spans="2:8" ht="13.5" customHeight="1">
      <c r="B7935" s="209" t="s">
        <v>13987</v>
      </c>
      <c r="D7935" s="208" t="s">
        <v>14582</v>
      </c>
      <c r="F7935" s="57">
        <v>79</v>
      </c>
      <c r="G7935" s="57" t="s">
        <v>15169</v>
      </c>
      <c r="H7935" s="76" t="s">
        <v>15049</v>
      </c>
    </row>
    <row r="7936" spans="2:8" ht="13.5" customHeight="1">
      <c r="B7936" s="209" t="s">
        <v>13988</v>
      </c>
      <c r="D7936" s="208" t="s">
        <v>14583</v>
      </c>
      <c r="F7936" s="57">
        <v>169</v>
      </c>
      <c r="G7936" s="57" t="s">
        <v>15169</v>
      </c>
      <c r="H7936" s="76" t="s">
        <v>15047</v>
      </c>
    </row>
    <row r="7937" spans="2:8" ht="13.5" customHeight="1">
      <c r="B7937" s="209" t="s">
        <v>13989</v>
      </c>
      <c r="D7937" s="208" t="s">
        <v>14584</v>
      </c>
      <c r="F7937" s="57">
        <v>499</v>
      </c>
      <c r="G7937" s="57" t="s">
        <v>15169</v>
      </c>
      <c r="H7937" s="76" t="s">
        <v>15047</v>
      </c>
    </row>
    <row r="7938" spans="2:8" ht="13.5" customHeight="1">
      <c r="B7938" s="209" t="s">
        <v>13990</v>
      </c>
      <c r="D7938" s="208" t="s">
        <v>14585</v>
      </c>
      <c r="F7938" s="57">
        <v>411</v>
      </c>
      <c r="G7938" s="57" t="s">
        <v>15169</v>
      </c>
      <c r="H7938" s="76" t="s">
        <v>15080</v>
      </c>
    </row>
    <row r="7939" spans="2:8" ht="13.5" customHeight="1">
      <c r="B7939" s="209" t="s">
        <v>13991</v>
      </c>
      <c r="D7939" s="208" t="s">
        <v>14586</v>
      </c>
      <c r="F7939" s="57">
        <v>75</v>
      </c>
      <c r="G7939" s="57" t="s">
        <v>15169</v>
      </c>
      <c r="H7939" s="76" t="s">
        <v>15047</v>
      </c>
    </row>
    <row r="7940" spans="2:8" ht="13.5" customHeight="1">
      <c r="B7940" s="209" t="s">
        <v>13992</v>
      </c>
      <c r="D7940" s="225" t="s">
        <v>14587</v>
      </c>
      <c r="F7940" s="57">
        <v>1208</v>
      </c>
      <c r="G7940" s="57" t="s">
        <v>15169</v>
      </c>
      <c r="H7940" s="76" t="s">
        <v>15081</v>
      </c>
    </row>
    <row r="7941" spans="2:8" ht="13.5" customHeight="1">
      <c r="B7941" s="209" t="s">
        <v>13993</v>
      </c>
      <c r="D7941" s="208" t="s">
        <v>14588</v>
      </c>
      <c r="F7941" s="57">
        <v>3951</v>
      </c>
      <c r="G7941" s="57" t="s">
        <v>15169</v>
      </c>
      <c r="H7941" s="76" t="s">
        <v>15082</v>
      </c>
    </row>
    <row r="7942" spans="2:8" ht="13.5" customHeight="1">
      <c r="B7942" s="209" t="s">
        <v>13994</v>
      </c>
      <c r="D7942" s="208" t="s">
        <v>14589</v>
      </c>
      <c r="F7942" s="57">
        <v>14</v>
      </c>
      <c r="G7942" s="57" t="s">
        <v>15169</v>
      </c>
      <c r="H7942" s="76" t="s">
        <v>15082</v>
      </c>
    </row>
    <row r="7943" spans="2:8" ht="13.5" customHeight="1">
      <c r="B7943" s="209" t="s">
        <v>13995</v>
      </c>
      <c r="D7943" s="208" t="s">
        <v>14590</v>
      </c>
      <c r="F7943" s="57">
        <v>744</v>
      </c>
      <c r="G7943" s="57" t="s">
        <v>15169</v>
      </c>
      <c r="H7943" s="76" t="s">
        <v>15082</v>
      </c>
    </row>
    <row r="7944" spans="2:8" ht="13.5" customHeight="1">
      <c r="B7944" s="209" t="s">
        <v>13996</v>
      </c>
      <c r="D7944" s="208" t="s">
        <v>14591</v>
      </c>
      <c r="F7944" s="57">
        <v>199</v>
      </c>
      <c r="G7944" s="57" t="s">
        <v>15169</v>
      </c>
      <c r="H7944" s="76" t="s">
        <v>15047</v>
      </c>
    </row>
    <row r="7945" spans="2:8" ht="13.5" customHeight="1">
      <c r="B7945" s="209" t="s">
        <v>13997</v>
      </c>
      <c r="D7945" s="208" t="s">
        <v>14592</v>
      </c>
      <c r="F7945" s="57">
        <v>93</v>
      </c>
      <c r="G7945" s="57" t="s">
        <v>15169</v>
      </c>
      <c r="H7945" s="76" t="s">
        <v>15077</v>
      </c>
    </row>
    <row r="7946" spans="2:8" ht="13.5" customHeight="1">
      <c r="B7946" s="209" t="s">
        <v>13998</v>
      </c>
      <c r="D7946" s="208" t="s">
        <v>14593</v>
      </c>
      <c r="F7946" s="57">
        <v>399</v>
      </c>
      <c r="G7946" s="57" t="s">
        <v>15169</v>
      </c>
      <c r="H7946" s="76" t="s">
        <v>15077</v>
      </c>
    </row>
    <row r="7947" spans="2:8" ht="13.5" customHeight="1">
      <c r="B7947" s="209" t="s">
        <v>13999</v>
      </c>
      <c r="D7947" s="208" t="s">
        <v>14594</v>
      </c>
      <c r="F7947" s="57">
        <v>7</v>
      </c>
      <c r="G7947" s="57" t="s">
        <v>15169</v>
      </c>
      <c r="H7947" s="76" t="s">
        <v>15077</v>
      </c>
    </row>
    <row r="7948" spans="2:8" ht="13.5" customHeight="1">
      <c r="B7948" s="209" t="s">
        <v>14000</v>
      </c>
      <c r="D7948" s="208" t="s">
        <v>7067</v>
      </c>
      <c r="F7948" s="57">
        <v>1168</v>
      </c>
      <c r="G7948" s="57" t="s">
        <v>15169</v>
      </c>
      <c r="H7948" s="76" t="s">
        <v>15081</v>
      </c>
    </row>
    <row r="7949" spans="2:8" ht="13.5" customHeight="1">
      <c r="B7949" s="209" t="s">
        <v>14001</v>
      </c>
      <c r="D7949" s="208" t="s">
        <v>14595</v>
      </c>
      <c r="F7949" s="57">
        <v>35</v>
      </c>
      <c r="G7949" s="57" t="s">
        <v>15169</v>
      </c>
      <c r="H7949" s="76" t="s">
        <v>15075</v>
      </c>
    </row>
    <row r="7950" spans="2:8" ht="13.5" customHeight="1">
      <c r="B7950" s="209" t="s">
        <v>14002</v>
      </c>
      <c r="D7950" s="208" t="s">
        <v>14596</v>
      </c>
      <c r="F7950" s="57">
        <v>4</v>
      </c>
      <c r="G7950" s="57" t="s">
        <v>15169</v>
      </c>
      <c r="H7950" s="76" t="s">
        <v>15083</v>
      </c>
    </row>
    <row r="7951" spans="2:8" ht="13.5" customHeight="1">
      <c r="B7951" s="209" t="s">
        <v>14003</v>
      </c>
      <c r="D7951" s="208" t="s">
        <v>14597</v>
      </c>
      <c r="F7951" s="57">
        <v>8265</v>
      </c>
      <c r="G7951" s="57" t="s">
        <v>15169</v>
      </c>
      <c r="H7951" s="76" t="s">
        <v>15084</v>
      </c>
    </row>
    <row r="7952" spans="2:8" ht="13.5" customHeight="1">
      <c r="B7952" s="209" t="s">
        <v>14004</v>
      </c>
      <c r="D7952" s="208" t="s">
        <v>14598</v>
      </c>
      <c r="F7952" s="57">
        <v>6001</v>
      </c>
      <c r="G7952" s="57" t="s">
        <v>15169</v>
      </c>
      <c r="H7952" s="76" t="s">
        <v>15065</v>
      </c>
    </row>
    <row r="7953" spans="2:8" ht="13.5" customHeight="1">
      <c r="B7953" s="209" t="s">
        <v>14005</v>
      </c>
      <c r="D7953" s="208" t="s">
        <v>14599</v>
      </c>
      <c r="F7953" s="57">
        <v>17368</v>
      </c>
      <c r="G7953" s="57" t="s">
        <v>15169</v>
      </c>
      <c r="H7953" s="76" t="s">
        <v>15084</v>
      </c>
    </row>
    <row r="7954" spans="2:8" ht="13.5" customHeight="1">
      <c r="B7954" s="209" t="s">
        <v>14006</v>
      </c>
      <c r="D7954" s="208" t="s">
        <v>14600</v>
      </c>
      <c r="F7954" s="57">
        <v>2878</v>
      </c>
      <c r="G7954" s="57" t="s">
        <v>15169</v>
      </c>
      <c r="H7954" s="76" t="s">
        <v>15084</v>
      </c>
    </row>
    <row r="7955" spans="2:8" ht="13.5" customHeight="1">
      <c r="B7955" s="209" t="s">
        <v>14007</v>
      </c>
      <c r="D7955" s="208" t="s">
        <v>14601</v>
      </c>
      <c r="F7955" s="57">
        <v>1</v>
      </c>
      <c r="G7955" s="57" t="s">
        <v>15169</v>
      </c>
      <c r="H7955" s="76" t="s">
        <v>15085</v>
      </c>
    </row>
    <row r="7956" spans="2:8" ht="13.5" customHeight="1">
      <c r="B7956" s="209" t="s">
        <v>14008</v>
      </c>
      <c r="D7956" s="208" t="s">
        <v>14602</v>
      </c>
      <c r="F7956" s="57">
        <v>154</v>
      </c>
      <c r="G7956" s="57" t="s">
        <v>15169</v>
      </c>
      <c r="H7956" s="76" t="s">
        <v>15086</v>
      </c>
    </row>
    <row r="7957" spans="2:8" ht="13.5" customHeight="1">
      <c r="B7957" s="209" t="s">
        <v>14009</v>
      </c>
      <c r="D7957" s="208" t="s">
        <v>14603</v>
      </c>
      <c r="F7957" s="57">
        <v>123</v>
      </c>
      <c r="G7957" s="57" t="s">
        <v>15169</v>
      </c>
      <c r="H7957" s="76" t="s">
        <v>15071</v>
      </c>
    </row>
    <row r="7958" spans="2:8" ht="13.5" customHeight="1">
      <c r="B7958" s="209" t="s">
        <v>14010</v>
      </c>
      <c r="D7958" s="208" t="s">
        <v>14604</v>
      </c>
      <c r="F7958" s="57">
        <v>3649</v>
      </c>
      <c r="G7958" s="57" t="s">
        <v>15169</v>
      </c>
      <c r="H7958" s="76" t="s">
        <v>15085</v>
      </c>
    </row>
    <row r="7959" spans="2:8" ht="13.5" customHeight="1">
      <c r="B7959" s="209" t="s">
        <v>14011</v>
      </c>
      <c r="D7959" s="208" t="s">
        <v>14605</v>
      </c>
      <c r="F7959" s="57">
        <v>173</v>
      </c>
      <c r="G7959" s="57" t="s">
        <v>15169</v>
      </c>
      <c r="H7959" s="76" t="s">
        <v>15085</v>
      </c>
    </row>
    <row r="7960" spans="2:8" ht="13.5" customHeight="1">
      <c r="B7960" s="209" t="s">
        <v>14012</v>
      </c>
      <c r="D7960" s="208" t="s">
        <v>14606</v>
      </c>
      <c r="F7960" s="57">
        <v>12049</v>
      </c>
      <c r="G7960" s="57" t="s">
        <v>15169</v>
      </c>
      <c r="H7960" s="76" t="s">
        <v>15087</v>
      </c>
    </row>
    <row r="7961" spans="2:8" ht="13.5" customHeight="1">
      <c r="B7961" s="209" t="s">
        <v>14013</v>
      </c>
      <c r="D7961" s="208" t="s">
        <v>14607</v>
      </c>
      <c r="F7961" s="57">
        <v>6</v>
      </c>
      <c r="G7961" s="57" t="s">
        <v>15169</v>
      </c>
      <c r="H7961" s="76" t="s">
        <v>15048</v>
      </c>
    </row>
    <row r="7962" spans="2:8" ht="13.5" customHeight="1">
      <c r="B7962" s="209" t="s">
        <v>14014</v>
      </c>
      <c r="D7962" s="208" t="s">
        <v>14608</v>
      </c>
      <c r="F7962" s="57">
        <v>9</v>
      </c>
      <c r="G7962" s="57" t="s">
        <v>15169</v>
      </c>
      <c r="H7962" s="76" t="s">
        <v>15088</v>
      </c>
    </row>
    <row r="7963" spans="2:8" ht="13.5" customHeight="1">
      <c r="B7963" s="209" t="s">
        <v>14015</v>
      </c>
      <c r="D7963" s="208" t="s">
        <v>14609</v>
      </c>
      <c r="F7963" s="57">
        <v>715</v>
      </c>
      <c r="G7963" s="57" t="s">
        <v>15169</v>
      </c>
      <c r="H7963" s="76" t="s">
        <v>15088</v>
      </c>
    </row>
    <row r="7964" spans="2:8" ht="13.5" customHeight="1">
      <c r="B7964" s="209" t="s">
        <v>14016</v>
      </c>
      <c r="D7964" s="208" t="s">
        <v>3056</v>
      </c>
      <c r="F7964" s="57">
        <v>16</v>
      </c>
      <c r="G7964" s="57" t="s">
        <v>15169</v>
      </c>
      <c r="H7964" s="76" t="s">
        <v>15088</v>
      </c>
    </row>
    <row r="7965" spans="2:8" ht="13.5" customHeight="1">
      <c r="B7965" s="209" t="s">
        <v>14017</v>
      </c>
      <c r="D7965" s="208" t="s">
        <v>14610</v>
      </c>
      <c r="F7965" s="57">
        <v>221</v>
      </c>
      <c r="G7965" s="57" t="s">
        <v>15169</v>
      </c>
      <c r="H7965" s="76" t="s">
        <v>15089</v>
      </c>
    </row>
    <row r="7966" spans="2:8" ht="13.5" customHeight="1">
      <c r="B7966" s="209" t="s">
        <v>14018</v>
      </c>
      <c r="D7966" s="208" t="s">
        <v>14611</v>
      </c>
      <c r="F7966" s="57">
        <v>203</v>
      </c>
      <c r="G7966" s="57" t="s">
        <v>15169</v>
      </c>
      <c r="H7966" s="76" t="s">
        <v>15078</v>
      </c>
    </row>
    <row r="7967" spans="2:8" ht="13.5" customHeight="1">
      <c r="B7967" s="209" t="s">
        <v>14019</v>
      </c>
      <c r="D7967" s="208" t="s">
        <v>14612</v>
      </c>
      <c r="F7967" s="57">
        <v>350</v>
      </c>
      <c r="G7967" s="57" t="s">
        <v>15169</v>
      </c>
      <c r="H7967" s="76" t="s">
        <v>15078</v>
      </c>
    </row>
    <row r="7968" spans="2:8" ht="13.5" customHeight="1">
      <c r="B7968" s="209" t="s">
        <v>14020</v>
      </c>
      <c r="D7968" s="208" t="s">
        <v>14613</v>
      </c>
      <c r="F7968" s="57">
        <v>843</v>
      </c>
      <c r="G7968" s="57" t="s">
        <v>15169</v>
      </c>
      <c r="H7968" s="76" t="s">
        <v>15078</v>
      </c>
    </row>
    <row r="7969" spans="2:8" ht="13.5" customHeight="1">
      <c r="B7969" s="209" t="s">
        <v>14021</v>
      </c>
      <c r="D7969" s="208" t="s">
        <v>14614</v>
      </c>
      <c r="F7969" s="57">
        <v>297</v>
      </c>
      <c r="G7969" s="57" t="s">
        <v>15169</v>
      </c>
      <c r="H7969" s="76" t="s">
        <v>15078</v>
      </c>
    </row>
    <row r="7970" spans="2:8" ht="13.5" customHeight="1">
      <c r="B7970" s="209" t="s">
        <v>14022</v>
      </c>
      <c r="D7970" s="225" t="s">
        <v>14615</v>
      </c>
      <c r="F7970" s="57">
        <v>1380</v>
      </c>
      <c r="G7970" s="57" t="s">
        <v>15169</v>
      </c>
      <c r="H7970" s="76" t="s">
        <v>15090</v>
      </c>
    </row>
    <row r="7971" spans="2:8" ht="13.5" customHeight="1">
      <c r="B7971" s="209" t="s">
        <v>14023</v>
      </c>
      <c r="D7971" s="208" t="s">
        <v>14616</v>
      </c>
      <c r="F7971" s="57">
        <v>1393</v>
      </c>
      <c r="G7971" s="57" t="s">
        <v>15169</v>
      </c>
      <c r="H7971" s="76" t="s">
        <v>15090</v>
      </c>
    </row>
    <row r="7972" spans="2:8" ht="13.5" customHeight="1">
      <c r="B7972" s="209" t="s">
        <v>14024</v>
      </c>
      <c r="D7972" s="208" t="s">
        <v>14617</v>
      </c>
      <c r="F7972" s="57">
        <v>7659</v>
      </c>
      <c r="G7972" s="57" t="s">
        <v>15169</v>
      </c>
      <c r="H7972" s="76" t="s">
        <v>15091</v>
      </c>
    </row>
    <row r="7973" spans="2:8" ht="13.5" customHeight="1">
      <c r="B7973" s="209" t="s">
        <v>14025</v>
      </c>
      <c r="D7973" s="208" t="s">
        <v>14618</v>
      </c>
      <c r="F7973" s="57">
        <v>163</v>
      </c>
      <c r="G7973" s="57" t="s">
        <v>15169</v>
      </c>
      <c r="H7973" s="76" t="s">
        <v>15092</v>
      </c>
    </row>
    <row r="7974" spans="2:8" ht="13.5" customHeight="1">
      <c r="B7974" s="209" t="s">
        <v>14026</v>
      </c>
      <c r="D7974" s="208" t="s">
        <v>14619</v>
      </c>
      <c r="F7974" s="57">
        <v>2200</v>
      </c>
      <c r="G7974" s="57" t="s">
        <v>15169</v>
      </c>
      <c r="H7974" s="76" t="s">
        <v>15081</v>
      </c>
    </row>
    <row r="7975" spans="2:8" ht="13.5" customHeight="1">
      <c r="B7975" s="209" t="s">
        <v>14027</v>
      </c>
      <c r="D7975" s="208" t="s">
        <v>14620</v>
      </c>
      <c r="F7975" s="57">
        <v>134</v>
      </c>
      <c r="G7975" s="57" t="s">
        <v>15169</v>
      </c>
      <c r="H7975" s="76" t="s">
        <v>15081</v>
      </c>
    </row>
    <row r="7976" spans="2:8" ht="13.5" customHeight="1">
      <c r="B7976" s="209" t="s">
        <v>14028</v>
      </c>
      <c r="D7976" s="227" t="s">
        <v>14621</v>
      </c>
      <c r="F7976" s="57">
        <v>741</v>
      </c>
      <c r="G7976" s="57" t="s">
        <v>15169</v>
      </c>
      <c r="H7976" s="76" t="s">
        <v>15062</v>
      </c>
    </row>
    <row r="7977" spans="2:8" ht="13.5" customHeight="1">
      <c r="B7977" s="209" t="s">
        <v>14029</v>
      </c>
      <c r="D7977" s="208" t="s">
        <v>14622</v>
      </c>
      <c r="F7977" s="57">
        <v>2</v>
      </c>
      <c r="G7977" s="57" t="s">
        <v>15169</v>
      </c>
      <c r="H7977" s="76" t="s">
        <v>15091</v>
      </c>
    </row>
    <row r="7978" spans="2:8" ht="13.5" customHeight="1">
      <c r="B7978" s="209" t="s">
        <v>14030</v>
      </c>
      <c r="D7978" s="208" t="s">
        <v>14623</v>
      </c>
      <c r="F7978" s="57">
        <v>10416</v>
      </c>
      <c r="G7978" s="57" t="s">
        <v>15169</v>
      </c>
      <c r="H7978" s="76" t="s">
        <v>2674</v>
      </c>
    </row>
    <row r="7979" spans="2:8" ht="13.5" customHeight="1">
      <c r="B7979" s="209" t="s">
        <v>14031</v>
      </c>
      <c r="D7979" s="208" t="s">
        <v>14624</v>
      </c>
      <c r="F7979" s="57">
        <v>956</v>
      </c>
      <c r="G7979" s="57" t="s">
        <v>15169</v>
      </c>
      <c r="H7979" s="76" t="s">
        <v>15093</v>
      </c>
    </row>
    <row r="7980" spans="2:8" ht="13.5" customHeight="1">
      <c r="B7980" s="209" t="s">
        <v>14032</v>
      </c>
      <c r="D7980" s="208" t="s">
        <v>14625</v>
      </c>
      <c r="F7980" s="57">
        <v>1000</v>
      </c>
      <c r="G7980" s="57" t="s">
        <v>15169</v>
      </c>
      <c r="H7980" s="76" t="s">
        <v>15093</v>
      </c>
    </row>
    <row r="7981" spans="2:8" ht="13.5" customHeight="1">
      <c r="B7981" s="209" t="s">
        <v>14033</v>
      </c>
      <c r="D7981" s="208" t="s">
        <v>14626</v>
      </c>
      <c r="F7981" s="57">
        <v>133</v>
      </c>
      <c r="G7981" s="57" t="s">
        <v>15169</v>
      </c>
      <c r="H7981" s="76" t="s">
        <v>15094</v>
      </c>
    </row>
    <row r="7982" spans="2:8" ht="13.5" customHeight="1">
      <c r="B7982" s="209" t="s">
        <v>14034</v>
      </c>
      <c r="D7982" s="208" t="s">
        <v>14627</v>
      </c>
      <c r="F7982" s="57">
        <v>127</v>
      </c>
      <c r="G7982" s="57" t="s">
        <v>15169</v>
      </c>
      <c r="H7982" s="76" t="s">
        <v>15094</v>
      </c>
    </row>
    <row r="7983" spans="2:8" ht="13.5" customHeight="1">
      <c r="B7983" s="209" t="s">
        <v>14035</v>
      </c>
      <c r="D7983" s="208" t="s">
        <v>14628</v>
      </c>
      <c r="F7983" s="57">
        <v>278</v>
      </c>
      <c r="G7983" s="57" t="s">
        <v>15169</v>
      </c>
      <c r="H7983" s="76" t="s">
        <v>15094</v>
      </c>
    </row>
    <row r="7984" spans="2:8" ht="13.5" customHeight="1">
      <c r="B7984" s="209" t="s">
        <v>14036</v>
      </c>
      <c r="D7984" s="208" t="s">
        <v>14629</v>
      </c>
      <c r="F7984" s="57">
        <v>50</v>
      </c>
      <c r="G7984" s="57" t="s">
        <v>15169</v>
      </c>
      <c r="H7984" s="76" t="s">
        <v>15095</v>
      </c>
    </row>
    <row r="7985" spans="2:8" ht="13.5" customHeight="1">
      <c r="B7985" s="209" t="s">
        <v>14037</v>
      </c>
      <c r="D7985" s="208" t="s">
        <v>14630</v>
      </c>
      <c r="F7985" s="57">
        <v>167</v>
      </c>
      <c r="G7985" s="57" t="s">
        <v>15169</v>
      </c>
      <c r="H7985" s="76" t="s">
        <v>15071</v>
      </c>
    </row>
    <row r="7986" spans="2:8" ht="13.5" customHeight="1">
      <c r="B7986" s="209" t="s">
        <v>14038</v>
      </c>
      <c r="D7986" s="208" t="s">
        <v>14631</v>
      </c>
      <c r="F7986" s="57">
        <v>165</v>
      </c>
      <c r="G7986" s="57" t="s">
        <v>15169</v>
      </c>
      <c r="H7986" s="76" t="s">
        <v>15071</v>
      </c>
    </row>
    <row r="7987" spans="2:8" ht="13.5" customHeight="1">
      <c r="B7987" s="209" t="s">
        <v>1404</v>
      </c>
      <c r="D7987" s="208" t="s">
        <v>1405</v>
      </c>
      <c r="F7987" s="57">
        <v>152</v>
      </c>
      <c r="G7987" s="57" t="s">
        <v>15169</v>
      </c>
      <c r="H7987" s="76" t="s">
        <v>15071</v>
      </c>
    </row>
    <row r="7988" spans="2:8" ht="13.5" customHeight="1">
      <c r="B7988" s="209" t="s">
        <v>14039</v>
      </c>
      <c r="D7988" s="208" t="s">
        <v>14632</v>
      </c>
      <c r="F7988" s="57">
        <v>100</v>
      </c>
      <c r="G7988" s="57" t="s">
        <v>15169</v>
      </c>
      <c r="H7988" s="76" t="s">
        <v>15071</v>
      </c>
    </row>
    <row r="7989" spans="2:8" ht="13.5" customHeight="1">
      <c r="B7989" s="209" t="s">
        <v>14040</v>
      </c>
      <c r="D7989" s="208" t="s">
        <v>14633</v>
      </c>
      <c r="F7989" s="57">
        <v>100</v>
      </c>
      <c r="G7989" s="57" t="s">
        <v>15169</v>
      </c>
      <c r="H7989" s="76" t="s">
        <v>15071</v>
      </c>
    </row>
    <row r="7990" spans="2:8" ht="13.5" customHeight="1">
      <c r="B7990" s="209" t="s">
        <v>14041</v>
      </c>
      <c r="D7990" s="208" t="s">
        <v>14634</v>
      </c>
      <c r="F7990" s="57">
        <v>100</v>
      </c>
      <c r="G7990" s="57" t="s">
        <v>15169</v>
      </c>
      <c r="H7990" s="76" t="s">
        <v>15095</v>
      </c>
    </row>
    <row r="7991" spans="2:8" ht="13.5" customHeight="1">
      <c r="B7991" s="209" t="s">
        <v>3708</v>
      </c>
      <c r="D7991" s="208" t="s">
        <v>14635</v>
      </c>
      <c r="F7991" s="57">
        <v>5</v>
      </c>
      <c r="G7991" s="57" t="s">
        <v>15169</v>
      </c>
      <c r="H7991" s="76" t="s">
        <v>15095</v>
      </c>
    </row>
    <row r="7992" spans="2:8" ht="13.5" customHeight="1">
      <c r="B7992" s="209" t="s">
        <v>14042</v>
      </c>
      <c r="D7992" s="208" t="s">
        <v>14636</v>
      </c>
      <c r="F7992" s="57">
        <v>2644</v>
      </c>
      <c r="G7992" s="57" t="s">
        <v>15169</v>
      </c>
      <c r="H7992" s="76" t="s">
        <v>15096</v>
      </c>
    </row>
    <row r="7993" spans="2:8" ht="13.5" customHeight="1">
      <c r="B7993" s="209" t="s">
        <v>14043</v>
      </c>
      <c r="D7993" s="208" t="s">
        <v>14637</v>
      </c>
      <c r="F7993" s="57">
        <v>144</v>
      </c>
      <c r="G7993" s="57" t="s">
        <v>15169</v>
      </c>
      <c r="H7993" s="76" t="s">
        <v>15097</v>
      </c>
    </row>
    <row r="7994" spans="2:8" ht="13.5" customHeight="1">
      <c r="B7994" s="209" t="s">
        <v>14044</v>
      </c>
      <c r="D7994" s="208" t="s">
        <v>14638</v>
      </c>
      <c r="F7994" s="57">
        <v>2840</v>
      </c>
      <c r="G7994" s="57" t="s">
        <v>15169</v>
      </c>
      <c r="H7994" s="76" t="s">
        <v>15092</v>
      </c>
    </row>
    <row r="7995" spans="2:8" ht="13.5" customHeight="1">
      <c r="B7995" s="209" t="s">
        <v>14045</v>
      </c>
      <c r="D7995" s="208" t="s">
        <v>14639</v>
      </c>
      <c r="F7995" s="57">
        <v>49</v>
      </c>
      <c r="G7995" s="57" t="s">
        <v>15169</v>
      </c>
      <c r="H7995" s="76" t="s">
        <v>15095</v>
      </c>
    </row>
    <row r="7996" spans="2:8" ht="13.5" customHeight="1">
      <c r="B7996" s="209" t="s">
        <v>14046</v>
      </c>
      <c r="D7996" s="208" t="s">
        <v>14640</v>
      </c>
      <c r="F7996" s="57">
        <v>87612</v>
      </c>
      <c r="G7996" s="57" t="s">
        <v>15169</v>
      </c>
      <c r="H7996" s="76" t="s">
        <v>15098</v>
      </c>
    </row>
    <row r="7997" spans="2:8" ht="13.5" customHeight="1">
      <c r="B7997" s="209" t="s">
        <v>14047</v>
      </c>
      <c r="D7997" s="208" t="s">
        <v>14641</v>
      </c>
      <c r="F7997" s="57">
        <v>14</v>
      </c>
      <c r="G7997" s="57" t="s">
        <v>15169</v>
      </c>
      <c r="H7997" s="76" t="s">
        <v>15097</v>
      </c>
    </row>
    <row r="7998" spans="2:8" ht="13.5" customHeight="1">
      <c r="B7998" s="209" t="s">
        <v>6957</v>
      </c>
      <c r="D7998" s="208" t="s">
        <v>6957</v>
      </c>
      <c r="F7998" s="57">
        <v>253</v>
      </c>
      <c r="G7998" s="57" t="s">
        <v>15169</v>
      </c>
      <c r="H7998" s="76" t="s">
        <v>15099</v>
      </c>
    </row>
    <row r="7999" spans="2:8" ht="13.5" customHeight="1">
      <c r="B7999" s="209" t="s">
        <v>14048</v>
      </c>
      <c r="D7999" s="208" t="s">
        <v>14642</v>
      </c>
      <c r="F7999" s="57">
        <v>4.75</v>
      </c>
      <c r="G7999" s="57" t="s">
        <v>15169</v>
      </c>
      <c r="H7999" s="76" t="s">
        <v>15064</v>
      </c>
    </row>
    <row r="8000" spans="2:8" ht="13.5" customHeight="1">
      <c r="B8000" s="208" t="s">
        <v>14049</v>
      </c>
      <c r="D8000" s="208" t="s">
        <v>14643</v>
      </c>
      <c r="F8000" s="57">
        <v>19</v>
      </c>
      <c r="G8000" s="57" t="s">
        <v>15169</v>
      </c>
      <c r="H8000" s="76" t="s">
        <v>15064</v>
      </c>
    </row>
    <row r="8001" spans="2:8" ht="13.5" customHeight="1">
      <c r="B8001" s="209" t="s">
        <v>14050</v>
      </c>
      <c r="D8001" s="208" t="s">
        <v>2227</v>
      </c>
      <c r="F8001" s="57">
        <v>298</v>
      </c>
      <c r="G8001" s="57" t="s">
        <v>15169</v>
      </c>
      <c r="H8001" s="76" t="s">
        <v>15071</v>
      </c>
    </row>
    <row r="8002" spans="2:8" ht="13.5" customHeight="1">
      <c r="B8002" s="209" t="s">
        <v>14051</v>
      </c>
      <c r="D8002" s="208" t="s">
        <v>14644</v>
      </c>
      <c r="F8002" s="57">
        <v>746</v>
      </c>
      <c r="G8002" s="57" t="s">
        <v>15169</v>
      </c>
      <c r="H8002" s="76" t="s">
        <v>15077</v>
      </c>
    </row>
    <row r="8003" spans="2:8" ht="13.5" customHeight="1">
      <c r="B8003" s="209" t="s">
        <v>14052</v>
      </c>
      <c r="D8003" s="208" t="s">
        <v>14645</v>
      </c>
      <c r="F8003" s="57">
        <v>296</v>
      </c>
      <c r="G8003" s="57" t="s">
        <v>15169</v>
      </c>
      <c r="H8003" s="76" t="s">
        <v>15071</v>
      </c>
    </row>
    <row r="8004" spans="2:8" ht="13.5" customHeight="1">
      <c r="B8004" s="209" t="s">
        <v>14053</v>
      </c>
      <c r="D8004" s="208" t="s">
        <v>14646</v>
      </c>
      <c r="F8004" s="57">
        <v>2</v>
      </c>
      <c r="G8004" s="57" t="s">
        <v>15169</v>
      </c>
      <c r="H8004" s="76" t="s">
        <v>15100</v>
      </c>
    </row>
    <row r="8005" spans="2:8" ht="13.5" customHeight="1">
      <c r="B8005" s="209" t="s">
        <v>14054</v>
      </c>
      <c r="D8005" s="228" t="s">
        <v>14647</v>
      </c>
      <c r="F8005" s="57">
        <v>102</v>
      </c>
      <c r="G8005" s="57" t="s">
        <v>15169</v>
      </c>
      <c r="H8005" s="76" t="s">
        <v>15101</v>
      </c>
    </row>
    <row r="8006" spans="2:8" ht="13.5" customHeight="1">
      <c r="B8006" s="209" t="s">
        <v>14055</v>
      </c>
      <c r="D8006" s="208" t="s">
        <v>14648</v>
      </c>
      <c r="F8006" s="57">
        <v>90</v>
      </c>
      <c r="G8006" s="57" t="s">
        <v>15169</v>
      </c>
      <c r="H8006" s="76" t="s">
        <v>15102</v>
      </c>
    </row>
    <row r="8007" spans="2:8" ht="13.5" customHeight="1">
      <c r="B8007" s="209" t="s">
        <v>14056</v>
      </c>
      <c r="D8007" s="208" t="s">
        <v>627</v>
      </c>
      <c r="F8007" s="57">
        <v>203</v>
      </c>
      <c r="G8007" s="57" t="s">
        <v>15169</v>
      </c>
      <c r="H8007" s="76" t="s">
        <v>15102</v>
      </c>
    </row>
    <row r="8008" spans="2:8" ht="13.5" customHeight="1">
      <c r="B8008" s="209" t="s">
        <v>14057</v>
      </c>
      <c r="D8008" s="208" t="s">
        <v>14649</v>
      </c>
      <c r="F8008" s="57">
        <v>18</v>
      </c>
      <c r="G8008" s="57" t="s">
        <v>15169</v>
      </c>
      <c r="H8008" s="76" t="s">
        <v>15103</v>
      </c>
    </row>
    <row r="8009" spans="2:8" ht="13.5" customHeight="1">
      <c r="B8009" s="209" t="s">
        <v>14058</v>
      </c>
      <c r="D8009" s="228" t="s">
        <v>14650</v>
      </c>
      <c r="F8009" s="57">
        <v>82</v>
      </c>
      <c r="G8009" s="57" t="s">
        <v>15169</v>
      </c>
      <c r="H8009" s="76" t="s">
        <v>15101</v>
      </c>
    </row>
    <row r="8010" spans="2:8" ht="13.5" customHeight="1">
      <c r="B8010" s="209"/>
      <c r="D8010" s="208" t="s">
        <v>14651</v>
      </c>
      <c r="F8010" s="57">
        <v>47</v>
      </c>
      <c r="G8010" s="57" t="s">
        <v>15169</v>
      </c>
      <c r="H8010" s="76" t="s">
        <v>15047</v>
      </c>
    </row>
    <row r="8011" spans="2:8" ht="13.5" customHeight="1">
      <c r="B8011" s="208" t="s">
        <v>14059</v>
      </c>
      <c r="D8011" s="208" t="s">
        <v>14059</v>
      </c>
      <c r="F8011" s="57">
        <v>571</v>
      </c>
      <c r="G8011" s="57" t="s">
        <v>15169</v>
      </c>
      <c r="H8011" s="76" t="s">
        <v>15078</v>
      </c>
    </row>
    <row r="8012" spans="2:8" ht="13.5" customHeight="1">
      <c r="B8012" s="209" t="s">
        <v>14060</v>
      </c>
      <c r="D8012" s="208" t="s">
        <v>14652</v>
      </c>
      <c r="F8012" s="57">
        <v>101</v>
      </c>
      <c r="G8012" s="57" t="s">
        <v>15169</v>
      </c>
      <c r="H8012" s="76" t="s">
        <v>15047</v>
      </c>
    </row>
    <row r="8013" spans="2:8" ht="13.5" customHeight="1">
      <c r="B8013" s="209" t="s">
        <v>14061</v>
      </c>
      <c r="D8013" s="208" t="s">
        <v>7378</v>
      </c>
      <c r="F8013" s="57">
        <v>13</v>
      </c>
      <c r="G8013" s="57" t="s">
        <v>15169</v>
      </c>
      <c r="H8013" s="76" t="s">
        <v>15047</v>
      </c>
    </row>
    <row r="8014" spans="2:8" ht="13.5" customHeight="1">
      <c r="B8014" s="209" t="s">
        <v>14062</v>
      </c>
      <c r="D8014" s="208" t="s">
        <v>14653</v>
      </c>
      <c r="F8014" s="57">
        <v>41</v>
      </c>
      <c r="G8014" s="57" t="s">
        <v>15169</v>
      </c>
      <c r="H8014" s="76" t="s">
        <v>15047</v>
      </c>
    </row>
    <row r="8015" spans="2:8" ht="13.5" customHeight="1">
      <c r="B8015" s="209" t="s">
        <v>14063</v>
      </c>
      <c r="D8015" s="208" t="s">
        <v>14654</v>
      </c>
      <c r="F8015" s="57">
        <v>256</v>
      </c>
      <c r="G8015" s="57" t="s">
        <v>15169</v>
      </c>
      <c r="H8015" s="76" t="s">
        <v>15047</v>
      </c>
    </row>
    <row r="8016" spans="2:8" ht="13.5" customHeight="1">
      <c r="B8016" s="209" t="s">
        <v>14064</v>
      </c>
      <c r="D8016" s="208" t="s">
        <v>14655</v>
      </c>
      <c r="F8016" s="57">
        <v>264</v>
      </c>
      <c r="G8016" s="57" t="s">
        <v>15169</v>
      </c>
      <c r="H8016" s="76" t="s">
        <v>15047</v>
      </c>
    </row>
    <row r="8017" spans="2:8" ht="13.5" customHeight="1">
      <c r="B8017" s="209"/>
      <c r="D8017" s="208" t="s">
        <v>14656</v>
      </c>
      <c r="F8017" s="57">
        <v>403</v>
      </c>
      <c r="G8017" s="57" t="s">
        <v>15169</v>
      </c>
      <c r="H8017" s="76" t="s">
        <v>15078</v>
      </c>
    </row>
    <row r="8018" spans="2:8" ht="13.5" customHeight="1">
      <c r="B8018" s="209" t="s">
        <v>14065</v>
      </c>
      <c r="D8018" s="208" t="s">
        <v>14657</v>
      </c>
      <c r="F8018" s="57">
        <v>103</v>
      </c>
      <c r="G8018" s="57" t="s">
        <v>15169</v>
      </c>
      <c r="H8018" s="76" t="s">
        <v>15047</v>
      </c>
    </row>
    <row r="8019" spans="2:8" ht="13.5" customHeight="1">
      <c r="B8019" s="209" t="s">
        <v>14066</v>
      </c>
      <c r="D8019" s="208" t="s">
        <v>14658</v>
      </c>
      <c r="F8019" s="57">
        <v>47</v>
      </c>
      <c r="G8019" s="57" t="s">
        <v>15169</v>
      </c>
      <c r="H8019" s="76" t="s">
        <v>15104</v>
      </c>
    </row>
    <row r="8020" spans="2:8" ht="13.5" customHeight="1">
      <c r="B8020" s="209" t="s">
        <v>14067</v>
      </c>
      <c r="D8020" s="208" t="s">
        <v>14659</v>
      </c>
      <c r="F8020" s="57">
        <v>342</v>
      </c>
      <c r="G8020" s="57" t="s">
        <v>15169</v>
      </c>
      <c r="H8020" s="76" t="s">
        <v>2674</v>
      </c>
    </row>
    <row r="8021" spans="2:8" ht="13.5" customHeight="1">
      <c r="B8021" s="209" t="s">
        <v>14068</v>
      </c>
      <c r="D8021" s="208" t="s">
        <v>14660</v>
      </c>
      <c r="F8021" s="57">
        <v>21.200000000000045</v>
      </c>
      <c r="G8021" s="57" t="s">
        <v>15169</v>
      </c>
      <c r="H8021" s="76" t="s">
        <v>2674</v>
      </c>
    </row>
    <row r="8022" spans="2:8" ht="13.5" customHeight="1">
      <c r="B8022" s="209" t="s">
        <v>14069</v>
      </c>
      <c r="D8022" s="208" t="s">
        <v>14661</v>
      </c>
      <c r="F8022" s="57">
        <v>212.5</v>
      </c>
      <c r="G8022" s="57" t="s">
        <v>15169</v>
      </c>
      <c r="H8022" s="76" t="s">
        <v>2674</v>
      </c>
    </row>
    <row r="8023" spans="2:8" ht="13.5" customHeight="1">
      <c r="B8023" s="209" t="s">
        <v>14070</v>
      </c>
      <c r="D8023" s="208" t="s">
        <v>14662</v>
      </c>
      <c r="F8023" s="57">
        <v>590</v>
      </c>
      <c r="G8023" s="57" t="s">
        <v>15169</v>
      </c>
      <c r="H8023" s="76" t="s">
        <v>15047</v>
      </c>
    </row>
    <row r="8024" spans="2:8" ht="13.5" customHeight="1">
      <c r="B8024" s="209" t="s">
        <v>14071</v>
      </c>
      <c r="D8024" s="208" t="s">
        <v>14663</v>
      </c>
      <c r="F8024" s="57">
        <v>778</v>
      </c>
      <c r="G8024" s="57" t="s">
        <v>15169</v>
      </c>
      <c r="H8024" s="76" t="s">
        <v>15047</v>
      </c>
    </row>
    <row r="8025" spans="2:8" ht="13.5" customHeight="1">
      <c r="B8025" s="209" t="s">
        <v>14072</v>
      </c>
      <c r="D8025" s="208" t="s">
        <v>14664</v>
      </c>
      <c r="F8025" s="57">
        <v>47</v>
      </c>
      <c r="G8025" s="57" t="s">
        <v>15169</v>
      </c>
      <c r="H8025" s="76" t="s">
        <v>15047</v>
      </c>
    </row>
    <row r="8026" spans="2:8" ht="13.5" customHeight="1">
      <c r="B8026" s="209" t="s">
        <v>14073</v>
      </c>
      <c r="D8026" s="208" t="s">
        <v>14665</v>
      </c>
      <c r="F8026" s="57">
        <v>1.5</v>
      </c>
      <c r="G8026" s="57" t="s">
        <v>15169</v>
      </c>
      <c r="H8026" s="76" t="s">
        <v>15047</v>
      </c>
    </row>
    <row r="8027" spans="2:8" ht="13.5" customHeight="1">
      <c r="B8027" s="209" t="s">
        <v>14074</v>
      </c>
      <c r="D8027" s="208" t="s">
        <v>14666</v>
      </c>
      <c r="F8027" s="57">
        <v>706</v>
      </c>
      <c r="G8027" s="57" t="s">
        <v>15169</v>
      </c>
      <c r="H8027" s="76" t="s">
        <v>15077</v>
      </c>
    </row>
    <row r="8028" spans="2:8" ht="13.5" customHeight="1">
      <c r="B8028" s="209" t="s">
        <v>14075</v>
      </c>
      <c r="D8028" s="208" t="s">
        <v>14667</v>
      </c>
      <c r="F8028" s="57">
        <v>1134</v>
      </c>
      <c r="G8028" s="57" t="s">
        <v>15169</v>
      </c>
      <c r="H8028" s="76" t="s">
        <v>15105</v>
      </c>
    </row>
    <row r="8029" spans="2:8" ht="13.5" customHeight="1">
      <c r="B8029" s="209" t="s">
        <v>14076</v>
      </c>
      <c r="D8029" s="208" t="s">
        <v>14668</v>
      </c>
      <c r="F8029" s="57">
        <v>330</v>
      </c>
      <c r="G8029" s="57" t="s">
        <v>15169</v>
      </c>
      <c r="H8029" s="76" t="s">
        <v>15077</v>
      </c>
    </row>
    <row r="8030" spans="2:8" ht="13.5" customHeight="1">
      <c r="B8030" s="209" t="s">
        <v>14077</v>
      </c>
      <c r="D8030" s="208" t="s">
        <v>14669</v>
      </c>
      <c r="F8030" s="57">
        <v>116</v>
      </c>
      <c r="G8030" s="57" t="s">
        <v>15169</v>
      </c>
      <c r="H8030" s="76" t="s">
        <v>15077</v>
      </c>
    </row>
    <row r="8031" spans="2:8" ht="13.5" customHeight="1">
      <c r="B8031" s="209" t="s">
        <v>14078</v>
      </c>
      <c r="D8031" s="208" t="s">
        <v>14670</v>
      </c>
      <c r="F8031" s="57">
        <v>319</v>
      </c>
      <c r="G8031" s="57" t="s">
        <v>15169</v>
      </c>
      <c r="H8031" s="76" t="s">
        <v>15076</v>
      </c>
    </row>
    <row r="8032" spans="2:8" ht="13.5" customHeight="1">
      <c r="B8032" s="209" t="s">
        <v>14079</v>
      </c>
      <c r="D8032" s="208" t="s">
        <v>14671</v>
      </c>
      <c r="F8032" s="57">
        <v>200.2</v>
      </c>
      <c r="G8032" s="57" t="s">
        <v>15169</v>
      </c>
      <c r="H8032" s="76" t="s">
        <v>15077</v>
      </c>
    </row>
    <row r="8033" spans="2:8" ht="13.5" customHeight="1">
      <c r="B8033" s="209" t="s">
        <v>14080</v>
      </c>
      <c r="D8033" s="208" t="s">
        <v>14672</v>
      </c>
      <c r="F8033" s="57">
        <v>79</v>
      </c>
      <c r="G8033" s="57" t="s">
        <v>15169</v>
      </c>
      <c r="H8033" s="76" t="s">
        <v>15077</v>
      </c>
    </row>
    <row r="8034" spans="2:8" ht="13.5" customHeight="1">
      <c r="B8034" s="209" t="s">
        <v>14081</v>
      </c>
      <c r="D8034" s="208" t="s">
        <v>14673</v>
      </c>
      <c r="F8034" s="57">
        <v>176</v>
      </c>
      <c r="G8034" s="57" t="s">
        <v>15169</v>
      </c>
      <c r="H8034" s="76" t="s">
        <v>15077</v>
      </c>
    </row>
    <row r="8035" spans="2:8" ht="13.5" customHeight="1">
      <c r="B8035" s="209" t="s">
        <v>14082</v>
      </c>
      <c r="D8035" s="208" t="s">
        <v>14674</v>
      </c>
      <c r="F8035" s="57">
        <v>1040</v>
      </c>
      <c r="G8035" s="57" t="s">
        <v>15169</v>
      </c>
      <c r="H8035" s="76" t="s">
        <v>15077</v>
      </c>
    </row>
    <row r="8036" spans="2:8" ht="13.5" customHeight="1">
      <c r="B8036" s="209" t="s">
        <v>14083</v>
      </c>
      <c r="D8036" s="208" t="s">
        <v>14675</v>
      </c>
      <c r="F8036" s="57">
        <v>108</v>
      </c>
      <c r="G8036" s="57" t="s">
        <v>15169</v>
      </c>
      <c r="H8036" s="76" t="s">
        <v>15077</v>
      </c>
    </row>
    <row r="8037" spans="2:8" ht="13.5" customHeight="1">
      <c r="B8037" s="209" t="s">
        <v>14084</v>
      </c>
      <c r="D8037" s="208" t="s">
        <v>14676</v>
      </c>
      <c r="F8037" s="57">
        <v>1137</v>
      </c>
      <c r="G8037" s="57" t="s">
        <v>15169</v>
      </c>
      <c r="H8037" s="76" t="s">
        <v>15077</v>
      </c>
    </row>
    <row r="8038" spans="2:8" ht="13.5" customHeight="1">
      <c r="B8038" s="209" t="s">
        <v>14085</v>
      </c>
      <c r="D8038" s="208" t="s">
        <v>14677</v>
      </c>
      <c r="F8038" s="57">
        <v>493</v>
      </c>
      <c r="G8038" s="57" t="s">
        <v>15169</v>
      </c>
      <c r="H8038" s="76" t="s">
        <v>15077</v>
      </c>
    </row>
    <row r="8039" spans="2:8" ht="13.5" customHeight="1">
      <c r="B8039" s="209" t="s">
        <v>14086</v>
      </c>
      <c r="D8039" s="208" t="s">
        <v>14678</v>
      </c>
      <c r="F8039" s="57">
        <v>192</v>
      </c>
      <c r="G8039" s="57" t="s">
        <v>15169</v>
      </c>
      <c r="H8039" s="76" t="s">
        <v>15077</v>
      </c>
    </row>
    <row r="8040" spans="2:8" ht="13.5" customHeight="1">
      <c r="B8040" s="209" t="s">
        <v>7989</v>
      </c>
      <c r="D8040" s="208" t="s">
        <v>14679</v>
      </c>
      <c r="F8040" s="57">
        <v>2115</v>
      </c>
      <c r="G8040" s="57" t="s">
        <v>15169</v>
      </c>
      <c r="H8040" s="76" t="s">
        <v>15077</v>
      </c>
    </row>
    <row r="8041" spans="2:8" ht="13.5" customHeight="1">
      <c r="B8041" s="209" t="s">
        <v>14087</v>
      </c>
      <c r="D8041" s="208" t="s">
        <v>14680</v>
      </c>
      <c r="F8041" s="57">
        <v>13</v>
      </c>
      <c r="G8041" s="57" t="s">
        <v>15169</v>
      </c>
      <c r="H8041" s="76" t="s">
        <v>15077</v>
      </c>
    </row>
    <row r="8042" spans="2:8" ht="13.5" customHeight="1">
      <c r="B8042" s="209" t="s">
        <v>14088</v>
      </c>
      <c r="D8042" s="208" t="s">
        <v>14681</v>
      </c>
      <c r="F8042" s="57">
        <v>80</v>
      </c>
      <c r="G8042" s="57" t="s">
        <v>15169</v>
      </c>
      <c r="H8042" s="76" t="s">
        <v>15077</v>
      </c>
    </row>
    <row r="8043" spans="2:8" ht="13.5" customHeight="1">
      <c r="B8043" s="209" t="s">
        <v>14089</v>
      </c>
      <c r="D8043" s="208" t="s">
        <v>14682</v>
      </c>
      <c r="F8043" s="57">
        <v>5</v>
      </c>
      <c r="G8043" s="57" t="s">
        <v>15169</v>
      </c>
      <c r="H8043" s="76" t="s">
        <v>15106</v>
      </c>
    </row>
    <row r="8044" spans="2:8" ht="13.5" customHeight="1">
      <c r="B8044" s="209" t="s">
        <v>14090</v>
      </c>
      <c r="D8044" s="208" t="s">
        <v>14683</v>
      </c>
      <c r="F8044" s="57">
        <v>117</v>
      </c>
      <c r="G8044" s="57" t="s">
        <v>15169</v>
      </c>
      <c r="H8044" s="76" t="s">
        <v>15076</v>
      </c>
    </row>
    <row r="8045" spans="2:8" ht="13.5" customHeight="1">
      <c r="B8045" s="209" t="s">
        <v>14091</v>
      </c>
      <c r="D8045" s="208" t="s">
        <v>14684</v>
      </c>
      <c r="F8045" s="57">
        <v>63</v>
      </c>
      <c r="G8045" s="57" t="s">
        <v>15169</v>
      </c>
      <c r="H8045" s="76" t="s">
        <v>2674</v>
      </c>
    </row>
    <row r="8046" spans="2:8" ht="13.5" customHeight="1">
      <c r="B8046" s="209" t="s">
        <v>14092</v>
      </c>
      <c r="D8046" s="208" t="s">
        <v>14685</v>
      </c>
      <c r="F8046" s="57">
        <v>10</v>
      </c>
      <c r="G8046" s="57" t="s">
        <v>15169</v>
      </c>
      <c r="H8046" s="76" t="s">
        <v>15083</v>
      </c>
    </row>
    <row r="8047" spans="2:8" ht="13.5" customHeight="1">
      <c r="B8047" s="209" t="s">
        <v>14093</v>
      </c>
      <c r="D8047" s="208" t="s">
        <v>14686</v>
      </c>
      <c r="F8047" s="57">
        <v>126</v>
      </c>
      <c r="G8047" s="57" t="s">
        <v>15169</v>
      </c>
      <c r="H8047" s="76" t="s">
        <v>15102</v>
      </c>
    </row>
    <row r="8048" spans="2:8" ht="13.5" customHeight="1">
      <c r="B8048" s="209" t="s">
        <v>14094</v>
      </c>
      <c r="D8048" s="208" t="s">
        <v>14687</v>
      </c>
      <c r="F8048" s="57">
        <v>32</v>
      </c>
      <c r="G8048" s="57" t="s">
        <v>15169</v>
      </c>
      <c r="H8048" s="76" t="s">
        <v>15107</v>
      </c>
    </row>
    <row r="8049" spans="2:8" ht="13.5" customHeight="1">
      <c r="B8049" s="209" t="s">
        <v>14095</v>
      </c>
      <c r="D8049" s="228" t="s">
        <v>14688</v>
      </c>
      <c r="F8049" s="57">
        <v>80</v>
      </c>
      <c r="G8049" s="57" t="s">
        <v>15169</v>
      </c>
      <c r="H8049" s="76" t="s">
        <v>15101</v>
      </c>
    </row>
    <row r="8050" spans="2:8" ht="13.5" customHeight="1">
      <c r="B8050" s="209" t="s">
        <v>14096</v>
      </c>
      <c r="D8050" s="208" t="s">
        <v>14689</v>
      </c>
      <c r="F8050" s="57">
        <v>225</v>
      </c>
      <c r="G8050" s="57" t="s">
        <v>15169</v>
      </c>
      <c r="H8050" s="76" t="s">
        <v>15108</v>
      </c>
    </row>
    <row r="8051" spans="2:8" ht="13.5" customHeight="1">
      <c r="B8051" s="209" t="s">
        <v>14097</v>
      </c>
      <c r="D8051" s="225" t="s">
        <v>14690</v>
      </c>
      <c r="F8051" s="57">
        <v>25</v>
      </c>
      <c r="G8051" s="57" t="s">
        <v>15169</v>
      </c>
      <c r="H8051" s="76" t="s">
        <v>15109</v>
      </c>
    </row>
    <row r="8052" spans="2:8" ht="13.5" customHeight="1">
      <c r="B8052" s="209" t="s">
        <v>14098</v>
      </c>
      <c r="D8052" s="208" t="s">
        <v>14691</v>
      </c>
      <c r="F8052" s="57">
        <v>910</v>
      </c>
      <c r="G8052" s="57" t="s">
        <v>15169</v>
      </c>
      <c r="H8052" s="76" t="s">
        <v>2661</v>
      </c>
    </row>
    <row r="8053" spans="2:8" ht="13.5" customHeight="1">
      <c r="B8053" s="209" t="s">
        <v>14099</v>
      </c>
      <c r="D8053" s="208" t="s">
        <v>14692</v>
      </c>
      <c r="F8053" s="57">
        <v>306</v>
      </c>
      <c r="G8053" s="57" t="s">
        <v>15169</v>
      </c>
      <c r="H8053" s="76" t="s">
        <v>2661</v>
      </c>
    </row>
    <row r="8054" spans="2:8" ht="13.5" customHeight="1">
      <c r="B8054" s="209" t="s">
        <v>14100</v>
      </c>
      <c r="D8054" s="208" t="s">
        <v>14693</v>
      </c>
      <c r="F8054" s="57">
        <v>67</v>
      </c>
      <c r="G8054" s="57" t="s">
        <v>15169</v>
      </c>
      <c r="H8054" s="76" t="s">
        <v>6612</v>
      </c>
    </row>
    <row r="8055" spans="2:8" ht="13.5" customHeight="1">
      <c r="B8055" s="209" t="s">
        <v>14101</v>
      </c>
      <c r="D8055" s="208" t="s">
        <v>14694</v>
      </c>
      <c r="F8055" s="57">
        <v>59</v>
      </c>
      <c r="G8055" s="57" t="s">
        <v>15169</v>
      </c>
      <c r="H8055" s="76" t="s">
        <v>6612</v>
      </c>
    </row>
    <row r="8056" spans="2:8" ht="13.5" customHeight="1">
      <c r="B8056" s="209" t="s">
        <v>14102</v>
      </c>
      <c r="D8056" s="208" t="s">
        <v>14102</v>
      </c>
      <c r="F8056" s="57">
        <v>145</v>
      </c>
      <c r="G8056" s="57" t="s">
        <v>15169</v>
      </c>
      <c r="H8056" s="76" t="s">
        <v>15110</v>
      </c>
    </row>
    <row r="8057" spans="2:8" ht="13.5" customHeight="1">
      <c r="B8057" s="209" t="s">
        <v>14103</v>
      </c>
      <c r="D8057" s="208" t="s">
        <v>14103</v>
      </c>
      <c r="F8057" s="57">
        <v>156</v>
      </c>
      <c r="G8057" s="57" t="s">
        <v>15169</v>
      </c>
      <c r="H8057" s="76" t="s">
        <v>7887</v>
      </c>
    </row>
    <row r="8058" spans="2:8" ht="13.5" customHeight="1">
      <c r="B8058" s="209" t="s">
        <v>14104</v>
      </c>
      <c r="D8058" s="208" t="s">
        <v>14695</v>
      </c>
      <c r="F8058" s="57">
        <v>45</v>
      </c>
      <c r="G8058" s="57" t="s">
        <v>15169</v>
      </c>
      <c r="H8058" s="76" t="s">
        <v>15111</v>
      </c>
    </row>
    <row r="8059" spans="2:8" ht="13.5" customHeight="1">
      <c r="B8059" s="209" t="s">
        <v>14105</v>
      </c>
      <c r="D8059" s="208" t="s">
        <v>14105</v>
      </c>
      <c r="F8059" s="57">
        <v>120</v>
      </c>
      <c r="G8059" s="57" t="s">
        <v>15169</v>
      </c>
      <c r="H8059" s="76" t="s">
        <v>15112</v>
      </c>
    </row>
    <row r="8060" spans="2:8" ht="13.5" customHeight="1">
      <c r="B8060" s="209" t="s">
        <v>14106</v>
      </c>
      <c r="D8060" s="208" t="s">
        <v>14106</v>
      </c>
      <c r="F8060" s="57">
        <v>216</v>
      </c>
      <c r="G8060" s="57" t="s">
        <v>15169</v>
      </c>
      <c r="H8060" s="76" t="s">
        <v>2657</v>
      </c>
    </row>
    <row r="8061" spans="2:8" ht="13.5" customHeight="1">
      <c r="B8061" s="209" t="s">
        <v>14107</v>
      </c>
      <c r="D8061" s="208" t="s">
        <v>14107</v>
      </c>
      <c r="F8061" s="57">
        <v>1980</v>
      </c>
      <c r="G8061" s="57" t="s">
        <v>15169</v>
      </c>
      <c r="H8061" s="76" t="s">
        <v>2657</v>
      </c>
    </row>
    <row r="8062" spans="2:8" ht="13.5" customHeight="1">
      <c r="B8062" s="209" t="s">
        <v>14108</v>
      </c>
      <c r="D8062" s="208" t="s">
        <v>14108</v>
      </c>
      <c r="F8062" s="57">
        <v>84</v>
      </c>
      <c r="G8062" s="57" t="s">
        <v>15169</v>
      </c>
      <c r="H8062" s="76" t="s">
        <v>2657</v>
      </c>
    </row>
    <row r="8063" spans="2:8" ht="13.5" customHeight="1">
      <c r="B8063" s="209" t="s">
        <v>14109</v>
      </c>
      <c r="D8063" s="208" t="s">
        <v>14109</v>
      </c>
      <c r="F8063" s="57">
        <v>9</v>
      </c>
      <c r="G8063" s="57" t="s">
        <v>15169</v>
      </c>
      <c r="H8063" s="76" t="s">
        <v>2657</v>
      </c>
    </row>
    <row r="8064" spans="2:8" ht="13.5" customHeight="1">
      <c r="B8064" s="209" t="s">
        <v>14110</v>
      </c>
      <c r="D8064" s="208" t="s">
        <v>14110</v>
      </c>
      <c r="F8064" s="57">
        <v>40</v>
      </c>
      <c r="G8064" s="57" t="s">
        <v>15169</v>
      </c>
      <c r="H8064" s="76" t="s">
        <v>15109</v>
      </c>
    </row>
    <row r="8065" spans="2:8" ht="13.5" customHeight="1">
      <c r="B8065" s="209" t="s">
        <v>14111</v>
      </c>
      <c r="D8065" s="208" t="s">
        <v>14696</v>
      </c>
      <c r="F8065" s="57">
        <v>3</v>
      </c>
      <c r="G8065" s="57" t="s">
        <v>15169</v>
      </c>
      <c r="H8065" s="76" t="s">
        <v>15113</v>
      </c>
    </row>
    <row r="8066" spans="2:8" ht="13.5" customHeight="1">
      <c r="B8066" s="209" t="s">
        <v>14112</v>
      </c>
      <c r="D8066" s="208" t="s">
        <v>14697</v>
      </c>
      <c r="F8066" s="57">
        <v>4</v>
      </c>
      <c r="G8066" s="57" t="s">
        <v>15169</v>
      </c>
      <c r="H8066" s="76" t="s">
        <v>15113</v>
      </c>
    </row>
    <row r="8067" spans="2:8" ht="13.5" customHeight="1">
      <c r="B8067" s="209" t="s">
        <v>14113</v>
      </c>
      <c r="D8067" s="208" t="s">
        <v>14698</v>
      </c>
      <c r="F8067" s="57">
        <v>8</v>
      </c>
      <c r="G8067" s="57" t="s">
        <v>15169</v>
      </c>
      <c r="H8067" s="76" t="s">
        <v>7887</v>
      </c>
    </row>
    <row r="8068" spans="2:8" ht="13.5" customHeight="1">
      <c r="B8068" s="209" t="s">
        <v>14114</v>
      </c>
      <c r="D8068" s="208" t="s">
        <v>14699</v>
      </c>
      <c r="F8068" s="57">
        <v>16</v>
      </c>
      <c r="G8068" s="57" t="s">
        <v>15169</v>
      </c>
      <c r="H8068" s="76" t="s">
        <v>7887</v>
      </c>
    </row>
    <row r="8069" spans="2:8" ht="13.5" customHeight="1">
      <c r="B8069" s="209" t="s">
        <v>14115</v>
      </c>
      <c r="D8069" s="208" t="s">
        <v>14700</v>
      </c>
      <c r="F8069" s="57">
        <v>29</v>
      </c>
      <c r="G8069" s="57" t="s">
        <v>15169</v>
      </c>
      <c r="H8069" s="76" t="s">
        <v>15114</v>
      </c>
    </row>
    <row r="8070" spans="2:8" ht="13.5" customHeight="1">
      <c r="B8070" s="209" t="s">
        <v>14116</v>
      </c>
      <c r="D8070" s="208" t="s">
        <v>14701</v>
      </c>
      <c r="F8070" s="57">
        <v>13</v>
      </c>
      <c r="G8070" s="57" t="s">
        <v>15169</v>
      </c>
      <c r="H8070" s="76" t="s">
        <v>15115</v>
      </c>
    </row>
    <row r="8071" spans="2:8" ht="13.5" customHeight="1">
      <c r="B8071" s="209" t="s">
        <v>14117</v>
      </c>
      <c r="D8071" s="208" t="s">
        <v>14117</v>
      </c>
      <c r="F8071" s="57">
        <v>200</v>
      </c>
      <c r="G8071" s="57" t="s">
        <v>15169</v>
      </c>
      <c r="H8071" s="76" t="s">
        <v>6620</v>
      </c>
    </row>
    <row r="8072" spans="2:8" ht="13.5" customHeight="1">
      <c r="B8072" s="209" t="s">
        <v>14118</v>
      </c>
      <c r="D8072" s="208" t="s">
        <v>14702</v>
      </c>
      <c r="F8072" s="57">
        <v>5</v>
      </c>
      <c r="G8072" s="57" t="s">
        <v>15169</v>
      </c>
      <c r="H8072" s="76" t="s">
        <v>6612</v>
      </c>
    </row>
    <row r="8073" spans="2:8" ht="13.5" customHeight="1">
      <c r="B8073" s="209" t="s">
        <v>14119</v>
      </c>
      <c r="D8073" s="208" t="s">
        <v>14703</v>
      </c>
      <c r="F8073" s="57">
        <v>166</v>
      </c>
      <c r="G8073" s="57" t="s">
        <v>15169</v>
      </c>
      <c r="H8073" s="76" t="s">
        <v>15116</v>
      </c>
    </row>
    <row r="8074" spans="2:8" ht="13.5" customHeight="1">
      <c r="B8074" s="209" t="s">
        <v>14120</v>
      </c>
      <c r="D8074" s="208" t="s">
        <v>14704</v>
      </c>
      <c r="F8074" s="57">
        <v>12</v>
      </c>
      <c r="G8074" s="57" t="s">
        <v>15169</v>
      </c>
      <c r="H8074" s="76" t="s">
        <v>15113</v>
      </c>
    </row>
    <row r="8075" spans="2:8" ht="13.5" customHeight="1">
      <c r="B8075" s="209" t="s">
        <v>14121</v>
      </c>
      <c r="D8075" s="208" t="s">
        <v>14705</v>
      </c>
      <c r="F8075" s="57">
        <v>5</v>
      </c>
      <c r="G8075" s="57" t="s">
        <v>15169</v>
      </c>
      <c r="H8075" s="76" t="s">
        <v>15113</v>
      </c>
    </row>
    <row r="8076" spans="2:8" ht="13.5" customHeight="1">
      <c r="B8076" s="209" t="s">
        <v>14122</v>
      </c>
      <c r="D8076" s="208" t="s">
        <v>14706</v>
      </c>
      <c r="F8076" s="57">
        <v>20</v>
      </c>
      <c r="G8076" s="57" t="s">
        <v>15169</v>
      </c>
      <c r="H8076" s="76" t="s">
        <v>6612</v>
      </c>
    </row>
    <row r="8077" spans="2:8" ht="13.5" customHeight="1">
      <c r="B8077" s="209" t="s">
        <v>14123</v>
      </c>
      <c r="D8077" s="208" t="s">
        <v>14707</v>
      </c>
      <c r="F8077" s="57">
        <v>2</v>
      </c>
      <c r="G8077" s="57" t="s">
        <v>15169</v>
      </c>
      <c r="H8077" s="76" t="s">
        <v>15113</v>
      </c>
    </row>
    <row r="8078" spans="2:8" ht="13.5" customHeight="1">
      <c r="B8078" s="209" t="s">
        <v>14124</v>
      </c>
      <c r="D8078" s="225" t="s">
        <v>14708</v>
      </c>
      <c r="F8078" s="57">
        <v>286</v>
      </c>
      <c r="G8078" s="57" t="s">
        <v>15169</v>
      </c>
      <c r="H8078" s="76" t="s">
        <v>15117</v>
      </c>
    </row>
    <row r="8079" spans="2:8" ht="13.5" customHeight="1">
      <c r="B8079" s="209" t="s">
        <v>14125</v>
      </c>
      <c r="D8079" s="208" t="s">
        <v>14709</v>
      </c>
      <c r="F8079" s="57">
        <v>94</v>
      </c>
      <c r="G8079" s="57" t="s">
        <v>15169</v>
      </c>
      <c r="H8079" s="76" t="s">
        <v>15117</v>
      </c>
    </row>
    <row r="8080" spans="2:8" ht="13.5" customHeight="1">
      <c r="B8080" s="209" t="s">
        <v>14126</v>
      </c>
      <c r="D8080" s="208" t="s">
        <v>14710</v>
      </c>
      <c r="F8080" s="57">
        <v>48</v>
      </c>
      <c r="G8080" s="57" t="s">
        <v>15169</v>
      </c>
      <c r="H8080" s="76" t="s">
        <v>15109</v>
      </c>
    </row>
    <row r="8081" spans="2:8" ht="13.5" customHeight="1">
      <c r="B8081" s="209" t="s">
        <v>14127</v>
      </c>
      <c r="D8081" s="208" t="s">
        <v>14711</v>
      </c>
      <c r="F8081" s="57">
        <v>1090</v>
      </c>
      <c r="G8081" s="57" t="s">
        <v>15169</v>
      </c>
      <c r="H8081" s="76" t="s">
        <v>15117</v>
      </c>
    </row>
    <row r="8082" spans="2:8" ht="13.5" customHeight="1">
      <c r="B8082" s="211" t="s">
        <v>14128</v>
      </c>
      <c r="D8082" s="208" t="s">
        <v>14712</v>
      </c>
      <c r="F8082" s="57">
        <v>94</v>
      </c>
      <c r="G8082" s="57" t="s">
        <v>15169</v>
      </c>
      <c r="H8082" s="76" t="s">
        <v>15115</v>
      </c>
    </row>
    <row r="8083" spans="2:8" ht="13.5" customHeight="1">
      <c r="B8083" s="209" t="s">
        <v>14129</v>
      </c>
      <c r="D8083" s="225" t="s">
        <v>14713</v>
      </c>
      <c r="F8083" s="57">
        <v>4</v>
      </c>
      <c r="G8083" s="57" t="s">
        <v>15169</v>
      </c>
      <c r="H8083" s="76" t="s">
        <v>15109</v>
      </c>
    </row>
    <row r="8084" spans="2:8" ht="13.5" customHeight="1">
      <c r="B8084" s="209" t="s">
        <v>14130</v>
      </c>
      <c r="D8084" s="208" t="s">
        <v>14714</v>
      </c>
      <c r="F8084" s="57">
        <v>170</v>
      </c>
      <c r="G8084" s="57" t="s">
        <v>15169</v>
      </c>
      <c r="H8084" s="76" t="s">
        <v>15116</v>
      </c>
    </row>
    <row r="8085" spans="2:8" ht="13.5" customHeight="1">
      <c r="B8085" s="209" t="s">
        <v>14131</v>
      </c>
      <c r="D8085" s="208" t="s">
        <v>14715</v>
      </c>
      <c r="F8085" s="57">
        <v>198</v>
      </c>
      <c r="G8085" s="57" t="s">
        <v>15169</v>
      </c>
      <c r="H8085" s="76" t="s">
        <v>15115</v>
      </c>
    </row>
    <row r="8086" spans="2:8" ht="13.5" customHeight="1">
      <c r="B8086" s="209" t="s">
        <v>14132</v>
      </c>
      <c r="D8086" s="208" t="s">
        <v>14716</v>
      </c>
      <c r="F8086" s="57">
        <v>10</v>
      </c>
      <c r="G8086" s="57" t="s">
        <v>15169</v>
      </c>
      <c r="H8086" s="76" t="s">
        <v>6612</v>
      </c>
    </row>
    <row r="8087" spans="2:8" ht="13.5" customHeight="1">
      <c r="B8087" s="209" t="s">
        <v>14133</v>
      </c>
      <c r="D8087" s="208" t="s">
        <v>14717</v>
      </c>
      <c r="F8087" s="57">
        <v>92</v>
      </c>
      <c r="G8087" s="57" t="s">
        <v>15169</v>
      </c>
      <c r="H8087" s="76" t="s">
        <v>15118</v>
      </c>
    </row>
    <row r="8088" spans="2:8" ht="13.5" customHeight="1">
      <c r="B8088" s="209" t="s">
        <v>14134</v>
      </c>
      <c r="D8088" s="208" t="s">
        <v>14718</v>
      </c>
      <c r="F8088" s="57">
        <v>1</v>
      </c>
      <c r="G8088" s="57" t="s">
        <v>15169</v>
      </c>
      <c r="H8088" s="76" t="s">
        <v>15115</v>
      </c>
    </row>
    <row r="8089" spans="2:8" ht="13.5" customHeight="1">
      <c r="B8089" s="210" t="s">
        <v>14135</v>
      </c>
      <c r="D8089" s="226" t="s">
        <v>14719</v>
      </c>
      <c r="F8089" s="57">
        <v>229</v>
      </c>
      <c r="G8089" s="57" t="s">
        <v>15169</v>
      </c>
      <c r="H8089" s="76" t="s">
        <v>15116</v>
      </c>
    </row>
    <row r="8090" spans="2:8" ht="13.5" customHeight="1">
      <c r="B8090" s="209" t="s">
        <v>14136</v>
      </c>
      <c r="D8090" s="208" t="s">
        <v>14720</v>
      </c>
      <c r="F8090" s="57">
        <v>94</v>
      </c>
      <c r="G8090" s="57" t="s">
        <v>15169</v>
      </c>
      <c r="H8090" s="76" t="s">
        <v>15109</v>
      </c>
    </row>
    <row r="8091" spans="2:8" ht="13.5" customHeight="1">
      <c r="B8091" s="209" t="s">
        <v>14137</v>
      </c>
      <c r="D8091" s="208" t="s">
        <v>14721</v>
      </c>
      <c r="F8091" s="57">
        <v>29</v>
      </c>
      <c r="G8091" s="57" t="s">
        <v>15169</v>
      </c>
      <c r="H8091" s="76" t="s">
        <v>15116</v>
      </c>
    </row>
    <row r="8092" spans="2:8" ht="13.5" customHeight="1">
      <c r="B8092" s="209" t="s">
        <v>14138</v>
      </c>
      <c r="D8092" s="208" t="s">
        <v>14722</v>
      </c>
      <c r="F8092" s="57">
        <v>1365</v>
      </c>
      <c r="G8092" s="57" t="s">
        <v>15169</v>
      </c>
      <c r="H8092" s="76" t="s">
        <v>15119</v>
      </c>
    </row>
    <row r="8093" spans="2:8" ht="13.5" customHeight="1">
      <c r="B8093" s="209" t="s">
        <v>14139</v>
      </c>
      <c r="D8093" s="208" t="s">
        <v>14723</v>
      </c>
      <c r="F8093" s="57">
        <v>1399</v>
      </c>
      <c r="G8093" s="57" t="s">
        <v>15169</v>
      </c>
      <c r="H8093" s="76" t="s">
        <v>15119</v>
      </c>
    </row>
    <row r="8094" spans="2:8" ht="13.5" customHeight="1">
      <c r="B8094" s="209" t="s">
        <v>1277</v>
      </c>
      <c r="D8094" s="208" t="s">
        <v>14724</v>
      </c>
      <c r="F8094" s="57">
        <v>5260</v>
      </c>
      <c r="G8094" s="57" t="s">
        <v>15169</v>
      </c>
      <c r="H8094" s="76" t="s">
        <v>15119</v>
      </c>
    </row>
    <row r="8095" spans="2:8" ht="13.5" customHeight="1">
      <c r="B8095" s="209" t="s">
        <v>14140</v>
      </c>
      <c r="D8095" s="208" t="s">
        <v>14725</v>
      </c>
      <c r="F8095" s="57">
        <v>1354</v>
      </c>
      <c r="G8095" s="57" t="s">
        <v>15169</v>
      </c>
      <c r="H8095" s="76" t="s">
        <v>15119</v>
      </c>
    </row>
    <row r="8096" spans="2:8" ht="13.5" customHeight="1">
      <c r="B8096" s="209" t="s">
        <v>14141</v>
      </c>
      <c r="D8096" s="208" t="s">
        <v>7457</v>
      </c>
      <c r="F8096" s="57">
        <v>1470</v>
      </c>
      <c r="G8096" s="57" t="s">
        <v>15169</v>
      </c>
      <c r="H8096" s="76" t="s">
        <v>15119</v>
      </c>
    </row>
    <row r="8097" spans="2:8" ht="13.5" customHeight="1">
      <c r="B8097" s="209" t="s">
        <v>14142</v>
      </c>
      <c r="D8097" s="208" t="s">
        <v>14726</v>
      </c>
      <c r="F8097" s="57">
        <v>1403</v>
      </c>
      <c r="G8097" s="57" t="s">
        <v>15169</v>
      </c>
      <c r="H8097" s="76" t="s">
        <v>15119</v>
      </c>
    </row>
    <row r="8098" spans="2:8" ht="13.5" customHeight="1">
      <c r="B8098" s="209" t="s">
        <v>14143</v>
      </c>
      <c r="D8098" s="229" t="s">
        <v>14727</v>
      </c>
      <c r="F8098" s="57">
        <v>236</v>
      </c>
      <c r="G8098" s="57" t="s">
        <v>15169</v>
      </c>
      <c r="H8098" s="76" t="s">
        <v>15119</v>
      </c>
    </row>
    <row r="8099" spans="2:8" ht="13.5" customHeight="1">
      <c r="B8099" s="209" t="s">
        <v>14144</v>
      </c>
      <c r="D8099" s="229" t="s">
        <v>14728</v>
      </c>
      <c r="F8099" s="57">
        <v>1580</v>
      </c>
      <c r="G8099" s="57" t="s">
        <v>15169</v>
      </c>
      <c r="H8099" s="76" t="s">
        <v>15119</v>
      </c>
    </row>
    <row r="8100" spans="2:8" ht="13.5" customHeight="1">
      <c r="B8100" s="209" t="s">
        <v>14145</v>
      </c>
      <c r="D8100" s="208" t="s">
        <v>14729</v>
      </c>
      <c r="F8100" s="57">
        <v>51.799999999999955</v>
      </c>
      <c r="G8100" s="57" t="s">
        <v>15169</v>
      </c>
      <c r="H8100" s="76"/>
    </row>
    <row r="8101" spans="2:8" ht="13.5" customHeight="1">
      <c r="B8101" s="209" t="s">
        <v>14146</v>
      </c>
      <c r="D8101" s="208" t="s">
        <v>14730</v>
      </c>
      <c r="F8101" s="57">
        <v>51.799999999999955</v>
      </c>
      <c r="G8101" s="57" t="s">
        <v>15169</v>
      </c>
      <c r="H8101" s="76"/>
    </row>
    <row r="8102" spans="2:8" ht="13.5" customHeight="1">
      <c r="B8102" s="209" t="s">
        <v>14147</v>
      </c>
      <c r="D8102" s="208" t="s">
        <v>14731</v>
      </c>
      <c r="F8102" s="57">
        <v>1500</v>
      </c>
      <c r="G8102" s="57" t="s">
        <v>15169</v>
      </c>
      <c r="H8102" s="76" t="s">
        <v>15120</v>
      </c>
    </row>
    <row r="8103" spans="2:8" ht="13.5" customHeight="1">
      <c r="B8103" s="209" t="s">
        <v>14148</v>
      </c>
      <c r="D8103" s="208" t="s">
        <v>14732</v>
      </c>
      <c r="F8103" s="57">
        <v>4048</v>
      </c>
      <c r="G8103" s="57" t="s">
        <v>15169</v>
      </c>
      <c r="H8103" s="76" t="s">
        <v>15077</v>
      </c>
    </row>
    <row r="8104" spans="2:8" ht="13.5" customHeight="1">
      <c r="B8104" s="209" t="s">
        <v>14149</v>
      </c>
      <c r="D8104" s="228" t="s">
        <v>14733</v>
      </c>
      <c r="F8104" s="57">
        <v>95</v>
      </c>
      <c r="G8104" s="57" t="s">
        <v>15169</v>
      </c>
      <c r="H8104" s="76" t="s">
        <v>15121</v>
      </c>
    </row>
    <row r="8105" spans="2:8" ht="13.5" customHeight="1">
      <c r="B8105" s="209" t="s">
        <v>14150</v>
      </c>
      <c r="D8105" s="208" t="s">
        <v>14734</v>
      </c>
      <c r="F8105" s="57">
        <v>80</v>
      </c>
      <c r="G8105" s="57" t="s">
        <v>15169</v>
      </c>
      <c r="H8105" s="76" t="s">
        <v>15122</v>
      </c>
    </row>
    <row r="8106" spans="2:8" ht="13.5" customHeight="1">
      <c r="B8106" s="209" t="s">
        <v>14151</v>
      </c>
      <c r="D8106" s="208" t="s">
        <v>14735</v>
      </c>
      <c r="F8106" s="57">
        <v>120</v>
      </c>
      <c r="G8106" s="57" t="s">
        <v>15169</v>
      </c>
      <c r="H8106" s="76" t="s">
        <v>15123</v>
      </c>
    </row>
    <row r="8107" spans="2:8" ht="13.5" customHeight="1">
      <c r="B8107" s="209" t="s">
        <v>14152</v>
      </c>
      <c r="D8107" s="208" t="s">
        <v>14736</v>
      </c>
      <c r="F8107" s="57">
        <v>1087</v>
      </c>
      <c r="G8107" s="57" t="s">
        <v>15169</v>
      </c>
      <c r="H8107" s="76" t="s">
        <v>15123</v>
      </c>
    </row>
    <row r="8108" spans="2:8" ht="13.5" customHeight="1">
      <c r="B8108" s="209" t="s">
        <v>14153</v>
      </c>
      <c r="D8108" s="228" t="s">
        <v>14737</v>
      </c>
      <c r="F8108" s="57">
        <v>14040</v>
      </c>
      <c r="G8108" s="57" t="s">
        <v>15169</v>
      </c>
      <c r="H8108" s="76" t="s">
        <v>15124</v>
      </c>
    </row>
    <row r="8109" spans="2:8" ht="13.5" customHeight="1">
      <c r="B8109" s="209" t="s">
        <v>14154</v>
      </c>
      <c r="D8109" s="228" t="s">
        <v>14738</v>
      </c>
      <c r="F8109" s="57">
        <v>26326</v>
      </c>
      <c r="G8109" s="57" t="s">
        <v>15169</v>
      </c>
      <c r="H8109" s="76" t="s">
        <v>15125</v>
      </c>
    </row>
    <row r="8110" spans="2:8" ht="13.5" customHeight="1">
      <c r="B8110" s="209" t="s">
        <v>14155</v>
      </c>
      <c r="D8110" s="228" t="s">
        <v>14739</v>
      </c>
      <c r="F8110" s="57">
        <v>48000</v>
      </c>
      <c r="G8110" s="57" t="s">
        <v>15169</v>
      </c>
      <c r="H8110" s="76" t="s">
        <v>15126</v>
      </c>
    </row>
    <row r="8111" spans="2:8" ht="13.5" customHeight="1">
      <c r="B8111" s="209" t="s">
        <v>14156</v>
      </c>
      <c r="D8111" s="228" t="s">
        <v>14740</v>
      </c>
      <c r="F8111" s="57">
        <v>73620</v>
      </c>
      <c r="G8111" s="57" t="s">
        <v>15169</v>
      </c>
      <c r="H8111" s="76" t="s">
        <v>15127</v>
      </c>
    </row>
    <row r="8112" spans="2:8" ht="13.5" customHeight="1">
      <c r="B8112" s="209" t="s">
        <v>14157</v>
      </c>
      <c r="D8112" s="228" t="s">
        <v>14741</v>
      </c>
      <c r="F8112" s="57">
        <v>4802</v>
      </c>
      <c r="G8112" s="57" t="s">
        <v>15169</v>
      </c>
      <c r="H8112" s="76" t="s">
        <v>15128</v>
      </c>
    </row>
    <row r="8113" spans="2:8" ht="13.5" customHeight="1">
      <c r="B8113" s="209" t="s">
        <v>14158</v>
      </c>
      <c r="D8113" s="228" t="s">
        <v>14742</v>
      </c>
      <c r="F8113" s="57">
        <v>2002</v>
      </c>
      <c r="G8113" s="57" t="s">
        <v>15169</v>
      </c>
      <c r="H8113" s="76" t="s">
        <v>15128</v>
      </c>
    </row>
    <row r="8114" spans="2:8" ht="13.5" customHeight="1">
      <c r="B8114" s="209" t="s">
        <v>14159</v>
      </c>
      <c r="D8114" s="228" t="s">
        <v>14743</v>
      </c>
      <c r="F8114" s="57">
        <v>7500</v>
      </c>
      <c r="G8114" s="57" t="s">
        <v>15169</v>
      </c>
      <c r="H8114" s="76" t="s">
        <v>15129</v>
      </c>
    </row>
    <row r="8115" spans="2:8" ht="13.5" customHeight="1">
      <c r="B8115" s="209" t="s">
        <v>14160</v>
      </c>
      <c r="D8115" s="228" t="s">
        <v>14744</v>
      </c>
      <c r="F8115" s="57">
        <v>16000</v>
      </c>
      <c r="G8115" s="57" t="s">
        <v>15169</v>
      </c>
      <c r="H8115" s="76" t="s">
        <v>15130</v>
      </c>
    </row>
    <row r="8116" spans="2:8" ht="13.5" customHeight="1">
      <c r="B8116" s="209" t="s">
        <v>14161</v>
      </c>
      <c r="D8116" s="228" t="s">
        <v>14745</v>
      </c>
      <c r="F8116" s="57">
        <v>39</v>
      </c>
      <c r="G8116" s="57" t="s">
        <v>15169</v>
      </c>
      <c r="H8116" s="76" t="s">
        <v>15131</v>
      </c>
    </row>
    <row r="8117" spans="2:8" ht="13.5" customHeight="1">
      <c r="B8117" s="210" t="s">
        <v>14162</v>
      </c>
      <c r="D8117" s="226" t="s">
        <v>14746</v>
      </c>
      <c r="F8117" s="57">
        <v>9926</v>
      </c>
      <c r="G8117" s="57" t="s">
        <v>15169</v>
      </c>
      <c r="H8117" s="76" t="s">
        <v>15072</v>
      </c>
    </row>
    <row r="8118" spans="2:8" ht="13.5" customHeight="1">
      <c r="B8118" s="209" t="s">
        <v>14163</v>
      </c>
      <c r="D8118" s="208" t="s">
        <v>14747</v>
      </c>
      <c r="F8118" s="57">
        <v>5087</v>
      </c>
      <c r="G8118" s="57" t="s">
        <v>15169</v>
      </c>
      <c r="H8118" s="76" t="s">
        <v>15093</v>
      </c>
    </row>
    <row r="8119" spans="2:8" ht="13.5" customHeight="1">
      <c r="B8119" s="209" t="s">
        <v>14164</v>
      </c>
      <c r="D8119" s="208" t="s">
        <v>14748</v>
      </c>
      <c r="F8119" s="57">
        <v>509</v>
      </c>
      <c r="G8119" s="57" t="s">
        <v>15169</v>
      </c>
      <c r="H8119" s="76" t="s">
        <v>15093</v>
      </c>
    </row>
    <row r="8120" spans="2:8" ht="13.5" customHeight="1">
      <c r="B8120" s="209" t="s">
        <v>14165</v>
      </c>
      <c r="D8120" s="208" t="s">
        <v>14749</v>
      </c>
      <c r="F8120" s="57">
        <v>760</v>
      </c>
      <c r="G8120" s="57" t="s">
        <v>15169</v>
      </c>
      <c r="H8120" s="76" t="s">
        <v>15093</v>
      </c>
    </row>
    <row r="8121" spans="2:8" ht="13.5" customHeight="1">
      <c r="B8121" s="209" t="s">
        <v>14166</v>
      </c>
      <c r="D8121" s="208" t="s">
        <v>14750</v>
      </c>
      <c r="F8121" s="57">
        <v>175</v>
      </c>
      <c r="G8121" s="57" t="s">
        <v>15169</v>
      </c>
      <c r="H8121" s="76" t="s">
        <v>15093</v>
      </c>
    </row>
    <row r="8122" spans="2:8" ht="13.5" customHeight="1">
      <c r="B8122" s="209" t="s">
        <v>14167</v>
      </c>
      <c r="D8122" s="208" t="s">
        <v>14751</v>
      </c>
      <c r="F8122" s="57">
        <v>528</v>
      </c>
      <c r="G8122" s="57" t="s">
        <v>15169</v>
      </c>
      <c r="H8122" s="76" t="s">
        <v>15093</v>
      </c>
    </row>
    <row r="8123" spans="2:8" ht="13.5" customHeight="1">
      <c r="B8123" s="209" t="s">
        <v>14168</v>
      </c>
      <c r="D8123" s="208" t="s">
        <v>14752</v>
      </c>
      <c r="F8123" s="57">
        <v>392</v>
      </c>
      <c r="G8123" s="57" t="s">
        <v>15169</v>
      </c>
      <c r="H8123" s="76" t="s">
        <v>15132</v>
      </c>
    </row>
    <row r="8124" spans="2:8" ht="13.5" customHeight="1">
      <c r="B8124" s="208" t="s">
        <v>14169</v>
      </c>
      <c r="D8124" s="208" t="s">
        <v>14753</v>
      </c>
      <c r="F8124" s="57">
        <v>508</v>
      </c>
      <c r="G8124" s="57" t="s">
        <v>15169</v>
      </c>
      <c r="H8124" s="76" t="s">
        <v>15079</v>
      </c>
    </row>
    <row r="8125" spans="2:8" ht="13.5" customHeight="1">
      <c r="B8125" s="209" t="s">
        <v>14170</v>
      </c>
      <c r="D8125" s="208" t="s">
        <v>14754</v>
      </c>
      <c r="F8125" s="57">
        <v>993</v>
      </c>
      <c r="G8125" s="57" t="s">
        <v>15169</v>
      </c>
      <c r="H8125" s="76" t="s">
        <v>15093</v>
      </c>
    </row>
    <row r="8126" spans="2:8" ht="13.5" customHeight="1">
      <c r="B8126" s="209" t="s">
        <v>14171</v>
      </c>
      <c r="D8126" s="208" t="s">
        <v>14755</v>
      </c>
      <c r="F8126" s="57">
        <v>18</v>
      </c>
      <c r="G8126" s="57" t="s">
        <v>15169</v>
      </c>
      <c r="H8126" s="76" t="s">
        <v>15093</v>
      </c>
    </row>
    <row r="8127" spans="2:8" ht="13.5" customHeight="1">
      <c r="B8127" s="209" t="s">
        <v>14172</v>
      </c>
      <c r="D8127" s="208" t="s">
        <v>14756</v>
      </c>
      <c r="F8127" s="57">
        <v>16722</v>
      </c>
      <c r="G8127" s="57" t="s">
        <v>15169</v>
      </c>
      <c r="H8127" s="76" t="s">
        <v>15132</v>
      </c>
    </row>
    <row r="8128" spans="2:8" ht="13.5" customHeight="1">
      <c r="B8128" s="209" t="s">
        <v>14173</v>
      </c>
      <c r="D8128" s="208" t="s">
        <v>14757</v>
      </c>
      <c r="F8128" s="57">
        <v>2002</v>
      </c>
      <c r="G8128" s="57" t="s">
        <v>15169</v>
      </c>
      <c r="H8128" s="76" t="s">
        <v>15093</v>
      </c>
    </row>
    <row r="8129" spans="2:8" ht="13.5" customHeight="1">
      <c r="B8129" s="209" t="s">
        <v>14174</v>
      </c>
      <c r="D8129" s="208" t="s">
        <v>14758</v>
      </c>
      <c r="F8129" s="57">
        <v>2065</v>
      </c>
      <c r="G8129" s="57" t="s">
        <v>15169</v>
      </c>
      <c r="H8129" s="76" t="s">
        <v>15132</v>
      </c>
    </row>
    <row r="8130" spans="2:8" ht="13.5" customHeight="1">
      <c r="B8130" s="209" t="s">
        <v>14175</v>
      </c>
      <c r="D8130" s="208" t="s">
        <v>14759</v>
      </c>
      <c r="F8130" s="57">
        <v>434</v>
      </c>
      <c r="G8130" s="57" t="s">
        <v>15169</v>
      </c>
      <c r="H8130" s="76" t="s">
        <v>15132</v>
      </c>
    </row>
    <row r="8131" spans="2:8" ht="13.5" customHeight="1">
      <c r="B8131" s="209" t="s">
        <v>14176</v>
      </c>
      <c r="D8131" s="208" t="s">
        <v>14760</v>
      </c>
      <c r="F8131" s="57">
        <v>3569</v>
      </c>
      <c r="G8131" s="57" t="s">
        <v>15169</v>
      </c>
      <c r="H8131" s="76" t="s">
        <v>15093</v>
      </c>
    </row>
    <row r="8132" spans="2:8" ht="13.5" customHeight="1">
      <c r="B8132" s="209" t="s">
        <v>14177</v>
      </c>
      <c r="D8132" s="208" t="s">
        <v>14761</v>
      </c>
      <c r="F8132" s="57">
        <v>962</v>
      </c>
      <c r="G8132" s="57" t="s">
        <v>15169</v>
      </c>
      <c r="H8132" s="76" t="s">
        <v>15132</v>
      </c>
    </row>
    <row r="8133" spans="2:8" ht="13.5" customHeight="1">
      <c r="B8133" s="209" t="s">
        <v>14178</v>
      </c>
      <c r="D8133" s="208" t="s">
        <v>14762</v>
      </c>
      <c r="F8133" s="57">
        <v>316</v>
      </c>
      <c r="G8133" s="57" t="s">
        <v>15169</v>
      </c>
      <c r="H8133" s="76" t="s">
        <v>15072</v>
      </c>
    </row>
    <row r="8134" spans="2:8" ht="13.5" customHeight="1">
      <c r="B8134" s="209" t="s">
        <v>14179</v>
      </c>
      <c r="D8134" s="208" t="s">
        <v>14763</v>
      </c>
      <c r="F8134" s="57">
        <v>7095</v>
      </c>
      <c r="G8134" s="57" t="s">
        <v>15169</v>
      </c>
      <c r="H8134" s="76" t="s">
        <v>15133</v>
      </c>
    </row>
    <row r="8135" spans="2:8" ht="13.5" customHeight="1">
      <c r="B8135" s="209" t="s">
        <v>14180</v>
      </c>
      <c r="D8135" s="208" t="s">
        <v>14764</v>
      </c>
      <c r="F8135" s="57">
        <v>822</v>
      </c>
      <c r="G8135" s="57" t="s">
        <v>15169</v>
      </c>
      <c r="H8135" s="76" t="s">
        <v>15133</v>
      </c>
    </row>
    <row r="8136" spans="2:8" ht="13.5" customHeight="1">
      <c r="B8136" s="209" t="s">
        <v>14181</v>
      </c>
      <c r="D8136" s="208" t="s">
        <v>14765</v>
      </c>
      <c r="F8136" s="57">
        <v>2621</v>
      </c>
      <c r="G8136" s="57" t="s">
        <v>15169</v>
      </c>
      <c r="H8136" s="76" t="s">
        <v>15133</v>
      </c>
    </row>
    <row r="8137" spans="2:8" ht="13.5" customHeight="1">
      <c r="B8137" s="209" t="s">
        <v>14182</v>
      </c>
      <c r="D8137" s="208" t="s">
        <v>14766</v>
      </c>
      <c r="F8137" s="57">
        <v>5259</v>
      </c>
      <c r="G8137" s="57" t="s">
        <v>15169</v>
      </c>
      <c r="H8137" s="76" t="s">
        <v>15133</v>
      </c>
    </row>
    <row r="8138" spans="2:8" ht="13.5" customHeight="1">
      <c r="B8138" s="209" t="s">
        <v>14183</v>
      </c>
      <c r="D8138" s="208" t="s">
        <v>14767</v>
      </c>
      <c r="F8138" s="57">
        <v>3430</v>
      </c>
      <c r="G8138" s="57" t="s">
        <v>15169</v>
      </c>
      <c r="H8138" s="76" t="s">
        <v>15133</v>
      </c>
    </row>
    <row r="8139" spans="2:8" ht="13.5" customHeight="1">
      <c r="B8139" s="209" t="s">
        <v>14184</v>
      </c>
      <c r="D8139" s="208" t="s">
        <v>14768</v>
      </c>
      <c r="F8139" s="57">
        <v>5598</v>
      </c>
      <c r="G8139" s="57" t="s">
        <v>15169</v>
      </c>
      <c r="H8139" s="76" t="s">
        <v>15133</v>
      </c>
    </row>
    <row r="8140" spans="2:8" ht="13.5" customHeight="1">
      <c r="B8140" s="209" t="s">
        <v>14185</v>
      </c>
      <c r="D8140" s="208" t="s">
        <v>14769</v>
      </c>
      <c r="F8140" s="57">
        <v>769</v>
      </c>
      <c r="G8140" s="57" t="s">
        <v>15169</v>
      </c>
      <c r="H8140" s="76" t="s">
        <v>15134</v>
      </c>
    </row>
    <row r="8141" spans="2:8" ht="13.5" customHeight="1">
      <c r="B8141" s="209" t="s">
        <v>14186</v>
      </c>
      <c r="D8141" s="208" t="s">
        <v>14770</v>
      </c>
      <c r="F8141" s="57">
        <v>674</v>
      </c>
      <c r="G8141" s="57" t="s">
        <v>15169</v>
      </c>
      <c r="H8141" s="76" t="s">
        <v>15133</v>
      </c>
    </row>
    <row r="8142" spans="2:8" ht="13.5" customHeight="1">
      <c r="B8142" s="209" t="s">
        <v>14187</v>
      </c>
      <c r="D8142" s="208" t="s">
        <v>7065</v>
      </c>
      <c r="F8142" s="57">
        <v>6990</v>
      </c>
      <c r="G8142" s="57" t="s">
        <v>15169</v>
      </c>
      <c r="H8142" s="76" t="s">
        <v>15133</v>
      </c>
    </row>
    <row r="8143" spans="2:8" ht="13.5" customHeight="1">
      <c r="B8143" s="209" t="s">
        <v>14188</v>
      </c>
      <c r="D8143" s="208" t="s">
        <v>14771</v>
      </c>
      <c r="F8143" s="57">
        <v>192</v>
      </c>
      <c r="G8143" s="57" t="s">
        <v>15169</v>
      </c>
      <c r="H8143" s="76" t="s">
        <v>15133</v>
      </c>
    </row>
    <row r="8144" spans="2:8" ht="13.5" customHeight="1">
      <c r="B8144" s="209" t="s">
        <v>14189</v>
      </c>
      <c r="D8144" s="208" t="s">
        <v>14772</v>
      </c>
      <c r="F8144" s="57">
        <v>11</v>
      </c>
      <c r="G8144" s="57" t="s">
        <v>15169</v>
      </c>
      <c r="H8144" s="76" t="s">
        <v>15133</v>
      </c>
    </row>
    <row r="8145" spans="2:8" ht="13.5" customHeight="1">
      <c r="B8145" s="209" t="s">
        <v>14190</v>
      </c>
      <c r="D8145" s="208" t="s">
        <v>14773</v>
      </c>
      <c r="F8145" s="57">
        <v>50</v>
      </c>
      <c r="G8145" s="57" t="s">
        <v>15169</v>
      </c>
      <c r="H8145" s="76" t="s">
        <v>15078</v>
      </c>
    </row>
    <row r="8146" spans="2:8" ht="13.5" customHeight="1">
      <c r="B8146" s="209" t="s">
        <v>14191</v>
      </c>
      <c r="D8146" s="208" t="s">
        <v>14774</v>
      </c>
      <c r="F8146" s="57">
        <v>2646</v>
      </c>
      <c r="G8146" s="57" t="s">
        <v>15169</v>
      </c>
      <c r="H8146" s="76" t="s">
        <v>15094</v>
      </c>
    </row>
    <row r="8147" spans="2:8" ht="13.5" customHeight="1">
      <c r="B8147" s="209" t="s">
        <v>14192</v>
      </c>
      <c r="D8147" s="208" t="s">
        <v>14775</v>
      </c>
      <c r="F8147" s="57">
        <v>281</v>
      </c>
      <c r="G8147" s="57" t="s">
        <v>15169</v>
      </c>
      <c r="H8147" s="76" t="s">
        <v>15096</v>
      </c>
    </row>
    <row r="8148" spans="2:8" ht="13.5" customHeight="1">
      <c r="B8148" s="209" t="s">
        <v>14193</v>
      </c>
      <c r="D8148" s="208" t="s">
        <v>14193</v>
      </c>
      <c r="F8148" s="57">
        <v>5</v>
      </c>
      <c r="G8148" s="57" t="s">
        <v>15169</v>
      </c>
      <c r="H8148" s="76" t="s">
        <v>15096</v>
      </c>
    </row>
    <row r="8149" spans="2:8" ht="13.5" customHeight="1">
      <c r="B8149" s="209" t="s">
        <v>14194</v>
      </c>
      <c r="D8149" s="208" t="s">
        <v>14776</v>
      </c>
      <c r="F8149" s="57">
        <v>427</v>
      </c>
      <c r="G8149" s="57" t="s">
        <v>15169</v>
      </c>
      <c r="H8149" s="76" t="s">
        <v>15093</v>
      </c>
    </row>
    <row r="8150" spans="2:8" ht="13.5" customHeight="1">
      <c r="B8150" s="209" t="s">
        <v>14195</v>
      </c>
      <c r="D8150" s="208" t="s">
        <v>14777</v>
      </c>
      <c r="F8150" s="57">
        <v>235</v>
      </c>
      <c r="G8150" s="57" t="s">
        <v>15169</v>
      </c>
      <c r="H8150" s="76" t="s">
        <v>15135</v>
      </c>
    </row>
    <row r="8151" spans="2:8" ht="13.5" customHeight="1">
      <c r="B8151" s="209" t="s">
        <v>14196</v>
      </c>
      <c r="D8151" s="208" t="s">
        <v>14778</v>
      </c>
      <c r="F8151" s="57">
        <v>1019</v>
      </c>
      <c r="G8151" s="57" t="s">
        <v>15169</v>
      </c>
      <c r="H8151" s="76" t="s">
        <v>15132</v>
      </c>
    </row>
    <row r="8152" spans="2:8" ht="13.5" customHeight="1">
      <c r="B8152" s="209" t="s">
        <v>14197</v>
      </c>
      <c r="D8152" s="208" t="s">
        <v>14779</v>
      </c>
      <c r="F8152" s="57">
        <v>18957</v>
      </c>
      <c r="G8152" s="57" t="s">
        <v>15169</v>
      </c>
      <c r="H8152" s="76" t="s">
        <v>15093</v>
      </c>
    </row>
    <row r="8153" spans="2:8" ht="13.5" customHeight="1">
      <c r="B8153" s="209" t="s">
        <v>14198</v>
      </c>
      <c r="D8153" s="208" t="s">
        <v>14780</v>
      </c>
      <c r="F8153" s="57">
        <v>14</v>
      </c>
      <c r="G8153" s="57" t="s">
        <v>15169</v>
      </c>
      <c r="H8153" s="76" t="s">
        <v>15132</v>
      </c>
    </row>
    <row r="8154" spans="2:8" ht="13.5" customHeight="1">
      <c r="B8154" s="209" t="s">
        <v>14199</v>
      </c>
      <c r="D8154" s="208" t="s">
        <v>14781</v>
      </c>
      <c r="F8154" s="57">
        <v>1632</v>
      </c>
      <c r="G8154" s="57" t="s">
        <v>15169</v>
      </c>
      <c r="H8154" s="76" t="s">
        <v>15132</v>
      </c>
    </row>
    <row r="8155" spans="2:8" ht="13.5" customHeight="1">
      <c r="B8155" s="209" t="s">
        <v>14200</v>
      </c>
      <c r="D8155" s="208" t="s">
        <v>14782</v>
      </c>
      <c r="F8155" s="57">
        <v>377</v>
      </c>
      <c r="G8155" s="57" t="s">
        <v>15169</v>
      </c>
      <c r="H8155" s="76" t="s">
        <v>15132</v>
      </c>
    </row>
    <row r="8156" spans="2:8" ht="13.5" customHeight="1">
      <c r="B8156" s="209" t="s">
        <v>14201</v>
      </c>
      <c r="D8156" s="208" t="s">
        <v>14783</v>
      </c>
      <c r="F8156" s="57">
        <v>97</v>
      </c>
      <c r="G8156" s="57" t="s">
        <v>15169</v>
      </c>
      <c r="H8156" s="76" t="s">
        <v>15132</v>
      </c>
    </row>
    <row r="8157" spans="2:8" ht="13.5" customHeight="1">
      <c r="B8157" s="209" t="s">
        <v>14202</v>
      </c>
      <c r="D8157" s="208" t="s">
        <v>14784</v>
      </c>
      <c r="F8157" s="57">
        <v>1190</v>
      </c>
      <c r="G8157" s="57" t="s">
        <v>15169</v>
      </c>
      <c r="H8157" s="76" t="s">
        <v>15132</v>
      </c>
    </row>
    <row r="8158" spans="2:8" ht="13.5" customHeight="1">
      <c r="B8158" s="209" t="s">
        <v>14203</v>
      </c>
      <c r="D8158" s="208" t="s">
        <v>14785</v>
      </c>
      <c r="F8158" s="57">
        <v>1000</v>
      </c>
      <c r="G8158" s="57" t="s">
        <v>15169</v>
      </c>
      <c r="H8158" s="76" t="s">
        <v>15132</v>
      </c>
    </row>
    <row r="8159" spans="2:8" ht="13.5" customHeight="1">
      <c r="B8159" s="209" t="s">
        <v>14204</v>
      </c>
      <c r="D8159" s="208" t="s">
        <v>14786</v>
      </c>
      <c r="F8159" s="57">
        <v>3225</v>
      </c>
      <c r="G8159" s="57" t="s">
        <v>15169</v>
      </c>
      <c r="H8159" s="76" t="s">
        <v>15072</v>
      </c>
    </row>
    <row r="8160" spans="2:8" ht="13.5" customHeight="1">
      <c r="B8160" s="209" t="s">
        <v>14205</v>
      </c>
      <c r="D8160" s="208" t="s">
        <v>14787</v>
      </c>
      <c r="F8160" s="57">
        <v>547</v>
      </c>
      <c r="G8160" s="57" t="s">
        <v>15169</v>
      </c>
      <c r="H8160" s="76" t="s">
        <v>15096</v>
      </c>
    </row>
    <row r="8161" spans="2:8" ht="13.5" customHeight="1">
      <c r="B8161" s="209" t="s">
        <v>14206</v>
      </c>
      <c r="D8161" s="209" t="s">
        <v>14788</v>
      </c>
      <c r="F8161" s="57">
        <v>2132</v>
      </c>
      <c r="G8161" s="57" t="s">
        <v>15169</v>
      </c>
      <c r="H8161" s="76" t="s">
        <v>15099</v>
      </c>
    </row>
    <row r="8162" spans="2:8" ht="13.5" customHeight="1">
      <c r="B8162" s="209" t="s">
        <v>14207</v>
      </c>
      <c r="D8162" s="208" t="s">
        <v>14789</v>
      </c>
      <c r="F8162" s="57">
        <v>1783</v>
      </c>
      <c r="G8162" s="57" t="s">
        <v>15169</v>
      </c>
      <c r="H8162" s="76" t="s">
        <v>15099</v>
      </c>
    </row>
    <row r="8163" spans="2:8" ht="13.5" customHeight="1">
      <c r="B8163" s="209" t="s">
        <v>14208</v>
      </c>
      <c r="D8163" s="208" t="s">
        <v>14790</v>
      </c>
      <c r="F8163" s="57">
        <v>756</v>
      </c>
      <c r="G8163" s="57" t="s">
        <v>15169</v>
      </c>
      <c r="H8163" s="76" t="s">
        <v>15075</v>
      </c>
    </row>
    <row r="8164" spans="2:8" ht="13.5" customHeight="1">
      <c r="B8164" s="209" t="s">
        <v>14209</v>
      </c>
      <c r="D8164" s="208" t="s">
        <v>14791</v>
      </c>
      <c r="F8164" s="57">
        <v>317</v>
      </c>
      <c r="G8164" s="57" t="s">
        <v>15169</v>
      </c>
      <c r="H8164" s="76" t="s">
        <v>15075</v>
      </c>
    </row>
    <row r="8165" spans="2:8" ht="13.5" customHeight="1">
      <c r="B8165" s="209" t="s">
        <v>14210</v>
      </c>
      <c r="D8165" s="208" t="s">
        <v>7069</v>
      </c>
      <c r="F8165" s="57">
        <v>150</v>
      </c>
      <c r="G8165" s="57" t="s">
        <v>15169</v>
      </c>
      <c r="H8165" s="76" t="s">
        <v>15078</v>
      </c>
    </row>
    <row r="8166" spans="2:8" ht="13.5" customHeight="1">
      <c r="B8166" s="209" t="s">
        <v>7068</v>
      </c>
      <c r="D8166" s="208" t="s">
        <v>14792</v>
      </c>
      <c r="F8166" s="57">
        <v>186</v>
      </c>
      <c r="G8166" s="57" t="s">
        <v>15169</v>
      </c>
      <c r="H8166" s="76" t="s">
        <v>15099</v>
      </c>
    </row>
    <row r="8167" spans="2:8" ht="13.5" customHeight="1">
      <c r="B8167" s="209" t="s">
        <v>14211</v>
      </c>
      <c r="D8167" s="208" t="s">
        <v>14793</v>
      </c>
      <c r="F8167" s="57">
        <v>2463</v>
      </c>
      <c r="G8167" s="57" t="s">
        <v>15169</v>
      </c>
      <c r="H8167" s="76" t="s">
        <v>15099</v>
      </c>
    </row>
    <row r="8168" spans="2:8" ht="13.5" customHeight="1">
      <c r="B8168" s="209" t="s">
        <v>14212</v>
      </c>
      <c r="D8168" s="208" t="s">
        <v>14794</v>
      </c>
      <c r="F8168" s="57">
        <v>2070</v>
      </c>
      <c r="G8168" s="57" t="s">
        <v>15169</v>
      </c>
      <c r="H8168" s="76" t="s">
        <v>15075</v>
      </c>
    </row>
    <row r="8169" spans="2:8" ht="13.5" customHeight="1">
      <c r="B8169" s="209" t="s">
        <v>3448</v>
      </c>
      <c r="D8169" s="208" t="s">
        <v>14795</v>
      </c>
      <c r="F8169" s="57">
        <v>7</v>
      </c>
      <c r="G8169" s="57" t="s">
        <v>15169</v>
      </c>
      <c r="H8169" s="76" t="s">
        <v>15123</v>
      </c>
    </row>
    <row r="8170" spans="2:8" ht="13.5" customHeight="1">
      <c r="B8170" s="209" t="s">
        <v>14213</v>
      </c>
      <c r="D8170" s="208" t="s">
        <v>14796</v>
      </c>
      <c r="F8170" s="57">
        <v>380</v>
      </c>
      <c r="G8170" s="57" t="s">
        <v>15169</v>
      </c>
      <c r="H8170" s="76" t="s">
        <v>15086</v>
      </c>
    </row>
    <row r="8171" spans="2:8" ht="13.5" customHeight="1">
      <c r="B8171" s="209" t="s">
        <v>14214</v>
      </c>
      <c r="D8171" s="208" t="s">
        <v>14797</v>
      </c>
      <c r="F8171" s="57">
        <v>17</v>
      </c>
      <c r="G8171" s="57" t="s">
        <v>15169</v>
      </c>
      <c r="H8171" s="76" t="s">
        <v>15136</v>
      </c>
    </row>
    <row r="8172" spans="2:8" ht="13.5" customHeight="1">
      <c r="B8172" s="209" t="s">
        <v>14215</v>
      </c>
      <c r="D8172" s="228" t="s">
        <v>14798</v>
      </c>
      <c r="F8172" s="57">
        <v>17</v>
      </c>
      <c r="G8172" s="57" t="s">
        <v>15169</v>
      </c>
      <c r="H8172" s="76" t="s">
        <v>15137</v>
      </c>
    </row>
    <row r="8173" spans="2:8" ht="13.5" customHeight="1">
      <c r="B8173" s="209" t="s">
        <v>14216</v>
      </c>
      <c r="D8173" s="208" t="s">
        <v>14799</v>
      </c>
      <c r="F8173" s="57">
        <v>707</v>
      </c>
      <c r="G8173" s="57" t="s">
        <v>15169</v>
      </c>
      <c r="H8173" s="76" t="s">
        <v>15085</v>
      </c>
    </row>
    <row r="8174" spans="2:8" ht="13.5" customHeight="1">
      <c r="B8174" s="209" t="s">
        <v>14216</v>
      </c>
      <c r="D8174" s="208" t="s">
        <v>3114</v>
      </c>
      <c r="F8174" s="57">
        <v>41</v>
      </c>
      <c r="G8174" s="57" t="s">
        <v>15169</v>
      </c>
      <c r="H8174" s="76" t="s">
        <v>15086</v>
      </c>
    </row>
    <row r="8175" spans="2:8" ht="13.5" customHeight="1">
      <c r="B8175" s="209" t="s">
        <v>14217</v>
      </c>
      <c r="D8175" s="208" t="s">
        <v>14800</v>
      </c>
      <c r="F8175" s="57">
        <v>563</v>
      </c>
      <c r="G8175" s="57" t="s">
        <v>15169</v>
      </c>
      <c r="H8175" s="76" t="s">
        <v>15074</v>
      </c>
    </row>
    <row r="8176" spans="2:8" ht="13.5" customHeight="1">
      <c r="B8176" s="209" t="s">
        <v>14218</v>
      </c>
      <c r="D8176" s="208" t="s">
        <v>14801</v>
      </c>
      <c r="F8176" s="57">
        <v>274</v>
      </c>
      <c r="G8176" s="57" t="s">
        <v>15169</v>
      </c>
      <c r="H8176" s="76" t="s">
        <v>15074</v>
      </c>
    </row>
    <row r="8177" spans="2:8" ht="13.5" customHeight="1">
      <c r="B8177" s="209" t="s">
        <v>14219</v>
      </c>
      <c r="D8177" s="208" t="s">
        <v>14802</v>
      </c>
      <c r="F8177" s="57">
        <v>181</v>
      </c>
      <c r="G8177" s="57" t="s">
        <v>15169</v>
      </c>
      <c r="H8177" s="76" t="s">
        <v>15074</v>
      </c>
    </row>
    <row r="8178" spans="2:8" ht="13.5" customHeight="1">
      <c r="B8178" s="209" t="s">
        <v>14220</v>
      </c>
      <c r="D8178" s="208" t="s">
        <v>14803</v>
      </c>
      <c r="F8178" s="57">
        <v>898</v>
      </c>
      <c r="G8178" s="57" t="s">
        <v>15169</v>
      </c>
      <c r="H8178" s="76" t="s">
        <v>15075</v>
      </c>
    </row>
    <row r="8179" spans="2:8" ht="13.5" customHeight="1">
      <c r="B8179" s="209" t="s">
        <v>14221</v>
      </c>
      <c r="D8179" s="208" t="s">
        <v>14804</v>
      </c>
      <c r="F8179" s="57">
        <v>50</v>
      </c>
      <c r="G8179" s="57" t="s">
        <v>15169</v>
      </c>
      <c r="H8179" s="76" t="s">
        <v>15074</v>
      </c>
    </row>
    <row r="8180" spans="2:8" ht="13.5" customHeight="1">
      <c r="B8180" s="209" t="s">
        <v>14222</v>
      </c>
      <c r="D8180" s="208" t="s">
        <v>14805</v>
      </c>
      <c r="F8180" s="57">
        <v>25</v>
      </c>
      <c r="G8180" s="57" t="s">
        <v>15169</v>
      </c>
      <c r="H8180" s="76" t="s">
        <v>15074</v>
      </c>
    </row>
    <row r="8181" spans="2:8" ht="13.5" customHeight="1">
      <c r="B8181" s="209" t="s">
        <v>14223</v>
      </c>
      <c r="D8181" s="208" t="s">
        <v>14806</v>
      </c>
      <c r="F8181" s="57">
        <v>12</v>
      </c>
      <c r="G8181" s="57" t="s">
        <v>15169</v>
      </c>
      <c r="H8181" s="76" t="s">
        <v>15074</v>
      </c>
    </row>
    <row r="8182" spans="2:8" ht="13.5" customHeight="1">
      <c r="B8182" s="209" t="s">
        <v>14224</v>
      </c>
      <c r="D8182" s="208" t="s">
        <v>14807</v>
      </c>
      <c r="F8182" s="57">
        <v>568</v>
      </c>
      <c r="G8182" s="57" t="s">
        <v>15169</v>
      </c>
      <c r="H8182" s="76" t="s">
        <v>15075</v>
      </c>
    </row>
    <row r="8183" spans="2:8" ht="13.5" customHeight="1">
      <c r="B8183" s="210" t="s">
        <v>14225</v>
      </c>
      <c r="D8183" s="226" t="s">
        <v>14808</v>
      </c>
      <c r="F8183" s="57">
        <v>191</v>
      </c>
      <c r="G8183" s="57" t="s">
        <v>15169</v>
      </c>
      <c r="H8183" s="76" t="s">
        <v>15123</v>
      </c>
    </row>
    <row r="8184" spans="2:8" ht="13.5" customHeight="1">
      <c r="B8184" s="209" t="s">
        <v>14226</v>
      </c>
      <c r="D8184" s="208" t="s">
        <v>14809</v>
      </c>
      <c r="F8184" s="57">
        <v>44</v>
      </c>
      <c r="G8184" s="57" t="s">
        <v>15169</v>
      </c>
      <c r="H8184" s="76" t="s">
        <v>15123</v>
      </c>
    </row>
    <row r="8185" spans="2:8" ht="13.5" customHeight="1">
      <c r="B8185" s="209" t="s">
        <v>14227</v>
      </c>
      <c r="D8185" s="208" t="s">
        <v>14810</v>
      </c>
      <c r="F8185" s="57">
        <v>2515</v>
      </c>
      <c r="G8185" s="57" t="s">
        <v>15169</v>
      </c>
      <c r="H8185" s="76" t="s">
        <v>15123</v>
      </c>
    </row>
    <row r="8186" spans="2:8" ht="13.5" customHeight="1">
      <c r="B8186" s="209" t="s">
        <v>14228</v>
      </c>
      <c r="D8186" s="208" t="s">
        <v>7115</v>
      </c>
      <c r="F8186" s="57">
        <v>9488</v>
      </c>
      <c r="G8186" s="57" t="s">
        <v>15169</v>
      </c>
      <c r="H8186" s="76" t="s">
        <v>15075</v>
      </c>
    </row>
    <row r="8187" spans="2:8" ht="13.5" customHeight="1">
      <c r="B8187" s="209" t="s">
        <v>14218</v>
      </c>
      <c r="D8187" s="208" t="s">
        <v>14811</v>
      </c>
      <c r="F8187" s="57">
        <v>1523</v>
      </c>
      <c r="G8187" s="57" t="s">
        <v>15169</v>
      </c>
      <c r="H8187" s="76" t="s">
        <v>15074</v>
      </c>
    </row>
    <row r="8188" spans="2:8" ht="13.5" customHeight="1">
      <c r="B8188" s="209" t="s">
        <v>14229</v>
      </c>
      <c r="D8188" s="208" t="s">
        <v>14812</v>
      </c>
      <c r="F8188" s="57">
        <v>2388</v>
      </c>
      <c r="G8188" s="57" t="s">
        <v>15169</v>
      </c>
      <c r="H8188" s="76" t="s">
        <v>15075</v>
      </c>
    </row>
    <row r="8189" spans="2:8" ht="13.5" customHeight="1">
      <c r="B8189" s="210" t="s">
        <v>14230</v>
      </c>
      <c r="D8189" s="226" t="s">
        <v>14813</v>
      </c>
      <c r="F8189" s="57">
        <v>772</v>
      </c>
      <c r="G8189" s="57" t="s">
        <v>15169</v>
      </c>
      <c r="H8189" s="76" t="s">
        <v>15074</v>
      </c>
    </row>
    <row r="8190" spans="2:8" ht="13.5" customHeight="1">
      <c r="B8190" s="209" t="s">
        <v>14231</v>
      </c>
      <c r="D8190" s="208" t="s">
        <v>14814</v>
      </c>
      <c r="F8190" s="57">
        <v>287</v>
      </c>
      <c r="G8190" s="57" t="s">
        <v>15169</v>
      </c>
      <c r="H8190" s="76" t="s">
        <v>15074</v>
      </c>
    </row>
    <row r="8191" spans="2:8" ht="13.5" customHeight="1">
      <c r="B8191" s="209" t="s">
        <v>14232</v>
      </c>
      <c r="D8191" s="208" t="s">
        <v>14815</v>
      </c>
      <c r="F8191" s="57">
        <v>878</v>
      </c>
      <c r="G8191" s="57" t="s">
        <v>15169</v>
      </c>
      <c r="H8191" s="76" t="s">
        <v>2674</v>
      </c>
    </row>
    <row r="8192" spans="2:8" ht="13.5" customHeight="1">
      <c r="B8192" s="209" t="s">
        <v>14233</v>
      </c>
      <c r="D8192" s="208" t="s">
        <v>14816</v>
      </c>
      <c r="F8192" s="57">
        <v>1031</v>
      </c>
      <c r="G8192" s="57" t="s">
        <v>15169</v>
      </c>
      <c r="H8192" s="76" t="s">
        <v>15138</v>
      </c>
    </row>
    <row r="8193" spans="2:8" ht="13.5" customHeight="1">
      <c r="B8193" s="209" t="s">
        <v>14234</v>
      </c>
      <c r="D8193" s="208" t="s">
        <v>14817</v>
      </c>
      <c r="F8193" s="57">
        <v>24</v>
      </c>
      <c r="G8193" s="57" t="s">
        <v>15169</v>
      </c>
      <c r="H8193" s="76" t="s">
        <v>15093</v>
      </c>
    </row>
    <row r="8194" spans="2:8" ht="13.5" customHeight="1">
      <c r="B8194" s="209" t="s">
        <v>14235</v>
      </c>
      <c r="D8194" s="208" t="s">
        <v>14818</v>
      </c>
      <c r="F8194" s="57">
        <v>1272</v>
      </c>
      <c r="G8194" s="57" t="s">
        <v>15169</v>
      </c>
      <c r="H8194" s="76" t="s">
        <v>2674</v>
      </c>
    </row>
    <row r="8195" spans="2:8" ht="13.5" customHeight="1">
      <c r="B8195" s="209" t="s">
        <v>14236</v>
      </c>
      <c r="D8195" s="208" t="s">
        <v>14819</v>
      </c>
      <c r="F8195" s="57">
        <v>441</v>
      </c>
      <c r="G8195" s="57" t="s">
        <v>15169</v>
      </c>
      <c r="H8195" s="76" t="s">
        <v>15094</v>
      </c>
    </row>
    <row r="8196" spans="2:8" ht="13.5" customHeight="1">
      <c r="B8196" s="209" t="s">
        <v>14237</v>
      </c>
      <c r="D8196" s="228" t="s">
        <v>14820</v>
      </c>
      <c r="F8196" s="57">
        <v>310</v>
      </c>
      <c r="G8196" s="57" t="s">
        <v>15169</v>
      </c>
      <c r="H8196" s="76" t="s">
        <v>15139</v>
      </c>
    </row>
    <row r="8197" spans="2:8" ht="13.5" customHeight="1">
      <c r="B8197" s="209" t="s">
        <v>6911</v>
      </c>
      <c r="D8197" s="208" t="s">
        <v>6911</v>
      </c>
      <c r="F8197" s="57">
        <v>7</v>
      </c>
      <c r="G8197" s="57" t="s">
        <v>15169</v>
      </c>
      <c r="H8197" s="76" t="s">
        <v>15096</v>
      </c>
    </row>
    <row r="8198" spans="2:8" ht="13.5" customHeight="1">
      <c r="B8198" s="209" t="s">
        <v>14238</v>
      </c>
      <c r="D8198" s="208" t="s">
        <v>14238</v>
      </c>
      <c r="F8198" s="57">
        <v>306</v>
      </c>
      <c r="G8198" s="57" t="s">
        <v>15169</v>
      </c>
      <c r="H8198" s="76" t="s">
        <v>15097</v>
      </c>
    </row>
    <row r="8199" spans="2:8" ht="13.5" customHeight="1">
      <c r="B8199" s="209" t="s">
        <v>14239</v>
      </c>
      <c r="D8199" s="208" t="s">
        <v>14239</v>
      </c>
      <c r="F8199" s="57">
        <v>829</v>
      </c>
      <c r="G8199" s="57" t="s">
        <v>15169</v>
      </c>
      <c r="H8199" s="76" t="s">
        <v>15097</v>
      </c>
    </row>
    <row r="8200" spans="2:8" ht="13.5" customHeight="1">
      <c r="B8200" s="209" t="s">
        <v>14240</v>
      </c>
      <c r="D8200" s="208" t="s">
        <v>14240</v>
      </c>
      <c r="F8200" s="57">
        <v>314</v>
      </c>
      <c r="G8200" s="57" t="s">
        <v>15169</v>
      </c>
      <c r="H8200" s="76" t="s">
        <v>15097</v>
      </c>
    </row>
    <row r="8201" spans="2:8" ht="13.5" customHeight="1">
      <c r="B8201" s="209" t="s">
        <v>14241</v>
      </c>
      <c r="D8201" s="208" t="s">
        <v>14241</v>
      </c>
      <c r="F8201" s="57">
        <v>17</v>
      </c>
      <c r="G8201" s="57" t="s">
        <v>15169</v>
      </c>
      <c r="H8201" s="76" t="s">
        <v>15097</v>
      </c>
    </row>
    <row r="8202" spans="2:8" ht="13.5" customHeight="1">
      <c r="B8202" s="209" t="s">
        <v>3115</v>
      </c>
      <c r="D8202" s="208" t="s">
        <v>3115</v>
      </c>
      <c r="F8202" s="57">
        <v>20</v>
      </c>
      <c r="G8202" s="57" t="s">
        <v>15169</v>
      </c>
      <c r="H8202" s="76" t="s">
        <v>15097</v>
      </c>
    </row>
    <row r="8203" spans="2:8" ht="13.5" customHeight="1">
      <c r="B8203" s="209" t="s">
        <v>14242</v>
      </c>
      <c r="D8203" s="208" t="s">
        <v>14242</v>
      </c>
      <c r="F8203" s="57">
        <v>319</v>
      </c>
      <c r="G8203" s="57" t="s">
        <v>15169</v>
      </c>
      <c r="H8203" s="76" t="s">
        <v>15097</v>
      </c>
    </row>
    <row r="8204" spans="2:8" ht="13.5" customHeight="1">
      <c r="B8204" s="209"/>
      <c r="D8204" s="208" t="s">
        <v>14821</v>
      </c>
      <c r="F8204" s="57">
        <v>500</v>
      </c>
      <c r="G8204" s="57" t="s">
        <v>15169</v>
      </c>
      <c r="H8204" s="76" t="s">
        <v>7887</v>
      </c>
    </row>
    <row r="8205" spans="2:8" ht="13.5" customHeight="1">
      <c r="B8205" s="209"/>
      <c r="D8205" s="208" t="s">
        <v>14822</v>
      </c>
      <c r="F8205" s="57">
        <v>10</v>
      </c>
      <c r="G8205" s="57" t="s">
        <v>15169</v>
      </c>
      <c r="H8205" s="76" t="s">
        <v>15110</v>
      </c>
    </row>
    <row r="8206" spans="2:8" ht="13.5" customHeight="1">
      <c r="B8206" s="209"/>
      <c r="D8206" s="208" t="s">
        <v>14823</v>
      </c>
      <c r="F8206" s="57">
        <v>50</v>
      </c>
      <c r="G8206" s="57" t="s">
        <v>15169</v>
      </c>
      <c r="H8206" s="76" t="s">
        <v>7887</v>
      </c>
    </row>
    <row r="8207" spans="2:8" ht="13.5" customHeight="1">
      <c r="B8207" s="209"/>
      <c r="D8207" s="208" t="s">
        <v>14824</v>
      </c>
      <c r="F8207" s="57">
        <v>13</v>
      </c>
      <c r="G8207" s="57" t="s">
        <v>15169</v>
      </c>
      <c r="H8207" s="76" t="s">
        <v>7887</v>
      </c>
    </row>
    <row r="8208" spans="2:8" ht="13.5" customHeight="1">
      <c r="B8208" s="209"/>
      <c r="D8208" s="208" t="s">
        <v>14825</v>
      </c>
      <c r="F8208" s="57">
        <v>10</v>
      </c>
      <c r="G8208" s="57" t="s">
        <v>15169</v>
      </c>
      <c r="H8208" s="76" t="s">
        <v>15110</v>
      </c>
    </row>
    <row r="8209" spans="2:8" ht="13.5" customHeight="1">
      <c r="B8209" s="209"/>
      <c r="D8209" s="208" t="s">
        <v>14826</v>
      </c>
      <c r="F8209" s="57">
        <v>10</v>
      </c>
      <c r="G8209" s="57" t="s">
        <v>15169</v>
      </c>
      <c r="H8209" s="76" t="s">
        <v>6620</v>
      </c>
    </row>
    <row r="8210" spans="2:8" ht="13.5" customHeight="1">
      <c r="B8210" s="209"/>
      <c r="D8210" s="208" t="s">
        <v>14827</v>
      </c>
      <c r="F8210" s="57">
        <v>7</v>
      </c>
      <c r="G8210" s="57" t="s">
        <v>15169</v>
      </c>
      <c r="H8210" s="76" t="s">
        <v>6620</v>
      </c>
    </row>
    <row r="8211" spans="2:8" ht="13.5" customHeight="1">
      <c r="B8211" s="209"/>
      <c r="D8211" s="208" t="s">
        <v>14828</v>
      </c>
      <c r="F8211" s="57">
        <v>7</v>
      </c>
      <c r="G8211" s="57" t="s">
        <v>15169</v>
      </c>
      <c r="H8211" s="76" t="s">
        <v>15115</v>
      </c>
    </row>
    <row r="8212" spans="2:8" ht="13.5" customHeight="1">
      <c r="B8212" s="209" t="s">
        <v>14243</v>
      </c>
      <c r="D8212" s="208" t="s">
        <v>14243</v>
      </c>
      <c r="F8212" s="57">
        <v>16</v>
      </c>
      <c r="G8212" s="57" t="s">
        <v>15169</v>
      </c>
      <c r="H8212" s="76" t="s">
        <v>15115</v>
      </c>
    </row>
    <row r="8213" spans="2:8" ht="13.5" customHeight="1">
      <c r="B8213" s="209"/>
      <c r="D8213" s="208" t="s">
        <v>14829</v>
      </c>
      <c r="F8213" s="57">
        <v>3</v>
      </c>
      <c r="G8213" s="57" t="s">
        <v>15169</v>
      </c>
      <c r="H8213" s="76" t="s">
        <v>15115</v>
      </c>
    </row>
    <row r="8214" spans="2:8" ht="13.5" customHeight="1">
      <c r="B8214" s="209" t="s">
        <v>14244</v>
      </c>
      <c r="D8214" s="208" t="s">
        <v>14830</v>
      </c>
      <c r="F8214" s="57">
        <v>7</v>
      </c>
      <c r="G8214" s="57" t="s">
        <v>15169</v>
      </c>
      <c r="H8214" s="76" t="s">
        <v>15115</v>
      </c>
    </row>
    <row r="8215" spans="2:8" ht="13.5" customHeight="1">
      <c r="B8215" s="209"/>
      <c r="D8215" s="208" t="s">
        <v>14831</v>
      </c>
      <c r="F8215" s="57">
        <v>35</v>
      </c>
      <c r="G8215" s="57" t="s">
        <v>15169</v>
      </c>
      <c r="H8215" s="76" t="s">
        <v>15115</v>
      </c>
    </row>
    <row r="8216" spans="2:8" ht="13.5" customHeight="1">
      <c r="B8216" s="209"/>
      <c r="D8216" s="208" t="s">
        <v>14832</v>
      </c>
      <c r="F8216" s="57">
        <v>123</v>
      </c>
      <c r="G8216" s="57" t="s">
        <v>15169</v>
      </c>
      <c r="H8216" s="76" t="s">
        <v>7887</v>
      </c>
    </row>
    <row r="8217" spans="2:8" ht="13.5" customHeight="1">
      <c r="B8217" s="209" t="s">
        <v>14245</v>
      </c>
      <c r="D8217" s="208" t="s">
        <v>14833</v>
      </c>
      <c r="F8217" s="57">
        <v>106</v>
      </c>
      <c r="G8217" s="57" t="s">
        <v>15169</v>
      </c>
      <c r="H8217" s="76" t="s">
        <v>15108</v>
      </c>
    </row>
    <row r="8218" spans="2:8" ht="13.5" customHeight="1">
      <c r="B8218" s="209"/>
      <c r="D8218" s="208" t="s">
        <v>14834</v>
      </c>
      <c r="F8218" s="57">
        <v>47</v>
      </c>
      <c r="G8218" s="57" t="s">
        <v>15169</v>
      </c>
      <c r="H8218" s="76" t="s">
        <v>6620</v>
      </c>
    </row>
    <row r="8219" spans="2:8" ht="13.5" customHeight="1">
      <c r="B8219" s="209"/>
      <c r="D8219" s="208" t="s">
        <v>14835</v>
      </c>
      <c r="F8219" s="57">
        <v>5</v>
      </c>
      <c r="G8219" s="57" t="s">
        <v>15169</v>
      </c>
      <c r="H8219" s="76" t="s">
        <v>15113</v>
      </c>
    </row>
    <row r="8220" spans="2:8" ht="13.5" customHeight="1">
      <c r="B8220" s="209" t="s">
        <v>466</v>
      </c>
      <c r="D8220" s="208" t="s">
        <v>14836</v>
      </c>
      <c r="F8220" s="57">
        <v>7</v>
      </c>
      <c r="G8220" s="57" t="s">
        <v>15169</v>
      </c>
      <c r="H8220" s="76" t="s">
        <v>15113</v>
      </c>
    </row>
    <row r="8221" spans="2:8" ht="13.5" customHeight="1">
      <c r="B8221" s="209"/>
      <c r="D8221" s="208" t="s">
        <v>14837</v>
      </c>
      <c r="F8221" s="57">
        <v>18</v>
      </c>
      <c r="G8221" s="57" t="s">
        <v>15169</v>
      </c>
      <c r="H8221" s="76" t="s">
        <v>7887</v>
      </c>
    </row>
    <row r="8222" spans="2:8" ht="13.5" customHeight="1">
      <c r="B8222" s="209"/>
      <c r="D8222" s="208" t="s">
        <v>14838</v>
      </c>
      <c r="F8222" s="57">
        <v>24</v>
      </c>
      <c r="G8222" s="57" t="s">
        <v>15169</v>
      </c>
      <c r="H8222" s="76" t="s">
        <v>7887</v>
      </c>
    </row>
    <row r="8223" spans="2:8" ht="13.5" customHeight="1">
      <c r="B8223" s="209"/>
      <c r="D8223" s="208" t="s">
        <v>14839</v>
      </c>
      <c r="F8223" s="57">
        <v>6</v>
      </c>
      <c r="G8223" s="57" t="s">
        <v>15169</v>
      </c>
      <c r="H8223" s="76" t="s">
        <v>15113</v>
      </c>
    </row>
    <row r="8224" spans="2:8" ht="13.5" customHeight="1">
      <c r="B8224" s="209" t="s">
        <v>466</v>
      </c>
      <c r="D8224" s="208" t="s">
        <v>14840</v>
      </c>
      <c r="F8224" s="57">
        <v>7</v>
      </c>
      <c r="G8224" s="57" t="s">
        <v>15169</v>
      </c>
      <c r="H8224" s="76" t="s">
        <v>15113</v>
      </c>
    </row>
    <row r="8225" spans="2:8" ht="13.5" customHeight="1">
      <c r="B8225" s="212" t="s">
        <v>14246</v>
      </c>
      <c r="D8225" s="230" t="s">
        <v>14841</v>
      </c>
      <c r="F8225" s="57">
        <v>415</v>
      </c>
      <c r="G8225" s="57" t="s">
        <v>15169</v>
      </c>
      <c r="H8225" s="76" t="s">
        <v>6620</v>
      </c>
    </row>
    <row r="8226" spans="2:8" ht="13.5" customHeight="1">
      <c r="B8226" s="28" t="s">
        <v>14247</v>
      </c>
      <c r="D8226" s="208" t="s">
        <v>14842</v>
      </c>
      <c r="F8226" s="57">
        <v>115</v>
      </c>
      <c r="G8226" s="57" t="s">
        <v>15169</v>
      </c>
      <c r="H8226" s="76" t="s">
        <v>15110</v>
      </c>
    </row>
    <row r="8227" spans="2:8" ht="13.5" customHeight="1">
      <c r="B8227" s="209"/>
      <c r="D8227" s="208" t="s">
        <v>14843</v>
      </c>
      <c r="F8227" s="57">
        <v>5</v>
      </c>
      <c r="G8227" s="57" t="s">
        <v>15169</v>
      </c>
      <c r="H8227" s="76" t="s">
        <v>7887</v>
      </c>
    </row>
    <row r="8228" spans="2:8" ht="13.5" customHeight="1">
      <c r="B8228" s="209"/>
      <c r="D8228" s="208" t="s">
        <v>14844</v>
      </c>
      <c r="F8228" s="57">
        <v>50</v>
      </c>
      <c r="G8228" s="57" t="s">
        <v>15169</v>
      </c>
      <c r="H8228" s="76" t="s">
        <v>6620</v>
      </c>
    </row>
    <row r="8229" spans="2:8" ht="13.5" customHeight="1">
      <c r="B8229" s="209"/>
      <c r="D8229" s="208" t="s">
        <v>14845</v>
      </c>
      <c r="F8229" s="57">
        <v>257</v>
      </c>
      <c r="G8229" s="57" t="s">
        <v>15169</v>
      </c>
      <c r="H8229" s="76" t="s">
        <v>15113</v>
      </c>
    </row>
    <row r="8230" spans="2:8" ht="13.5" customHeight="1">
      <c r="B8230" s="209"/>
      <c r="D8230" s="208" t="s">
        <v>14846</v>
      </c>
      <c r="F8230" s="57">
        <v>13</v>
      </c>
      <c r="G8230" s="57" t="s">
        <v>15169</v>
      </c>
      <c r="H8230" s="76" t="s">
        <v>7887</v>
      </c>
    </row>
    <row r="8231" spans="2:8" ht="13.5" customHeight="1">
      <c r="B8231" s="209"/>
      <c r="D8231" s="208" t="s">
        <v>14847</v>
      </c>
      <c r="F8231" s="57">
        <v>15</v>
      </c>
      <c r="G8231" s="57" t="s">
        <v>15169</v>
      </c>
      <c r="H8231" s="76" t="s">
        <v>6612</v>
      </c>
    </row>
    <row r="8232" spans="2:8" ht="13.5" customHeight="1">
      <c r="B8232" s="209"/>
      <c r="D8232" s="208" t="s">
        <v>14848</v>
      </c>
      <c r="F8232" s="57">
        <v>12</v>
      </c>
      <c r="G8232" s="57" t="s">
        <v>15169</v>
      </c>
      <c r="H8232" s="76" t="s">
        <v>15113</v>
      </c>
    </row>
    <row r="8233" spans="2:8" ht="13.5" customHeight="1">
      <c r="B8233" s="209"/>
      <c r="D8233" s="208" t="s">
        <v>14849</v>
      </c>
      <c r="F8233" s="57">
        <v>30</v>
      </c>
      <c r="G8233" s="57" t="s">
        <v>15169</v>
      </c>
      <c r="H8233" s="76" t="s">
        <v>7887</v>
      </c>
    </row>
    <row r="8234" spans="2:8" ht="13.5" customHeight="1">
      <c r="B8234" s="209"/>
      <c r="D8234" s="208" t="s">
        <v>14850</v>
      </c>
      <c r="F8234" s="57">
        <v>12</v>
      </c>
      <c r="G8234" s="57" t="s">
        <v>15169</v>
      </c>
      <c r="H8234" s="76" t="s">
        <v>7887</v>
      </c>
    </row>
    <row r="8235" spans="2:8" ht="13.5" customHeight="1">
      <c r="B8235" s="209" t="s">
        <v>14248</v>
      </c>
      <c r="D8235" s="208" t="s">
        <v>14851</v>
      </c>
      <c r="F8235" s="57">
        <v>11</v>
      </c>
      <c r="G8235" s="57" t="s">
        <v>15169</v>
      </c>
      <c r="H8235" s="76" t="s">
        <v>15117</v>
      </c>
    </row>
    <row r="8236" spans="2:8" ht="13.5" customHeight="1">
      <c r="B8236" s="209" t="s">
        <v>14249</v>
      </c>
      <c r="D8236" s="208" t="s">
        <v>14852</v>
      </c>
      <c r="F8236" s="57">
        <v>29</v>
      </c>
      <c r="G8236" s="57" t="s">
        <v>15169</v>
      </c>
      <c r="H8236" s="76" t="s">
        <v>15106</v>
      </c>
    </row>
    <row r="8237" spans="2:8" ht="13.5" customHeight="1">
      <c r="B8237" s="209" t="s">
        <v>14250</v>
      </c>
      <c r="D8237" s="208" t="s">
        <v>14853</v>
      </c>
      <c r="F8237" s="57">
        <v>99</v>
      </c>
      <c r="G8237" s="57" t="s">
        <v>15169</v>
      </c>
      <c r="H8237" s="76" t="s">
        <v>15097</v>
      </c>
    </row>
    <row r="8238" spans="2:8" ht="13.5" customHeight="1">
      <c r="B8238" s="209" t="s">
        <v>14251</v>
      </c>
      <c r="D8238" s="208" t="s">
        <v>14854</v>
      </c>
      <c r="F8238" s="57">
        <v>30</v>
      </c>
      <c r="G8238" s="57" t="s">
        <v>15169</v>
      </c>
      <c r="H8238" s="76" t="s">
        <v>15134</v>
      </c>
    </row>
    <row r="8239" spans="2:8" ht="13.5" customHeight="1">
      <c r="B8239" s="209" t="s">
        <v>14252</v>
      </c>
      <c r="D8239" s="208" t="s">
        <v>14855</v>
      </c>
      <c r="F8239" s="57">
        <v>24</v>
      </c>
      <c r="G8239" s="57" t="s">
        <v>15169</v>
      </c>
      <c r="H8239" s="76" t="s">
        <v>15134</v>
      </c>
    </row>
    <row r="8240" spans="2:8" ht="13.5" customHeight="1">
      <c r="B8240" s="209" t="s">
        <v>14253</v>
      </c>
      <c r="D8240" s="208" t="s">
        <v>14856</v>
      </c>
      <c r="F8240" s="57">
        <v>650</v>
      </c>
      <c r="G8240" s="57" t="s">
        <v>15169</v>
      </c>
      <c r="H8240" s="76" t="s">
        <v>15132</v>
      </c>
    </row>
    <row r="8241" spans="2:8" ht="13.5" customHeight="1">
      <c r="B8241" s="209"/>
      <c r="D8241" s="208" t="s">
        <v>14857</v>
      </c>
      <c r="F8241" s="57">
        <v>116</v>
      </c>
      <c r="G8241" s="57" t="s">
        <v>15169</v>
      </c>
      <c r="H8241" s="76" t="s">
        <v>15119</v>
      </c>
    </row>
    <row r="8242" spans="2:8" ht="13.5" customHeight="1">
      <c r="B8242" s="209" t="s">
        <v>14254</v>
      </c>
      <c r="D8242" s="208" t="s">
        <v>14858</v>
      </c>
      <c r="F8242" s="57">
        <v>592</v>
      </c>
      <c r="G8242" s="57" t="s">
        <v>15169</v>
      </c>
      <c r="H8242" s="76" t="s">
        <v>15102</v>
      </c>
    </row>
    <row r="8243" spans="2:8" ht="13.5" customHeight="1">
      <c r="B8243" s="209" t="s">
        <v>14255</v>
      </c>
      <c r="D8243" s="228" t="s">
        <v>14859</v>
      </c>
      <c r="F8243" s="57">
        <v>162</v>
      </c>
      <c r="G8243" s="57" t="s">
        <v>15169</v>
      </c>
      <c r="H8243" s="76" t="s">
        <v>15101</v>
      </c>
    </row>
    <row r="8244" spans="2:8" ht="13.5" customHeight="1">
      <c r="B8244" s="209" t="s">
        <v>14256</v>
      </c>
      <c r="D8244" s="228" t="s">
        <v>14860</v>
      </c>
      <c r="F8244" s="57">
        <v>51</v>
      </c>
      <c r="G8244" s="57" t="s">
        <v>15169</v>
      </c>
      <c r="H8244" s="76" t="s">
        <v>15140</v>
      </c>
    </row>
    <row r="8245" spans="2:8" ht="13.5" customHeight="1">
      <c r="B8245" s="209" t="s">
        <v>14257</v>
      </c>
      <c r="D8245" s="228" t="s">
        <v>14861</v>
      </c>
      <c r="F8245" s="57">
        <v>40</v>
      </c>
      <c r="G8245" s="57" t="s">
        <v>15169</v>
      </c>
      <c r="H8245" s="76" t="s">
        <v>15136</v>
      </c>
    </row>
    <row r="8246" spans="2:8" ht="13.5" customHeight="1">
      <c r="B8246" s="209" t="s">
        <v>14258</v>
      </c>
      <c r="D8246" s="228" t="s">
        <v>14862</v>
      </c>
      <c r="F8246" s="57">
        <v>26</v>
      </c>
      <c r="G8246" s="57" t="s">
        <v>15169</v>
      </c>
      <c r="H8246" s="76" t="s">
        <v>15141</v>
      </c>
    </row>
    <row r="8247" spans="2:8" ht="13.5" customHeight="1">
      <c r="B8247" s="209" t="s">
        <v>14259</v>
      </c>
      <c r="D8247" s="228">
        <v>5500.2040999999999</v>
      </c>
      <c r="F8247" s="57">
        <v>73</v>
      </c>
      <c r="G8247" s="57" t="s">
        <v>15169</v>
      </c>
      <c r="H8247" s="76" t="s">
        <v>15142</v>
      </c>
    </row>
    <row r="8248" spans="2:8" ht="13.5" customHeight="1">
      <c r="B8248" s="28" t="s">
        <v>14260</v>
      </c>
      <c r="D8248" s="208" t="s">
        <v>14863</v>
      </c>
      <c r="F8248" s="57">
        <v>14531</v>
      </c>
      <c r="G8248" s="57" t="s">
        <v>15169</v>
      </c>
      <c r="H8248" s="76" t="s">
        <v>15066</v>
      </c>
    </row>
    <row r="8249" spans="2:8" ht="13.5" customHeight="1">
      <c r="B8249" s="209" t="s">
        <v>14261</v>
      </c>
      <c r="D8249" s="208" t="s">
        <v>14864</v>
      </c>
      <c r="F8249" s="57">
        <v>2000</v>
      </c>
      <c r="G8249" s="57" t="s">
        <v>15169</v>
      </c>
      <c r="H8249" s="76" t="s">
        <v>7924</v>
      </c>
    </row>
    <row r="8250" spans="2:8" ht="13.5" customHeight="1">
      <c r="B8250" s="209"/>
      <c r="D8250" s="208" t="s">
        <v>14865</v>
      </c>
      <c r="F8250" s="57">
        <v>1000</v>
      </c>
      <c r="G8250" s="57" t="s">
        <v>15169</v>
      </c>
      <c r="H8250" s="76" t="s">
        <v>15081</v>
      </c>
    </row>
    <row r="8251" spans="2:8" ht="13.5" customHeight="1">
      <c r="B8251" s="209"/>
      <c r="D8251" s="208" t="s">
        <v>14866</v>
      </c>
      <c r="F8251" s="57">
        <v>319</v>
      </c>
      <c r="G8251" s="57" t="s">
        <v>15169</v>
      </c>
      <c r="H8251" s="76" t="s">
        <v>15099</v>
      </c>
    </row>
    <row r="8252" spans="2:8" ht="13.5" customHeight="1">
      <c r="B8252" s="209" t="s">
        <v>14262</v>
      </c>
      <c r="D8252" s="228" t="s">
        <v>14867</v>
      </c>
      <c r="F8252" s="57">
        <v>1</v>
      </c>
      <c r="G8252" s="57" t="s">
        <v>15169</v>
      </c>
      <c r="H8252" s="76" t="s">
        <v>15136</v>
      </c>
    </row>
    <row r="8253" spans="2:8" ht="13.5" customHeight="1">
      <c r="B8253" s="209" t="s">
        <v>14263</v>
      </c>
      <c r="D8253" s="228" t="s">
        <v>14868</v>
      </c>
      <c r="F8253" s="57">
        <v>233</v>
      </c>
      <c r="G8253" s="57" t="s">
        <v>15169</v>
      </c>
      <c r="H8253" s="76" t="s">
        <v>15141</v>
      </c>
    </row>
    <row r="8254" spans="2:8" ht="13.5" customHeight="1">
      <c r="B8254" s="209" t="s">
        <v>14264</v>
      </c>
      <c r="D8254" s="208" t="s">
        <v>14869</v>
      </c>
      <c r="F8254" s="57">
        <v>19.549999999999955</v>
      </c>
      <c r="G8254" s="57" t="s">
        <v>15169</v>
      </c>
      <c r="H8254" s="76" t="s">
        <v>1420</v>
      </c>
    </row>
    <row r="8255" spans="2:8" ht="13.5" customHeight="1">
      <c r="B8255" s="209" t="s">
        <v>14265</v>
      </c>
      <c r="D8255" s="208" t="s">
        <v>14870</v>
      </c>
      <c r="F8255" s="57">
        <v>23</v>
      </c>
      <c r="G8255" s="57" t="s">
        <v>15169</v>
      </c>
      <c r="H8255" s="76" t="s">
        <v>15083</v>
      </c>
    </row>
    <row r="8256" spans="2:8" ht="13.5" customHeight="1">
      <c r="B8256" s="209" t="s">
        <v>12955</v>
      </c>
      <c r="D8256" s="208" t="s">
        <v>12981</v>
      </c>
      <c r="F8256" s="57">
        <v>15</v>
      </c>
      <c r="G8256" s="57" t="s">
        <v>15169</v>
      </c>
      <c r="H8256" s="76" t="s">
        <v>15143</v>
      </c>
    </row>
    <row r="8257" spans="2:8" ht="13.5" customHeight="1">
      <c r="B8257" s="209" t="s">
        <v>4376</v>
      </c>
      <c r="D8257" s="208" t="s">
        <v>14871</v>
      </c>
      <c r="F8257" s="57">
        <v>16</v>
      </c>
      <c r="G8257" s="57" t="s">
        <v>15169</v>
      </c>
      <c r="H8257" s="76" t="s">
        <v>15049</v>
      </c>
    </row>
    <row r="8258" spans="2:8" ht="13.5" customHeight="1">
      <c r="B8258" s="209" t="s">
        <v>629</v>
      </c>
      <c r="D8258" s="208" t="s">
        <v>3173</v>
      </c>
      <c r="F8258" s="57">
        <v>326</v>
      </c>
      <c r="G8258" s="57" t="s">
        <v>15169</v>
      </c>
      <c r="H8258" s="76" t="s">
        <v>15049</v>
      </c>
    </row>
    <row r="8259" spans="2:8" ht="13.5" customHeight="1">
      <c r="B8259" s="209" t="s">
        <v>3489</v>
      </c>
      <c r="D8259" s="208" t="s">
        <v>3678</v>
      </c>
      <c r="F8259" s="57">
        <v>143</v>
      </c>
      <c r="G8259" s="57" t="s">
        <v>15169</v>
      </c>
      <c r="H8259" s="76" t="s">
        <v>15143</v>
      </c>
    </row>
    <row r="8260" spans="2:8" ht="13.5" customHeight="1">
      <c r="B8260" s="209" t="s">
        <v>14266</v>
      </c>
      <c r="D8260" s="208" t="s">
        <v>14872</v>
      </c>
      <c r="F8260" s="57">
        <v>430</v>
      </c>
      <c r="G8260" s="57" t="s">
        <v>15169</v>
      </c>
      <c r="H8260" s="76" t="s">
        <v>15143</v>
      </c>
    </row>
    <row r="8261" spans="2:8" ht="13.5" customHeight="1">
      <c r="B8261" s="209" t="s">
        <v>14267</v>
      </c>
      <c r="D8261" s="208" t="s">
        <v>14267</v>
      </c>
      <c r="F8261" s="57">
        <v>89</v>
      </c>
      <c r="G8261" s="57" t="s">
        <v>15169</v>
      </c>
      <c r="H8261" s="76" t="s">
        <v>7887</v>
      </c>
    </row>
    <row r="8262" spans="2:8" ht="13.5" customHeight="1">
      <c r="B8262" s="209" t="s">
        <v>14268</v>
      </c>
      <c r="D8262" s="208" t="s">
        <v>14873</v>
      </c>
      <c r="F8262" s="57">
        <v>8539</v>
      </c>
      <c r="G8262" s="57" t="s">
        <v>15169</v>
      </c>
      <c r="H8262" s="76" t="s">
        <v>15120</v>
      </c>
    </row>
    <row r="8263" spans="2:8" ht="13.5" customHeight="1">
      <c r="B8263" s="209" t="s">
        <v>14269</v>
      </c>
      <c r="D8263" s="208" t="s">
        <v>14874</v>
      </c>
      <c r="F8263" s="57">
        <v>19</v>
      </c>
      <c r="G8263" s="57" t="s">
        <v>15169</v>
      </c>
      <c r="H8263" s="76" t="s">
        <v>15144</v>
      </c>
    </row>
    <row r="8264" spans="2:8" ht="13.5" customHeight="1">
      <c r="B8264" s="209" t="s">
        <v>3444</v>
      </c>
      <c r="D8264" s="208" t="s">
        <v>14875</v>
      </c>
      <c r="F8264" s="57">
        <v>3</v>
      </c>
      <c r="G8264" s="57" t="s">
        <v>15169</v>
      </c>
      <c r="H8264" s="76" t="s">
        <v>15073</v>
      </c>
    </row>
    <row r="8265" spans="2:8" ht="13.5" customHeight="1">
      <c r="B8265" s="209" t="s">
        <v>3511</v>
      </c>
      <c r="D8265" s="208" t="s">
        <v>3175</v>
      </c>
      <c r="F8265" s="57">
        <v>1395</v>
      </c>
      <c r="G8265" s="57" t="s">
        <v>15169</v>
      </c>
      <c r="H8265" s="76" t="s">
        <v>15143</v>
      </c>
    </row>
    <row r="8266" spans="2:8" ht="13.5" customHeight="1">
      <c r="B8266" s="209" t="s">
        <v>14270</v>
      </c>
      <c r="D8266" s="208" t="s">
        <v>14876</v>
      </c>
      <c r="F8266" s="57">
        <v>130</v>
      </c>
      <c r="G8266" s="57" t="s">
        <v>15169</v>
      </c>
      <c r="H8266" s="76" t="s">
        <v>15100</v>
      </c>
    </row>
    <row r="8267" spans="2:8" ht="13.5" customHeight="1">
      <c r="B8267" s="209" t="s">
        <v>14271</v>
      </c>
      <c r="D8267" s="208" t="s">
        <v>14877</v>
      </c>
      <c r="F8267" s="57">
        <v>84</v>
      </c>
      <c r="G8267" s="57" t="s">
        <v>15169</v>
      </c>
      <c r="H8267" s="76" t="s">
        <v>15077</v>
      </c>
    </row>
    <row r="8268" spans="2:8" ht="13.5" customHeight="1">
      <c r="B8268" s="209" t="s">
        <v>14272</v>
      </c>
      <c r="D8268" s="208" t="s">
        <v>14878</v>
      </c>
      <c r="F8268" s="57">
        <v>1173</v>
      </c>
      <c r="G8268" s="57" t="s">
        <v>15169</v>
      </c>
      <c r="H8268" s="76" t="s">
        <v>15077</v>
      </c>
    </row>
    <row r="8269" spans="2:8" ht="13.5" customHeight="1">
      <c r="B8269" s="209" t="s">
        <v>7268</v>
      </c>
      <c r="D8269" s="208" t="s">
        <v>14879</v>
      </c>
      <c r="F8269" s="57">
        <v>816</v>
      </c>
      <c r="G8269" s="57" t="s">
        <v>15169</v>
      </c>
      <c r="H8269" s="76" t="s">
        <v>15076</v>
      </c>
    </row>
    <row r="8270" spans="2:8" ht="13.5" customHeight="1">
      <c r="B8270" s="209" t="s">
        <v>14273</v>
      </c>
      <c r="D8270" s="231" t="s">
        <v>14880</v>
      </c>
      <c r="F8270" s="57">
        <v>427</v>
      </c>
      <c r="G8270" s="57" t="s">
        <v>15169</v>
      </c>
      <c r="H8270" s="76" t="s">
        <v>15076</v>
      </c>
    </row>
    <row r="8271" spans="2:8" ht="13.5" customHeight="1">
      <c r="B8271" s="209" t="s">
        <v>14274</v>
      </c>
      <c r="D8271" s="208" t="s">
        <v>14881</v>
      </c>
      <c r="F8271" s="57">
        <v>545</v>
      </c>
      <c r="G8271" s="57" t="s">
        <v>15169</v>
      </c>
      <c r="H8271" s="76" t="s">
        <v>15116</v>
      </c>
    </row>
    <row r="8272" spans="2:8" ht="13.5" customHeight="1">
      <c r="B8272" s="209" t="s">
        <v>14275</v>
      </c>
      <c r="D8272" s="208" t="s">
        <v>14882</v>
      </c>
      <c r="F8272" s="57">
        <v>449</v>
      </c>
      <c r="G8272" s="57" t="s">
        <v>15169</v>
      </c>
      <c r="H8272" s="76" t="s">
        <v>15077</v>
      </c>
    </row>
    <row r="8273" spans="2:8" ht="13.5" customHeight="1">
      <c r="B8273" s="209" t="s">
        <v>14276</v>
      </c>
      <c r="D8273" s="208" t="s">
        <v>14883</v>
      </c>
      <c r="F8273" s="57">
        <v>196</v>
      </c>
      <c r="G8273" s="57" t="s">
        <v>15169</v>
      </c>
      <c r="H8273" s="76" t="s">
        <v>15077</v>
      </c>
    </row>
    <row r="8274" spans="2:8" ht="13.5" customHeight="1">
      <c r="B8274" s="209" t="s">
        <v>14277</v>
      </c>
      <c r="D8274" s="208" t="s">
        <v>14884</v>
      </c>
      <c r="F8274" s="57">
        <v>35</v>
      </c>
      <c r="G8274" s="57" t="s">
        <v>15169</v>
      </c>
      <c r="H8274" s="76" t="s">
        <v>15044</v>
      </c>
    </row>
    <row r="8275" spans="2:8" ht="13.5" customHeight="1">
      <c r="B8275" s="209" t="s">
        <v>14278</v>
      </c>
      <c r="D8275" s="208" t="s">
        <v>14885</v>
      </c>
      <c r="F8275" s="57">
        <v>2226</v>
      </c>
      <c r="G8275" s="57" t="s">
        <v>15169</v>
      </c>
      <c r="H8275" s="76" t="s">
        <v>15076</v>
      </c>
    </row>
    <row r="8276" spans="2:8" ht="13.5" customHeight="1">
      <c r="B8276" s="209" t="s">
        <v>14279</v>
      </c>
      <c r="D8276" s="208" t="s">
        <v>14886</v>
      </c>
      <c r="F8276" s="57">
        <v>13</v>
      </c>
      <c r="G8276" s="57" t="s">
        <v>15169</v>
      </c>
      <c r="H8276" s="76" t="s">
        <v>15110</v>
      </c>
    </row>
    <row r="8277" spans="2:8" ht="13.5" customHeight="1">
      <c r="B8277" s="209" t="s">
        <v>14280</v>
      </c>
      <c r="D8277" s="208" t="s">
        <v>14887</v>
      </c>
      <c r="F8277" s="57">
        <v>4.1999999999999993</v>
      </c>
      <c r="G8277" s="57" t="s">
        <v>15169</v>
      </c>
      <c r="H8277" s="76" t="s">
        <v>15145</v>
      </c>
    </row>
    <row r="8278" spans="2:8" ht="13.5" customHeight="1">
      <c r="B8278" s="209" t="s">
        <v>14281</v>
      </c>
      <c r="D8278" s="208" t="s">
        <v>14888</v>
      </c>
      <c r="F8278" s="57">
        <v>65.5</v>
      </c>
      <c r="G8278" s="57" t="s">
        <v>15169</v>
      </c>
      <c r="H8278" s="76" t="s">
        <v>15119</v>
      </c>
    </row>
    <row r="8279" spans="2:8" ht="13.5" customHeight="1">
      <c r="B8279" s="209" t="s">
        <v>14282</v>
      </c>
      <c r="D8279" s="227" t="s">
        <v>14889</v>
      </c>
      <c r="F8279" s="57">
        <v>420</v>
      </c>
      <c r="G8279" s="57" t="s">
        <v>15169</v>
      </c>
      <c r="H8279" s="76" t="s">
        <v>15078</v>
      </c>
    </row>
    <row r="8280" spans="2:8" ht="13.5" customHeight="1">
      <c r="B8280" s="209" t="s">
        <v>14283</v>
      </c>
      <c r="D8280" s="208" t="s">
        <v>14890</v>
      </c>
      <c r="F8280" s="57">
        <v>2</v>
      </c>
      <c r="G8280" s="57" t="s">
        <v>15169</v>
      </c>
      <c r="H8280" s="76" t="s">
        <v>15146</v>
      </c>
    </row>
    <row r="8281" spans="2:8" ht="13.5" customHeight="1">
      <c r="B8281" s="209" t="s">
        <v>14284</v>
      </c>
      <c r="D8281" s="208" t="s">
        <v>14891</v>
      </c>
      <c r="F8281" s="57">
        <v>7</v>
      </c>
      <c r="G8281" s="57" t="s">
        <v>15169</v>
      </c>
      <c r="H8281" s="76" t="s">
        <v>15146</v>
      </c>
    </row>
    <row r="8282" spans="2:8" ht="13.5" customHeight="1">
      <c r="B8282" s="209" t="s">
        <v>14285</v>
      </c>
      <c r="D8282" s="208" t="s">
        <v>14892</v>
      </c>
      <c r="F8282" s="57">
        <v>10</v>
      </c>
      <c r="G8282" s="57" t="s">
        <v>15169</v>
      </c>
      <c r="H8282" s="76" t="s">
        <v>15146</v>
      </c>
    </row>
    <row r="8283" spans="2:8" ht="13.5" customHeight="1">
      <c r="B8283" s="209" t="s">
        <v>14286</v>
      </c>
      <c r="D8283" s="208" t="s">
        <v>14893</v>
      </c>
      <c r="F8283" s="57">
        <v>4</v>
      </c>
      <c r="G8283" s="57" t="s">
        <v>15169</v>
      </c>
      <c r="H8283" s="76" t="s">
        <v>15146</v>
      </c>
    </row>
    <row r="8284" spans="2:8" ht="13.5" customHeight="1">
      <c r="B8284" s="209" t="s">
        <v>14287</v>
      </c>
      <c r="D8284" s="208" t="s">
        <v>14894</v>
      </c>
      <c r="F8284" s="57">
        <v>4</v>
      </c>
      <c r="G8284" s="57" t="s">
        <v>15169</v>
      </c>
      <c r="H8284" s="76" t="s">
        <v>15146</v>
      </c>
    </row>
    <row r="8285" spans="2:8" ht="13.5" customHeight="1">
      <c r="B8285" s="209" t="s">
        <v>14288</v>
      </c>
      <c r="D8285" s="208" t="s">
        <v>14895</v>
      </c>
      <c r="F8285" s="57">
        <v>14</v>
      </c>
      <c r="G8285" s="57" t="s">
        <v>15169</v>
      </c>
      <c r="H8285" s="76" t="s">
        <v>15146</v>
      </c>
    </row>
    <row r="8286" spans="2:8" ht="13.5" customHeight="1">
      <c r="B8286" s="209" t="s">
        <v>14289</v>
      </c>
      <c r="D8286" s="208" t="s">
        <v>14896</v>
      </c>
      <c r="F8286" s="57">
        <v>4</v>
      </c>
      <c r="G8286" s="57" t="s">
        <v>15169</v>
      </c>
      <c r="H8286" s="76" t="s">
        <v>15146</v>
      </c>
    </row>
    <row r="8287" spans="2:8" ht="13.5" customHeight="1">
      <c r="B8287" s="209" t="s">
        <v>14290</v>
      </c>
      <c r="D8287" s="208" t="s">
        <v>14897</v>
      </c>
      <c r="F8287" s="57">
        <v>11</v>
      </c>
      <c r="G8287" s="57" t="s">
        <v>15169</v>
      </c>
      <c r="H8287" s="76" t="s">
        <v>15146</v>
      </c>
    </row>
    <row r="8288" spans="2:8" ht="13.5" customHeight="1">
      <c r="B8288" s="209" t="s">
        <v>14291</v>
      </c>
      <c r="D8288" s="208" t="s">
        <v>14898</v>
      </c>
      <c r="F8288" s="57">
        <v>7</v>
      </c>
      <c r="G8288" s="57" t="s">
        <v>15169</v>
      </c>
      <c r="H8288" s="76" t="s">
        <v>15146</v>
      </c>
    </row>
    <row r="8289" spans="2:8" ht="13.5" customHeight="1">
      <c r="B8289" s="209" t="s">
        <v>14292</v>
      </c>
      <c r="D8289" s="208" t="s">
        <v>14899</v>
      </c>
      <c r="F8289" s="57">
        <v>10</v>
      </c>
      <c r="G8289" s="57" t="s">
        <v>15169</v>
      </c>
      <c r="H8289" s="76" t="s">
        <v>15146</v>
      </c>
    </row>
    <row r="8290" spans="2:8" ht="13.5" customHeight="1">
      <c r="B8290" s="209" t="s">
        <v>14293</v>
      </c>
      <c r="D8290" s="208" t="s">
        <v>14900</v>
      </c>
      <c r="F8290" s="57">
        <v>4</v>
      </c>
      <c r="G8290" s="57" t="s">
        <v>15169</v>
      </c>
      <c r="H8290" s="76" t="s">
        <v>15146</v>
      </c>
    </row>
    <row r="8291" spans="2:8" ht="13.5" customHeight="1">
      <c r="B8291" s="209" t="s">
        <v>14294</v>
      </c>
      <c r="D8291" s="208" t="s">
        <v>14901</v>
      </c>
      <c r="F8291" s="57">
        <v>15</v>
      </c>
      <c r="G8291" s="57" t="s">
        <v>15169</v>
      </c>
      <c r="H8291" s="76" t="s">
        <v>15146</v>
      </c>
    </row>
    <row r="8292" spans="2:8" ht="13.5" customHeight="1">
      <c r="B8292" s="209" t="s">
        <v>14295</v>
      </c>
      <c r="D8292" s="208" t="s">
        <v>14902</v>
      </c>
      <c r="F8292" s="57">
        <v>5</v>
      </c>
      <c r="G8292" s="57" t="s">
        <v>15169</v>
      </c>
      <c r="H8292" s="76" t="s">
        <v>15146</v>
      </c>
    </row>
    <row r="8293" spans="2:8" ht="13.5" customHeight="1">
      <c r="B8293" s="209" t="s">
        <v>14296</v>
      </c>
      <c r="D8293" s="208" t="s">
        <v>14903</v>
      </c>
      <c r="F8293" s="57">
        <v>7</v>
      </c>
      <c r="G8293" s="57" t="s">
        <v>15169</v>
      </c>
      <c r="H8293" s="76" t="s">
        <v>15146</v>
      </c>
    </row>
    <row r="8294" spans="2:8" ht="13.5" customHeight="1">
      <c r="B8294" s="209" t="s">
        <v>14297</v>
      </c>
      <c r="D8294" s="208" t="s">
        <v>14904</v>
      </c>
      <c r="F8294" s="57">
        <v>7</v>
      </c>
      <c r="G8294" s="57" t="s">
        <v>15169</v>
      </c>
      <c r="H8294" s="76" t="s">
        <v>15146</v>
      </c>
    </row>
    <row r="8295" spans="2:8" ht="13.5" customHeight="1">
      <c r="B8295" s="209" t="s">
        <v>14298</v>
      </c>
      <c r="D8295" s="208" t="s">
        <v>14905</v>
      </c>
      <c r="F8295" s="57">
        <v>4</v>
      </c>
      <c r="G8295" s="57" t="s">
        <v>15169</v>
      </c>
      <c r="H8295" s="76" t="s">
        <v>15146</v>
      </c>
    </row>
    <row r="8296" spans="2:8" ht="13.5" customHeight="1">
      <c r="B8296" s="209" t="s">
        <v>14299</v>
      </c>
      <c r="D8296" s="208" t="s">
        <v>3738</v>
      </c>
      <c r="F8296" s="57">
        <v>7</v>
      </c>
      <c r="G8296" s="57" t="s">
        <v>15169</v>
      </c>
      <c r="H8296" s="76" t="s">
        <v>15146</v>
      </c>
    </row>
    <row r="8297" spans="2:8" ht="13.5" customHeight="1">
      <c r="B8297" s="209" t="s">
        <v>14300</v>
      </c>
      <c r="D8297" s="208" t="s">
        <v>939</v>
      </c>
      <c r="F8297" s="57">
        <v>140</v>
      </c>
      <c r="G8297" s="57" t="s">
        <v>15169</v>
      </c>
      <c r="H8297" s="76" t="s">
        <v>15147</v>
      </c>
    </row>
    <row r="8298" spans="2:8" ht="13.5" customHeight="1">
      <c r="B8298" s="209" t="s">
        <v>14301</v>
      </c>
      <c r="D8298" s="208" t="s">
        <v>14906</v>
      </c>
      <c r="F8298" s="57">
        <v>7</v>
      </c>
      <c r="G8298" s="57" t="s">
        <v>15169</v>
      </c>
      <c r="H8298" s="76" t="s">
        <v>15146</v>
      </c>
    </row>
    <row r="8299" spans="2:8" ht="13.5" customHeight="1">
      <c r="B8299" s="209" t="s">
        <v>14302</v>
      </c>
      <c r="D8299" s="208" t="s">
        <v>14907</v>
      </c>
      <c r="F8299" s="57">
        <v>2</v>
      </c>
      <c r="G8299" s="57" t="s">
        <v>15169</v>
      </c>
      <c r="H8299" s="76" t="s">
        <v>15146</v>
      </c>
    </row>
    <row r="8300" spans="2:8" ht="13.5" customHeight="1">
      <c r="B8300" s="209" t="s">
        <v>14303</v>
      </c>
      <c r="D8300" s="208" t="s">
        <v>867</v>
      </c>
      <c r="F8300" s="57">
        <v>45</v>
      </c>
      <c r="G8300" s="57" t="s">
        <v>15169</v>
      </c>
      <c r="H8300" s="76" t="s">
        <v>15148</v>
      </c>
    </row>
    <row r="8301" spans="2:8" ht="13.5" customHeight="1">
      <c r="B8301" s="209" t="s">
        <v>14304</v>
      </c>
      <c r="D8301" s="208" t="s">
        <v>14908</v>
      </c>
      <c r="F8301" s="57">
        <v>8</v>
      </c>
      <c r="G8301" s="57" t="s">
        <v>15169</v>
      </c>
      <c r="H8301" s="76" t="s">
        <v>15148</v>
      </c>
    </row>
    <row r="8302" spans="2:8" ht="13.5" customHeight="1">
      <c r="B8302" s="209" t="s">
        <v>14305</v>
      </c>
      <c r="D8302" s="208" t="s">
        <v>14909</v>
      </c>
      <c r="F8302" s="57">
        <v>3</v>
      </c>
      <c r="G8302" s="57" t="s">
        <v>15169</v>
      </c>
      <c r="H8302" s="76" t="s">
        <v>15148</v>
      </c>
    </row>
    <row r="8303" spans="2:8" ht="13.5" customHeight="1">
      <c r="B8303" s="209" t="s">
        <v>14306</v>
      </c>
      <c r="D8303" s="208" t="s">
        <v>14910</v>
      </c>
      <c r="F8303" s="57">
        <v>5</v>
      </c>
      <c r="G8303" s="57" t="s">
        <v>15169</v>
      </c>
      <c r="H8303" s="76" t="s">
        <v>15148</v>
      </c>
    </row>
    <row r="8304" spans="2:8" ht="13.5" customHeight="1">
      <c r="B8304" s="209" t="s">
        <v>14307</v>
      </c>
      <c r="D8304" s="208" t="s">
        <v>14911</v>
      </c>
      <c r="F8304" s="57">
        <v>8</v>
      </c>
      <c r="G8304" s="57" t="s">
        <v>15169</v>
      </c>
      <c r="H8304" s="76" t="s">
        <v>15148</v>
      </c>
    </row>
    <row r="8305" spans="2:8" ht="13.5" customHeight="1">
      <c r="B8305" s="209" t="s">
        <v>14308</v>
      </c>
      <c r="D8305" s="208" t="s">
        <v>14912</v>
      </c>
      <c r="F8305" s="57">
        <v>6</v>
      </c>
      <c r="G8305" s="57" t="s">
        <v>15169</v>
      </c>
      <c r="H8305" s="76" t="s">
        <v>15148</v>
      </c>
    </row>
    <row r="8306" spans="2:8" ht="13.5" customHeight="1">
      <c r="B8306" s="209" t="s">
        <v>14309</v>
      </c>
      <c r="D8306" s="208" t="s">
        <v>14913</v>
      </c>
      <c r="F8306" s="57">
        <v>3</v>
      </c>
      <c r="G8306" s="57" t="s">
        <v>15169</v>
      </c>
      <c r="H8306" s="76" t="s">
        <v>15148</v>
      </c>
    </row>
    <row r="8307" spans="2:8" ht="13.5" customHeight="1">
      <c r="B8307" s="209" t="s">
        <v>14310</v>
      </c>
      <c r="D8307" s="208" t="s">
        <v>14914</v>
      </c>
      <c r="F8307" s="57">
        <v>10</v>
      </c>
      <c r="G8307" s="57" t="s">
        <v>15169</v>
      </c>
      <c r="H8307" s="76" t="s">
        <v>15148</v>
      </c>
    </row>
    <row r="8308" spans="2:8" ht="13.5" customHeight="1">
      <c r="B8308" s="209" t="s">
        <v>14311</v>
      </c>
      <c r="D8308" s="208" t="s">
        <v>14915</v>
      </c>
      <c r="F8308" s="57">
        <v>1850</v>
      </c>
      <c r="G8308" s="57" t="s">
        <v>15169</v>
      </c>
      <c r="H8308" s="76" t="s">
        <v>15078</v>
      </c>
    </row>
    <row r="8309" spans="2:8" ht="13.5" customHeight="1">
      <c r="B8309" s="209" t="s">
        <v>14312</v>
      </c>
      <c r="D8309" s="208" t="s">
        <v>14916</v>
      </c>
      <c r="F8309" s="57">
        <v>8</v>
      </c>
      <c r="G8309" s="57" t="s">
        <v>15169</v>
      </c>
      <c r="H8309" s="76" t="s">
        <v>15148</v>
      </c>
    </row>
    <row r="8310" spans="2:8" ht="13.5" customHeight="1">
      <c r="B8310" s="209" t="s">
        <v>14313</v>
      </c>
      <c r="D8310" s="208" t="s">
        <v>14917</v>
      </c>
      <c r="F8310" s="57">
        <v>1193</v>
      </c>
      <c r="G8310" s="57" t="s">
        <v>15169</v>
      </c>
      <c r="H8310" s="76" t="s">
        <v>15056</v>
      </c>
    </row>
    <row r="8311" spans="2:8" ht="13.5" customHeight="1">
      <c r="B8311" s="209" t="s">
        <v>14314</v>
      </c>
      <c r="D8311" s="208" t="s">
        <v>14918</v>
      </c>
      <c r="F8311" s="57">
        <v>8</v>
      </c>
      <c r="G8311" s="57" t="s">
        <v>15169</v>
      </c>
      <c r="H8311" s="76" t="s">
        <v>15148</v>
      </c>
    </row>
    <row r="8312" spans="2:8" ht="13.5" customHeight="1">
      <c r="B8312" s="209" t="s">
        <v>14315</v>
      </c>
      <c r="D8312" s="208" t="s">
        <v>14919</v>
      </c>
      <c r="F8312" s="57">
        <v>87</v>
      </c>
      <c r="G8312" s="57" t="s">
        <v>15169</v>
      </c>
      <c r="H8312" s="76" t="s">
        <v>15078</v>
      </c>
    </row>
    <row r="8313" spans="2:8" ht="13.5" customHeight="1">
      <c r="B8313" s="209" t="s">
        <v>14316</v>
      </c>
      <c r="D8313" s="208" t="s">
        <v>14920</v>
      </c>
      <c r="F8313" s="57">
        <v>8</v>
      </c>
      <c r="G8313" s="57" t="s">
        <v>15169</v>
      </c>
      <c r="H8313" s="76" t="s">
        <v>15148</v>
      </c>
    </row>
    <row r="8314" spans="2:8" ht="13.5" customHeight="1">
      <c r="B8314" s="209" t="s">
        <v>14317</v>
      </c>
      <c r="D8314" s="208" t="s">
        <v>14921</v>
      </c>
      <c r="F8314" s="57">
        <v>5</v>
      </c>
      <c r="G8314" s="57" t="s">
        <v>15169</v>
      </c>
      <c r="H8314" s="76" t="s">
        <v>15148</v>
      </c>
    </row>
    <row r="8315" spans="2:8" ht="13.5" customHeight="1">
      <c r="B8315" s="209" t="s">
        <v>14318</v>
      </c>
      <c r="D8315" s="208" t="s">
        <v>14922</v>
      </c>
      <c r="F8315" s="57">
        <v>8</v>
      </c>
      <c r="G8315" s="57" t="s">
        <v>15169</v>
      </c>
      <c r="H8315" s="76" t="s">
        <v>15148</v>
      </c>
    </row>
    <row r="8316" spans="2:8" ht="13.5" customHeight="1">
      <c r="B8316" s="209" t="s">
        <v>14319</v>
      </c>
      <c r="D8316" s="208" t="s">
        <v>14923</v>
      </c>
      <c r="F8316" s="57">
        <v>13</v>
      </c>
      <c r="G8316" s="57" t="s">
        <v>15169</v>
      </c>
      <c r="H8316" s="76" t="s">
        <v>15148</v>
      </c>
    </row>
    <row r="8317" spans="2:8" ht="13.5" customHeight="1">
      <c r="B8317" s="209" t="s">
        <v>14320</v>
      </c>
      <c r="D8317" s="208" t="s">
        <v>14924</v>
      </c>
      <c r="F8317" s="57">
        <v>8</v>
      </c>
      <c r="G8317" s="57" t="s">
        <v>15169</v>
      </c>
      <c r="H8317" s="76" t="s">
        <v>15148</v>
      </c>
    </row>
    <row r="8318" spans="2:8" ht="13.5" customHeight="1">
      <c r="B8318" s="209" t="s">
        <v>14321</v>
      </c>
      <c r="D8318" s="208" t="s">
        <v>14925</v>
      </c>
      <c r="F8318" s="57">
        <v>8</v>
      </c>
      <c r="G8318" s="57" t="s">
        <v>15169</v>
      </c>
      <c r="H8318" s="76" t="s">
        <v>15148</v>
      </c>
    </row>
    <row r="8319" spans="2:8" ht="13.5" customHeight="1">
      <c r="B8319" s="209" t="s">
        <v>14322</v>
      </c>
      <c r="D8319" s="208" t="s">
        <v>14926</v>
      </c>
      <c r="F8319" s="57">
        <v>8</v>
      </c>
      <c r="G8319" s="57" t="s">
        <v>15169</v>
      </c>
      <c r="H8319" s="76" t="s">
        <v>15148</v>
      </c>
    </row>
    <row r="8320" spans="2:8" ht="13.5" customHeight="1">
      <c r="B8320" s="209" t="s">
        <v>14323</v>
      </c>
      <c r="D8320" s="208" t="s">
        <v>14927</v>
      </c>
      <c r="F8320" s="57">
        <v>12</v>
      </c>
      <c r="G8320" s="57" t="s">
        <v>15169</v>
      </c>
      <c r="H8320" s="76" t="s">
        <v>15149</v>
      </c>
    </row>
    <row r="8321" spans="2:8" ht="13.5" customHeight="1">
      <c r="B8321" s="209" t="s">
        <v>14324</v>
      </c>
      <c r="D8321" s="208" t="s">
        <v>14928</v>
      </c>
      <c r="F8321" s="57">
        <v>3</v>
      </c>
      <c r="G8321" s="57" t="s">
        <v>15169</v>
      </c>
      <c r="H8321" s="76" t="s">
        <v>15148</v>
      </c>
    </row>
    <row r="8322" spans="2:8" ht="13.5" customHeight="1">
      <c r="B8322" s="209" t="s">
        <v>14325</v>
      </c>
      <c r="D8322" s="208" t="s">
        <v>14929</v>
      </c>
      <c r="F8322" s="57">
        <v>23</v>
      </c>
      <c r="G8322" s="57" t="s">
        <v>15169</v>
      </c>
      <c r="H8322" s="76" t="s">
        <v>15110</v>
      </c>
    </row>
    <row r="8323" spans="2:8" ht="13.5" customHeight="1">
      <c r="B8323" s="209" t="s">
        <v>14326</v>
      </c>
      <c r="D8323" s="208" t="s">
        <v>14930</v>
      </c>
      <c r="F8323" s="57">
        <v>3</v>
      </c>
      <c r="G8323" s="57" t="s">
        <v>15169</v>
      </c>
      <c r="H8323" s="76" t="s">
        <v>15149</v>
      </c>
    </row>
    <row r="8324" spans="2:8" ht="13.5" customHeight="1">
      <c r="B8324" s="209" t="s">
        <v>14327</v>
      </c>
      <c r="D8324" s="208" t="s">
        <v>14931</v>
      </c>
      <c r="F8324" s="57">
        <v>3</v>
      </c>
      <c r="G8324" s="57" t="s">
        <v>15169</v>
      </c>
      <c r="H8324" s="76" t="s">
        <v>15148</v>
      </c>
    </row>
    <row r="8325" spans="2:8" ht="13.5" customHeight="1">
      <c r="B8325" s="209" t="s">
        <v>14328</v>
      </c>
      <c r="D8325" s="208" t="s">
        <v>14932</v>
      </c>
      <c r="F8325" s="57">
        <v>1</v>
      </c>
      <c r="G8325" s="57" t="s">
        <v>15169</v>
      </c>
      <c r="H8325" s="76" t="s">
        <v>15063</v>
      </c>
    </row>
    <row r="8326" spans="2:8" ht="13.5" customHeight="1">
      <c r="B8326" s="209" t="s">
        <v>14329</v>
      </c>
      <c r="D8326" s="208" t="s">
        <v>14933</v>
      </c>
      <c r="F8326" s="57">
        <v>6</v>
      </c>
      <c r="G8326" s="57" t="s">
        <v>15169</v>
      </c>
      <c r="H8326" s="76" t="s">
        <v>15063</v>
      </c>
    </row>
    <row r="8327" spans="2:8" ht="13.5" customHeight="1">
      <c r="B8327" s="209" t="s">
        <v>14330</v>
      </c>
      <c r="D8327" s="208" t="s">
        <v>14934</v>
      </c>
      <c r="F8327" s="57">
        <v>15</v>
      </c>
      <c r="G8327" s="57" t="s">
        <v>15169</v>
      </c>
      <c r="H8327" s="76" t="s">
        <v>15063</v>
      </c>
    </row>
    <row r="8328" spans="2:8" ht="13.5" customHeight="1">
      <c r="B8328" s="209" t="s">
        <v>14331</v>
      </c>
      <c r="D8328" s="208" t="s">
        <v>14935</v>
      </c>
      <c r="F8328" s="57">
        <v>4</v>
      </c>
      <c r="G8328" s="57" t="s">
        <v>15169</v>
      </c>
      <c r="H8328" s="76" t="s">
        <v>15063</v>
      </c>
    </row>
    <row r="8329" spans="2:8" ht="13.5" customHeight="1">
      <c r="B8329" s="209" t="s">
        <v>14332</v>
      </c>
      <c r="D8329" s="208" t="s">
        <v>14936</v>
      </c>
      <c r="F8329" s="57">
        <v>28</v>
      </c>
      <c r="G8329" s="57" t="s">
        <v>15169</v>
      </c>
      <c r="H8329" s="76" t="s">
        <v>15063</v>
      </c>
    </row>
    <row r="8330" spans="2:8" ht="13.5" customHeight="1">
      <c r="B8330" s="209"/>
      <c r="D8330" s="208" t="s">
        <v>14937</v>
      </c>
      <c r="F8330" s="57">
        <v>54</v>
      </c>
      <c r="G8330" s="57" t="s">
        <v>15169</v>
      </c>
      <c r="H8330" s="76" t="s">
        <v>2661</v>
      </c>
    </row>
    <row r="8331" spans="2:8" ht="13.5" customHeight="1">
      <c r="B8331" s="209"/>
      <c r="D8331" s="208" t="s">
        <v>6753</v>
      </c>
      <c r="F8331" s="57">
        <v>100</v>
      </c>
      <c r="G8331" s="57" t="s">
        <v>15169</v>
      </c>
      <c r="H8331" s="76" t="s">
        <v>15055</v>
      </c>
    </row>
    <row r="8332" spans="2:8" ht="13.5" customHeight="1">
      <c r="B8332" s="209"/>
      <c r="D8332" s="208" t="s">
        <v>14938</v>
      </c>
      <c r="F8332" s="57">
        <v>7017</v>
      </c>
      <c r="G8332" s="57" t="s">
        <v>15169</v>
      </c>
      <c r="H8332" s="76" t="s">
        <v>2661</v>
      </c>
    </row>
    <row r="8333" spans="2:8" ht="13.5" customHeight="1">
      <c r="B8333" s="209"/>
      <c r="D8333" s="208" t="s">
        <v>14939</v>
      </c>
      <c r="F8333" s="57">
        <v>123</v>
      </c>
      <c r="G8333" s="57" t="s">
        <v>15169</v>
      </c>
      <c r="H8333" s="76" t="s">
        <v>2661</v>
      </c>
    </row>
    <row r="8334" spans="2:8" ht="13.5" customHeight="1">
      <c r="B8334" s="209" t="s">
        <v>14333</v>
      </c>
      <c r="D8334" s="208" t="s">
        <v>14940</v>
      </c>
      <c r="F8334" s="57">
        <v>15</v>
      </c>
      <c r="G8334" s="57" t="s">
        <v>15169</v>
      </c>
      <c r="H8334" s="76" t="s">
        <v>2661</v>
      </c>
    </row>
    <row r="8335" spans="2:8" ht="13.5" customHeight="1">
      <c r="B8335" s="209" t="s">
        <v>14334</v>
      </c>
      <c r="D8335" s="208" t="s">
        <v>14941</v>
      </c>
      <c r="F8335" s="57">
        <v>97</v>
      </c>
      <c r="G8335" s="57" t="s">
        <v>15169</v>
      </c>
      <c r="H8335" s="76" t="s">
        <v>15109</v>
      </c>
    </row>
    <row r="8336" spans="2:8" ht="13.5" customHeight="1">
      <c r="B8336" s="209" t="s">
        <v>14335</v>
      </c>
      <c r="D8336" s="208" t="s">
        <v>14942</v>
      </c>
      <c r="F8336" s="57">
        <v>570</v>
      </c>
      <c r="G8336" s="57" t="s">
        <v>15169</v>
      </c>
      <c r="H8336" s="76" t="s">
        <v>15079</v>
      </c>
    </row>
    <row r="8337" spans="2:8" ht="13.5" customHeight="1">
      <c r="B8337" s="209" t="s">
        <v>14336</v>
      </c>
      <c r="D8337" s="208" t="s">
        <v>14943</v>
      </c>
      <c r="F8337" s="57">
        <v>1</v>
      </c>
      <c r="G8337" s="57" t="s">
        <v>15169</v>
      </c>
      <c r="H8337" s="76" t="s">
        <v>15113</v>
      </c>
    </row>
    <row r="8338" spans="2:8" ht="13.5" customHeight="1">
      <c r="B8338" s="209" t="s">
        <v>14337</v>
      </c>
      <c r="D8338" s="208" t="s">
        <v>14944</v>
      </c>
      <c r="F8338" s="57">
        <v>1</v>
      </c>
      <c r="G8338" s="57" t="s">
        <v>15169</v>
      </c>
      <c r="H8338" s="76" t="s">
        <v>15113</v>
      </c>
    </row>
    <row r="8339" spans="2:8" ht="13.5" customHeight="1">
      <c r="B8339" s="209" t="s">
        <v>14338</v>
      </c>
      <c r="D8339" s="208" t="s">
        <v>14945</v>
      </c>
      <c r="F8339" s="57">
        <v>1</v>
      </c>
      <c r="G8339" s="57" t="s">
        <v>15169</v>
      </c>
      <c r="H8339" s="76" t="s">
        <v>15113</v>
      </c>
    </row>
    <row r="8340" spans="2:8" ht="13.5" customHeight="1">
      <c r="B8340" s="209" t="s">
        <v>14339</v>
      </c>
      <c r="D8340" s="208" t="s">
        <v>14946</v>
      </c>
      <c r="F8340" s="57">
        <v>24</v>
      </c>
      <c r="G8340" s="57" t="s">
        <v>15169</v>
      </c>
      <c r="H8340" s="76" t="s">
        <v>15150</v>
      </c>
    </row>
    <row r="8341" spans="2:8" ht="13.5" customHeight="1">
      <c r="B8341" s="209"/>
      <c r="D8341" s="208" t="s">
        <v>14947</v>
      </c>
      <c r="F8341" s="57">
        <v>220</v>
      </c>
      <c r="G8341" s="57" t="s">
        <v>15169</v>
      </c>
      <c r="H8341" s="76" t="s">
        <v>15086</v>
      </c>
    </row>
    <row r="8342" spans="2:8" ht="13.5" customHeight="1">
      <c r="B8342" s="209" t="s">
        <v>14340</v>
      </c>
      <c r="D8342" s="208" t="s">
        <v>14948</v>
      </c>
      <c r="F8342" s="57">
        <v>100</v>
      </c>
      <c r="G8342" s="57" t="s">
        <v>15169</v>
      </c>
      <c r="H8342" s="76" t="s">
        <v>15151</v>
      </c>
    </row>
    <row r="8343" spans="2:8" ht="13.5" customHeight="1">
      <c r="B8343" s="209" t="s">
        <v>14341</v>
      </c>
      <c r="D8343" s="208" t="s">
        <v>14949</v>
      </c>
      <c r="F8343" s="57">
        <v>418</v>
      </c>
      <c r="G8343" s="57" t="s">
        <v>15169</v>
      </c>
      <c r="H8343" s="76" t="s">
        <v>15152</v>
      </c>
    </row>
    <row r="8344" spans="2:8" ht="13.5" customHeight="1">
      <c r="B8344" s="209" t="s">
        <v>14342</v>
      </c>
      <c r="D8344" s="208" t="s">
        <v>7463</v>
      </c>
      <c r="F8344" s="57">
        <v>16</v>
      </c>
      <c r="G8344" s="57" t="s">
        <v>15169</v>
      </c>
      <c r="H8344" s="76" t="s">
        <v>15153</v>
      </c>
    </row>
    <row r="8345" spans="2:8" ht="13.5" customHeight="1">
      <c r="B8345" s="209" t="s">
        <v>14343</v>
      </c>
      <c r="D8345" s="208" t="s">
        <v>14950</v>
      </c>
      <c r="F8345" s="57">
        <v>17</v>
      </c>
      <c r="G8345" s="57" t="s">
        <v>15169</v>
      </c>
      <c r="H8345" s="76" t="s">
        <v>15047</v>
      </c>
    </row>
    <row r="8346" spans="2:8" ht="13.5" customHeight="1">
      <c r="B8346" s="209" t="s">
        <v>14344</v>
      </c>
      <c r="D8346" s="208" t="s">
        <v>14951</v>
      </c>
      <c r="F8346" s="57">
        <v>74</v>
      </c>
      <c r="G8346" s="57" t="s">
        <v>15169</v>
      </c>
      <c r="H8346" s="76" t="s">
        <v>15154</v>
      </c>
    </row>
    <row r="8347" spans="2:8" ht="13.5" customHeight="1">
      <c r="B8347" s="209" t="s">
        <v>14345</v>
      </c>
      <c r="D8347" s="208" t="s">
        <v>14952</v>
      </c>
      <c r="F8347" s="57">
        <v>14</v>
      </c>
      <c r="G8347" s="57" t="s">
        <v>15169</v>
      </c>
      <c r="H8347" s="76" t="s">
        <v>15155</v>
      </c>
    </row>
    <row r="8348" spans="2:8" ht="13.5" customHeight="1">
      <c r="B8348" s="209" t="s">
        <v>14346</v>
      </c>
      <c r="D8348" s="208" t="s">
        <v>14953</v>
      </c>
      <c r="F8348" s="57">
        <v>180</v>
      </c>
      <c r="G8348" s="57" t="s">
        <v>15169</v>
      </c>
      <c r="H8348" s="76" t="s">
        <v>15042</v>
      </c>
    </row>
    <row r="8349" spans="2:8" ht="13.5" customHeight="1">
      <c r="B8349" s="209" t="s">
        <v>14347</v>
      </c>
      <c r="D8349" s="208" t="s">
        <v>14954</v>
      </c>
      <c r="F8349" s="57">
        <v>921</v>
      </c>
      <c r="G8349" s="57" t="s">
        <v>15169</v>
      </c>
      <c r="H8349" s="76" t="s">
        <v>15042</v>
      </c>
    </row>
    <row r="8350" spans="2:8" ht="13.5" customHeight="1">
      <c r="B8350" s="209" t="s">
        <v>14348</v>
      </c>
      <c r="D8350" s="208" t="s">
        <v>14955</v>
      </c>
      <c r="F8350" s="57">
        <v>13776</v>
      </c>
      <c r="G8350" s="57" t="s">
        <v>15169</v>
      </c>
      <c r="H8350" s="76" t="s">
        <v>15042</v>
      </c>
    </row>
    <row r="8351" spans="2:8" ht="13.5" customHeight="1">
      <c r="B8351" s="209" t="s">
        <v>14349</v>
      </c>
      <c r="D8351" s="208" t="s">
        <v>14956</v>
      </c>
      <c r="F8351" s="57">
        <v>91</v>
      </c>
      <c r="G8351" s="57" t="s">
        <v>15169</v>
      </c>
      <c r="H8351" s="76" t="s">
        <v>15147</v>
      </c>
    </row>
    <row r="8352" spans="2:8" ht="13.5" customHeight="1">
      <c r="B8352" s="209" t="s">
        <v>14350</v>
      </c>
      <c r="D8352" s="208" t="s">
        <v>14957</v>
      </c>
      <c r="F8352" s="57">
        <v>257</v>
      </c>
      <c r="G8352" s="57" t="s">
        <v>15169</v>
      </c>
      <c r="H8352" s="76" t="s">
        <v>15109</v>
      </c>
    </row>
    <row r="8353" spans="2:8" ht="13.5" customHeight="1">
      <c r="B8353" s="209" t="s">
        <v>14351</v>
      </c>
      <c r="D8353" s="208" t="s">
        <v>14958</v>
      </c>
      <c r="F8353" s="57">
        <v>38</v>
      </c>
      <c r="G8353" s="57" t="s">
        <v>15169</v>
      </c>
      <c r="H8353" s="76" t="s">
        <v>15109</v>
      </c>
    </row>
    <row r="8354" spans="2:8" ht="13.5" customHeight="1">
      <c r="B8354" s="209" t="s">
        <v>14352</v>
      </c>
      <c r="D8354" s="208" t="s">
        <v>14959</v>
      </c>
      <c r="F8354" s="57">
        <v>1</v>
      </c>
      <c r="G8354" s="57" t="s">
        <v>15169</v>
      </c>
      <c r="H8354" s="76" t="s">
        <v>15156</v>
      </c>
    </row>
    <row r="8355" spans="2:8" ht="13.5" customHeight="1">
      <c r="B8355" s="209" t="s">
        <v>14353</v>
      </c>
      <c r="D8355" s="208" t="s">
        <v>14960</v>
      </c>
      <c r="F8355" s="57">
        <v>1</v>
      </c>
      <c r="G8355" s="57" t="s">
        <v>15169</v>
      </c>
      <c r="H8355" s="76" t="s">
        <v>15157</v>
      </c>
    </row>
    <row r="8356" spans="2:8" ht="13.5" customHeight="1">
      <c r="B8356" s="210" t="s">
        <v>14354</v>
      </c>
      <c r="D8356" s="226" t="s">
        <v>14961</v>
      </c>
      <c r="F8356" s="57">
        <v>5</v>
      </c>
      <c r="G8356" s="57" t="s">
        <v>15169</v>
      </c>
      <c r="H8356" s="76" t="s">
        <v>15156</v>
      </c>
    </row>
    <row r="8357" spans="2:8" ht="13.5" customHeight="1">
      <c r="B8357" s="209" t="s">
        <v>14355</v>
      </c>
      <c r="D8357" s="208" t="s">
        <v>14962</v>
      </c>
      <c r="F8357" s="57">
        <v>4</v>
      </c>
      <c r="G8357" s="57" t="s">
        <v>15169</v>
      </c>
      <c r="H8357" s="76" t="s">
        <v>15157</v>
      </c>
    </row>
    <row r="8358" spans="2:8" ht="13.5" customHeight="1">
      <c r="B8358" s="209" t="s">
        <v>14356</v>
      </c>
      <c r="D8358" s="208" t="s">
        <v>14963</v>
      </c>
      <c r="F8358" s="57">
        <v>2</v>
      </c>
      <c r="G8358" s="57" t="s">
        <v>15169</v>
      </c>
      <c r="H8358" s="76" t="s">
        <v>15157</v>
      </c>
    </row>
    <row r="8359" spans="2:8" ht="13.5" customHeight="1">
      <c r="B8359" s="209" t="s">
        <v>14357</v>
      </c>
      <c r="D8359" s="208" t="s">
        <v>14964</v>
      </c>
      <c r="F8359" s="57">
        <v>2</v>
      </c>
      <c r="G8359" s="57" t="s">
        <v>15169</v>
      </c>
      <c r="H8359" s="76" t="s">
        <v>15157</v>
      </c>
    </row>
    <row r="8360" spans="2:8" ht="13.5" customHeight="1">
      <c r="B8360" s="209" t="s">
        <v>646</v>
      </c>
      <c r="D8360" s="208" t="s">
        <v>14965</v>
      </c>
      <c r="F8360" s="57">
        <v>480</v>
      </c>
      <c r="G8360" s="57" t="s">
        <v>15169</v>
      </c>
      <c r="H8360" s="76" t="s">
        <v>15156</v>
      </c>
    </row>
    <row r="8361" spans="2:8" ht="13.5" customHeight="1">
      <c r="B8361" s="209" t="s">
        <v>14358</v>
      </c>
      <c r="D8361" s="208" t="s">
        <v>14966</v>
      </c>
      <c r="F8361" s="57">
        <v>1</v>
      </c>
      <c r="G8361" s="57" t="s">
        <v>15169</v>
      </c>
      <c r="H8361" s="76" t="s">
        <v>15158</v>
      </c>
    </row>
    <row r="8362" spans="2:8" ht="13.5" customHeight="1">
      <c r="B8362" s="209" t="s">
        <v>14359</v>
      </c>
      <c r="D8362" s="208" t="s">
        <v>14967</v>
      </c>
      <c r="F8362" s="57">
        <v>29</v>
      </c>
      <c r="G8362" s="57" t="s">
        <v>15169</v>
      </c>
      <c r="H8362" s="76" t="s">
        <v>15159</v>
      </c>
    </row>
    <row r="8363" spans="2:8" ht="13.5" customHeight="1">
      <c r="B8363" s="209" t="s">
        <v>14360</v>
      </c>
      <c r="D8363" s="208" t="s">
        <v>14968</v>
      </c>
      <c r="F8363" s="57">
        <v>57</v>
      </c>
      <c r="G8363" s="57" t="s">
        <v>15169</v>
      </c>
      <c r="H8363" s="76" t="s">
        <v>15058</v>
      </c>
    </row>
    <row r="8364" spans="2:8" ht="13.5" customHeight="1">
      <c r="B8364" s="209"/>
      <c r="D8364" s="208" t="s">
        <v>14969</v>
      </c>
      <c r="F8364" s="57">
        <v>558</v>
      </c>
      <c r="G8364" s="57" t="s">
        <v>15169</v>
      </c>
      <c r="H8364" s="76" t="s">
        <v>15160</v>
      </c>
    </row>
    <row r="8365" spans="2:8" ht="13.5" customHeight="1">
      <c r="B8365" s="209" t="s">
        <v>14361</v>
      </c>
      <c r="D8365" s="225" t="s">
        <v>14970</v>
      </c>
      <c r="F8365" s="57">
        <v>2537</v>
      </c>
      <c r="G8365" s="57" t="s">
        <v>15169</v>
      </c>
      <c r="H8365" s="76" t="s">
        <v>15058</v>
      </c>
    </row>
    <row r="8366" spans="2:8" ht="13.5" customHeight="1">
      <c r="B8366" s="209"/>
      <c r="D8366" s="208" t="s">
        <v>14971</v>
      </c>
      <c r="F8366" s="57">
        <v>3</v>
      </c>
      <c r="G8366" s="57" t="s">
        <v>15169</v>
      </c>
      <c r="H8366" s="76" t="s">
        <v>15100</v>
      </c>
    </row>
    <row r="8367" spans="2:8" ht="13.5" customHeight="1">
      <c r="B8367" s="209"/>
      <c r="D8367" s="208" t="s">
        <v>14972</v>
      </c>
      <c r="F8367" s="57">
        <v>151</v>
      </c>
      <c r="G8367" s="57" t="s">
        <v>15169</v>
      </c>
      <c r="H8367" s="76" t="s">
        <v>15147</v>
      </c>
    </row>
    <row r="8368" spans="2:8" ht="13.5" customHeight="1">
      <c r="B8368" s="209"/>
      <c r="D8368" s="208" t="s">
        <v>14973</v>
      </c>
      <c r="F8368" s="57">
        <v>112</v>
      </c>
      <c r="G8368" s="57" t="s">
        <v>15169</v>
      </c>
      <c r="H8368" s="76" t="s">
        <v>15115</v>
      </c>
    </row>
    <row r="8369" spans="2:8" ht="13.5" customHeight="1">
      <c r="B8369" s="209" t="s">
        <v>14362</v>
      </c>
      <c r="D8369" s="228" t="s">
        <v>14974</v>
      </c>
      <c r="F8369" s="57">
        <v>5000</v>
      </c>
      <c r="G8369" s="57" t="s">
        <v>15169</v>
      </c>
      <c r="H8369" s="76" t="s">
        <v>15161</v>
      </c>
    </row>
    <row r="8370" spans="2:8" ht="13.5" customHeight="1">
      <c r="B8370" s="209" t="s">
        <v>14363</v>
      </c>
      <c r="D8370" s="228" t="s">
        <v>14975</v>
      </c>
      <c r="F8370" s="57">
        <v>20000</v>
      </c>
      <c r="G8370" s="57" t="s">
        <v>15169</v>
      </c>
      <c r="H8370" s="76" t="s">
        <v>15162</v>
      </c>
    </row>
    <row r="8371" spans="2:8" ht="13.5" customHeight="1">
      <c r="B8371" s="213" t="s">
        <v>7751</v>
      </c>
      <c r="D8371" s="208" t="s">
        <v>652</v>
      </c>
      <c r="F8371" s="57">
        <v>494</v>
      </c>
      <c r="G8371" s="57" t="s">
        <v>15169</v>
      </c>
      <c r="H8371" s="76" t="s">
        <v>15163</v>
      </c>
    </row>
    <row r="8372" spans="2:8" ht="13.5" customHeight="1">
      <c r="B8372" s="214" t="s">
        <v>14364</v>
      </c>
      <c r="D8372" s="232" t="s">
        <v>11388</v>
      </c>
      <c r="F8372" s="57">
        <v>31</v>
      </c>
      <c r="G8372" s="57" t="s">
        <v>15169</v>
      </c>
      <c r="H8372" s="76" t="s">
        <v>15147</v>
      </c>
    </row>
    <row r="8373" spans="2:8" ht="13.5" customHeight="1">
      <c r="B8373" s="214" t="s">
        <v>14365</v>
      </c>
      <c r="D8373" s="233" t="s">
        <v>14976</v>
      </c>
      <c r="F8373" s="57">
        <v>137</v>
      </c>
      <c r="G8373" s="57" t="s">
        <v>15169</v>
      </c>
      <c r="H8373" s="76" t="s">
        <v>15147</v>
      </c>
    </row>
    <row r="8374" spans="2:8" ht="13.5" customHeight="1">
      <c r="B8374" s="214" t="s">
        <v>14366</v>
      </c>
      <c r="D8374" s="233" t="s">
        <v>14977</v>
      </c>
      <c r="F8374" s="57">
        <v>359</v>
      </c>
      <c r="G8374" s="57" t="s">
        <v>15169</v>
      </c>
      <c r="H8374" s="76" t="s">
        <v>15147</v>
      </c>
    </row>
    <row r="8375" spans="2:8" ht="13.5" customHeight="1">
      <c r="B8375" s="214" t="s">
        <v>14367</v>
      </c>
      <c r="D8375" s="233" t="s">
        <v>14978</v>
      </c>
      <c r="F8375" s="57">
        <v>40</v>
      </c>
      <c r="G8375" s="57" t="s">
        <v>15169</v>
      </c>
      <c r="H8375" s="76" t="s">
        <v>15147</v>
      </c>
    </row>
    <row r="8376" spans="2:8" ht="13.5" customHeight="1">
      <c r="B8376" s="214" t="s">
        <v>14368</v>
      </c>
      <c r="D8376" s="233" t="s">
        <v>14979</v>
      </c>
      <c r="F8376" s="57">
        <v>784</v>
      </c>
      <c r="G8376" s="57" t="s">
        <v>15169</v>
      </c>
      <c r="H8376" s="76" t="s">
        <v>15147</v>
      </c>
    </row>
    <row r="8377" spans="2:8" ht="13.5" customHeight="1">
      <c r="B8377" s="214" t="s">
        <v>14369</v>
      </c>
      <c r="D8377" s="233" t="s">
        <v>14980</v>
      </c>
      <c r="F8377" s="57">
        <v>733</v>
      </c>
      <c r="G8377" s="57" t="s">
        <v>15169</v>
      </c>
      <c r="H8377" s="76" t="s">
        <v>15147</v>
      </c>
    </row>
    <row r="8378" spans="2:8" ht="13.5" customHeight="1">
      <c r="B8378" s="214" t="s">
        <v>14370</v>
      </c>
      <c r="D8378" s="233" t="s">
        <v>14981</v>
      </c>
      <c r="F8378" s="57">
        <v>500</v>
      </c>
      <c r="G8378" s="57" t="s">
        <v>15169</v>
      </c>
      <c r="H8378" s="76" t="s">
        <v>15147</v>
      </c>
    </row>
    <row r="8379" spans="2:8" ht="13.5" customHeight="1">
      <c r="B8379" s="214" t="s">
        <v>14371</v>
      </c>
      <c r="D8379" s="233" t="s">
        <v>14982</v>
      </c>
      <c r="F8379" s="57">
        <v>37</v>
      </c>
      <c r="G8379" s="57" t="s">
        <v>15169</v>
      </c>
      <c r="H8379" s="76" t="s">
        <v>15147</v>
      </c>
    </row>
    <row r="8380" spans="2:8" ht="13.5" customHeight="1">
      <c r="B8380" s="209" t="s">
        <v>14372</v>
      </c>
      <c r="D8380" s="208" t="s">
        <v>14983</v>
      </c>
      <c r="F8380" s="57">
        <v>1190</v>
      </c>
      <c r="G8380" s="57" t="s">
        <v>15169</v>
      </c>
      <c r="H8380" s="76" t="s">
        <v>15133</v>
      </c>
    </row>
    <row r="8381" spans="2:8" ht="13.5" customHeight="1">
      <c r="B8381" s="209" t="s">
        <v>14373</v>
      </c>
      <c r="D8381" s="208" t="s">
        <v>14984</v>
      </c>
      <c r="F8381" s="57">
        <v>2050</v>
      </c>
      <c r="G8381" s="57" t="s">
        <v>15169</v>
      </c>
      <c r="H8381" s="76" t="s">
        <v>15133</v>
      </c>
    </row>
    <row r="8382" spans="2:8" ht="13.5" customHeight="1">
      <c r="B8382" s="209" t="s">
        <v>14374</v>
      </c>
      <c r="D8382" s="208" t="s">
        <v>14985</v>
      </c>
      <c r="F8382" s="57">
        <v>992</v>
      </c>
      <c r="G8382" s="57" t="s">
        <v>15169</v>
      </c>
      <c r="H8382" s="76" t="s">
        <v>15077</v>
      </c>
    </row>
    <row r="8383" spans="2:8" ht="13.5" customHeight="1">
      <c r="B8383" s="215" t="s">
        <v>4872</v>
      </c>
      <c r="D8383" s="234" t="s">
        <v>14986</v>
      </c>
      <c r="F8383" s="57">
        <v>39</v>
      </c>
      <c r="G8383" s="57" t="s">
        <v>15169</v>
      </c>
      <c r="H8383" s="76" t="s">
        <v>15147</v>
      </c>
    </row>
    <row r="8384" spans="2:8" ht="13.5" customHeight="1">
      <c r="B8384" s="209"/>
      <c r="D8384" s="208" t="s">
        <v>14987</v>
      </c>
      <c r="F8384" s="57">
        <v>158</v>
      </c>
      <c r="G8384" s="57" t="s">
        <v>15169</v>
      </c>
      <c r="H8384" s="76" t="s">
        <v>15079</v>
      </c>
    </row>
    <row r="8385" spans="2:8" ht="13.5" customHeight="1">
      <c r="B8385" s="209"/>
      <c r="D8385" s="208" t="s">
        <v>14988</v>
      </c>
      <c r="F8385" s="57">
        <v>70</v>
      </c>
      <c r="G8385" s="57" t="s">
        <v>15169</v>
      </c>
      <c r="H8385" s="76" t="s">
        <v>15117</v>
      </c>
    </row>
    <row r="8386" spans="2:8" ht="13.5" customHeight="1">
      <c r="B8386" s="209" t="s">
        <v>14375</v>
      </c>
      <c r="D8386" s="208" t="s">
        <v>14989</v>
      </c>
      <c r="F8386" s="57">
        <v>53.449999999999989</v>
      </c>
      <c r="G8386" s="57" t="s">
        <v>15169</v>
      </c>
      <c r="H8386" s="76"/>
    </row>
    <row r="8387" spans="2:8" ht="13.5" customHeight="1">
      <c r="B8387" s="209" t="s">
        <v>14376</v>
      </c>
      <c r="D8387" s="208" t="s">
        <v>14989</v>
      </c>
      <c r="F8387" s="57">
        <v>53.449999999999989</v>
      </c>
      <c r="G8387" s="57" t="s">
        <v>15169</v>
      </c>
      <c r="H8387" s="76" t="s">
        <v>15151</v>
      </c>
    </row>
    <row r="8388" spans="2:8" ht="13.5" customHeight="1">
      <c r="B8388" s="209"/>
      <c r="D8388" s="208" t="s">
        <v>14990</v>
      </c>
      <c r="F8388" s="57">
        <v>83</v>
      </c>
      <c r="G8388" s="57" t="s">
        <v>15169</v>
      </c>
      <c r="H8388" s="76" t="s">
        <v>15083</v>
      </c>
    </row>
    <row r="8389" spans="2:8" ht="13.5" customHeight="1">
      <c r="B8389" s="208" t="s">
        <v>14377</v>
      </c>
      <c r="D8389" s="208" t="s">
        <v>14377</v>
      </c>
      <c r="F8389" s="57">
        <v>691</v>
      </c>
      <c r="G8389" s="57" t="s">
        <v>15169</v>
      </c>
      <c r="H8389" s="76" t="s">
        <v>15153</v>
      </c>
    </row>
    <row r="8390" spans="2:8" ht="13.5" customHeight="1">
      <c r="B8390" s="209"/>
      <c r="D8390" s="208" t="s">
        <v>14991</v>
      </c>
      <c r="F8390" s="57">
        <v>10</v>
      </c>
      <c r="G8390" s="57" t="s">
        <v>15169</v>
      </c>
      <c r="H8390" s="76" t="s">
        <v>15113</v>
      </c>
    </row>
    <row r="8391" spans="2:8" ht="13.5" customHeight="1">
      <c r="B8391" s="209" t="s">
        <v>14378</v>
      </c>
      <c r="D8391" s="28" t="s">
        <v>14992</v>
      </c>
      <c r="F8391" s="57">
        <v>72</v>
      </c>
      <c r="G8391" s="57" t="s">
        <v>15169</v>
      </c>
      <c r="H8391" s="76" t="s">
        <v>15071</v>
      </c>
    </row>
    <row r="8392" spans="2:8" ht="13.5" customHeight="1">
      <c r="B8392" s="209" t="s">
        <v>14379</v>
      </c>
      <c r="D8392" s="208" t="s">
        <v>14993</v>
      </c>
      <c r="F8392" s="57">
        <v>1130</v>
      </c>
      <c r="G8392" s="57" t="s">
        <v>15169</v>
      </c>
      <c r="H8392" s="76" t="s">
        <v>15151</v>
      </c>
    </row>
    <row r="8393" spans="2:8" ht="13.5" customHeight="1">
      <c r="B8393" s="209"/>
      <c r="D8393" s="208" t="s">
        <v>14994</v>
      </c>
      <c r="F8393" s="57">
        <v>768</v>
      </c>
      <c r="G8393" s="57" t="s">
        <v>15169</v>
      </c>
      <c r="H8393" s="76" t="s">
        <v>15048</v>
      </c>
    </row>
    <row r="8394" spans="2:8" ht="13.5" customHeight="1">
      <c r="B8394" s="209" t="s">
        <v>14380</v>
      </c>
      <c r="D8394" s="228" t="s">
        <v>14995</v>
      </c>
      <c r="F8394" s="57">
        <v>11</v>
      </c>
      <c r="G8394" s="57" t="s">
        <v>15169</v>
      </c>
      <c r="H8394" s="76" t="s">
        <v>15098</v>
      </c>
    </row>
    <row r="8395" spans="2:8" ht="13.5" customHeight="1">
      <c r="B8395" s="209"/>
      <c r="D8395" s="208" t="s">
        <v>14996</v>
      </c>
      <c r="F8395" s="57">
        <v>29</v>
      </c>
      <c r="G8395" s="57" t="s">
        <v>15169</v>
      </c>
      <c r="H8395" s="76" t="s">
        <v>15117</v>
      </c>
    </row>
    <row r="8396" spans="2:8" ht="13.5" customHeight="1">
      <c r="B8396" s="209" t="s">
        <v>14381</v>
      </c>
      <c r="D8396" s="208" t="s">
        <v>14997</v>
      </c>
      <c r="F8396" s="57">
        <v>79</v>
      </c>
      <c r="G8396" s="57" t="s">
        <v>15169</v>
      </c>
      <c r="H8396" s="76" t="s">
        <v>15078</v>
      </c>
    </row>
    <row r="8397" spans="2:8" ht="13.5" customHeight="1">
      <c r="B8397" s="209" t="s">
        <v>14382</v>
      </c>
      <c r="D8397" s="208" t="s">
        <v>14998</v>
      </c>
      <c r="F8397" s="57">
        <v>4160</v>
      </c>
      <c r="G8397" s="57" t="s">
        <v>15169</v>
      </c>
      <c r="H8397" s="76" t="s">
        <v>15064</v>
      </c>
    </row>
    <row r="8398" spans="2:8" ht="13.5" customHeight="1">
      <c r="B8398" s="209"/>
      <c r="D8398" s="208" t="s">
        <v>14999</v>
      </c>
      <c r="F8398" s="57">
        <v>4</v>
      </c>
      <c r="G8398" s="57" t="s">
        <v>15169</v>
      </c>
      <c r="H8398" s="76" t="s">
        <v>15164</v>
      </c>
    </row>
    <row r="8399" spans="2:8" ht="13.5" customHeight="1">
      <c r="B8399" s="209"/>
      <c r="D8399" s="208" t="s">
        <v>15000</v>
      </c>
      <c r="F8399" s="57">
        <v>4</v>
      </c>
      <c r="G8399" s="57" t="s">
        <v>15169</v>
      </c>
      <c r="H8399" s="76" t="s">
        <v>15164</v>
      </c>
    </row>
    <row r="8400" spans="2:8" ht="13.5" customHeight="1">
      <c r="B8400" s="209"/>
      <c r="D8400" s="208" t="s">
        <v>15001</v>
      </c>
      <c r="F8400" s="57">
        <v>371</v>
      </c>
      <c r="G8400" s="57" t="s">
        <v>15169</v>
      </c>
      <c r="H8400" s="76" t="s">
        <v>15114</v>
      </c>
    </row>
    <row r="8401" spans="2:8" ht="13.5" customHeight="1">
      <c r="B8401" s="209"/>
      <c r="D8401" s="208" t="s">
        <v>15002</v>
      </c>
      <c r="F8401" s="57">
        <v>10</v>
      </c>
      <c r="G8401" s="57" t="s">
        <v>15169</v>
      </c>
      <c r="H8401" s="76" t="s">
        <v>7887</v>
      </c>
    </row>
    <row r="8402" spans="2:8" ht="13.5" customHeight="1">
      <c r="B8402" s="209"/>
      <c r="D8402" s="208" t="s">
        <v>15003</v>
      </c>
      <c r="F8402" s="57">
        <v>2</v>
      </c>
      <c r="G8402" s="57" t="s">
        <v>15169</v>
      </c>
      <c r="H8402" s="76" t="s">
        <v>15113</v>
      </c>
    </row>
    <row r="8403" spans="2:8" ht="13.5" customHeight="1">
      <c r="B8403" s="209"/>
      <c r="D8403" s="208" t="s">
        <v>15004</v>
      </c>
      <c r="F8403" s="57">
        <v>4</v>
      </c>
      <c r="G8403" s="57" t="s">
        <v>15169</v>
      </c>
      <c r="H8403" s="76" t="s">
        <v>15113</v>
      </c>
    </row>
    <row r="8404" spans="2:8" ht="13.5" customHeight="1">
      <c r="B8404" s="209"/>
      <c r="D8404" s="208" t="s">
        <v>15005</v>
      </c>
      <c r="F8404" s="57">
        <v>12</v>
      </c>
      <c r="G8404" s="57" t="s">
        <v>15169</v>
      </c>
      <c r="H8404" s="76" t="s">
        <v>15113</v>
      </c>
    </row>
    <row r="8405" spans="2:8" ht="13.5" customHeight="1">
      <c r="B8405" s="209"/>
      <c r="D8405" s="208" t="s">
        <v>15006</v>
      </c>
      <c r="F8405" s="57">
        <v>8</v>
      </c>
      <c r="G8405" s="57" t="s">
        <v>15169</v>
      </c>
      <c r="H8405" s="76" t="s">
        <v>15113</v>
      </c>
    </row>
    <row r="8406" spans="2:8" ht="13.5" customHeight="1">
      <c r="B8406" s="209"/>
      <c r="D8406" s="208" t="s">
        <v>15007</v>
      </c>
      <c r="F8406" s="57">
        <v>1</v>
      </c>
      <c r="G8406" s="57" t="s">
        <v>15169</v>
      </c>
      <c r="H8406" s="76" t="s">
        <v>15113</v>
      </c>
    </row>
    <row r="8407" spans="2:8" ht="13.5" customHeight="1">
      <c r="B8407" s="209"/>
      <c r="D8407" s="208" t="s">
        <v>15008</v>
      </c>
      <c r="F8407" s="57">
        <v>17</v>
      </c>
      <c r="G8407" s="57" t="s">
        <v>15169</v>
      </c>
      <c r="H8407" s="76" t="s">
        <v>15113</v>
      </c>
    </row>
    <row r="8408" spans="2:8" ht="13.5" customHeight="1">
      <c r="B8408" s="209" t="s">
        <v>14383</v>
      </c>
      <c r="D8408" s="208" t="s">
        <v>15009</v>
      </c>
      <c r="F8408" s="57">
        <v>50</v>
      </c>
      <c r="G8408" s="57" t="s">
        <v>15169</v>
      </c>
      <c r="H8408" s="76" t="s">
        <v>15078</v>
      </c>
    </row>
    <row r="8409" spans="2:8" ht="13.5" customHeight="1">
      <c r="B8409" s="209"/>
      <c r="D8409" s="208" t="s">
        <v>15010</v>
      </c>
      <c r="F8409" s="57">
        <v>30</v>
      </c>
      <c r="G8409" s="57" t="s">
        <v>15169</v>
      </c>
      <c r="H8409" s="76" t="s">
        <v>15109</v>
      </c>
    </row>
    <row r="8410" spans="2:8" ht="13.5" customHeight="1">
      <c r="B8410" s="209" t="s">
        <v>14384</v>
      </c>
      <c r="D8410" s="208" t="s">
        <v>15011</v>
      </c>
      <c r="F8410" s="57">
        <v>95</v>
      </c>
      <c r="G8410" s="57" t="s">
        <v>15169</v>
      </c>
      <c r="H8410" s="76" t="s">
        <v>15165</v>
      </c>
    </row>
    <row r="8411" spans="2:8" ht="13.5" customHeight="1">
      <c r="B8411" s="214" t="s">
        <v>14385</v>
      </c>
      <c r="D8411" s="28" t="s">
        <v>15012</v>
      </c>
      <c r="F8411" s="57">
        <v>16</v>
      </c>
      <c r="G8411" s="57" t="s">
        <v>15169</v>
      </c>
      <c r="H8411" s="76" t="s">
        <v>15103</v>
      </c>
    </row>
    <row r="8412" spans="2:8" ht="13.5" customHeight="1">
      <c r="B8412" s="209"/>
      <c r="D8412" s="208" t="s">
        <v>15013</v>
      </c>
      <c r="F8412" s="57">
        <v>98</v>
      </c>
      <c r="G8412" s="57" t="s">
        <v>15169</v>
      </c>
      <c r="H8412" s="76" t="s">
        <v>15117</v>
      </c>
    </row>
    <row r="8413" spans="2:8" ht="13.5" customHeight="1">
      <c r="B8413" s="208" t="s">
        <v>14386</v>
      </c>
      <c r="D8413" s="208" t="s">
        <v>14386</v>
      </c>
      <c r="F8413" s="57">
        <v>131</v>
      </c>
      <c r="G8413" s="57" t="s">
        <v>15169</v>
      </c>
      <c r="H8413" s="76" t="s">
        <v>15120</v>
      </c>
    </row>
    <row r="8414" spans="2:8" ht="13.5" customHeight="1">
      <c r="B8414" s="209" t="s">
        <v>14387</v>
      </c>
      <c r="D8414" s="209" t="s">
        <v>14387</v>
      </c>
      <c r="F8414" s="57">
        <v>38</v>
      </c>
      <c r="G8414" s="57" t="s">
        <v>15169</v>
      </c>
      <c r="H8414" s="76" t="s">
        <v>15132</v>
      </c>
    </row>
    <row r="8415" spans="2:8" ht="13.5" customHeight="1">
      <c r="B8415" s="209" t="s">
        <v>14388</v>
      </c>
      <c r="D8415" s="208" t="s">
        <v>15014</v>
      </c>
      <c r="F8415" s="57">
        <v>151</v>
      </c>
      <c r="G8415" s="57" t="s">
        <v>15169</v>
      </c>
      <c r="H8415" s="76" t="s">
        <v>15166</v>
      </c>
    </row>
    <row r="8416" spans="2:8" ht="13.5" customHeight="1">
      <c r="B8416" s="209" t="s">
        <v>14389</v>
      </c>
      <c r="D8416" s="208" t="s">
        <v>8696</v>
      </c>
      <c r="F8416" s="57">
        <v>60</v>
      </c>
      <c r="G8416" s="57" t="s">
        <v>15169</v>
      </c>
      <c r="H8416" s="76" t="s">
        <v>15056</v>
      </c>
    </row>
    <row r="8417" spans="2:8" ht="13.5" customHeight="1">
      <c r="B8417" s="209" t="s">
        <v>14390</v>
      </c>
      <c r="D8417" s="208" t="s">
        <v>5739</v>
      </c>
      <c r="F8417" s="57">
        <v>10</v>
      </c>
      <c r="G8417" s="57" t="s">
        <v>15169</v>
      </c>
      <c r="H8417" s="76" t="s">
        <v>15049</v>
      </c>
    </row>
    <row r="8418" spans="2:8" ht="13.5" customHeight="1">
      <c r="B8418" s="216" t="s">
        <v>14391</v>
      </c>
      <c r="D8418" s="230" t="s">
        <v>3055</v>
      </c>
      <c r="F8418" s="57">
        <v>18</v>
      </c>
      <c r="G8418" s="57" t="s">
        <v>15169</v>
      </c>
      <c r="H8418" s="76" t="s">
        <v>15049</v>
      </c>
    </row>
    <row r="8419" spans="2:8" ht="13.5" customHeight="1">
      <c r="B8419" s="209" t="s">
        <v>14392</v>
      </c>
      <c r="D8419" s="208" t="s">
        <v>12992</v>
      </c>
      <c r="F8419" s="57">
        <v>375</v>
      </c>
      <c r="G8419" s="57" t="s">
        <v>15169</v>
      </c>
      <c r="H8419" s="76" t="s">
        <v>15049</v>
      </c>
    </row>
    <row r="8420" spans="2:8" ht="13.5" customHeight="1">
      <c r="B8420" s="209" t="s">
        <v>14393</v>
      </c>
      <c r="D8420" s="208" t="s">
        <v>1451</v>
      </c>
      <c r="F8420" s="57">
        <v>48</v>
      </c>
      <c r="G8420" s="57" t="s">
        <v>15169</v>
      </c>
      <c r="H8420" s="76" t="s">
        <v>15056</v>
      </c>
    </row>
    <row r="8421" spans="2:8" ht="13.5" customHeight="1">
      <c r="B8421" s="209" t="s">
        <v>14394</v>
      </c>
      <c r="D8421" s="208" t="s">
        <v>15015</v>
      </c>
      <c r="F8421" s="57">
        <v>110</v>
      </c>
      <c r="G8421" s="57" t="s">
        <v>15169</v>
      </c>
      <c r="H8421" s="76" t="s">
        <v>15056</v>
      </c>
    </row>
    <row r="8422" spans="2:8" ht="13.5" customHeight="1">
      <c r="B8422" s="209" t="s">
        <v>14395</v>
      </c>
      <c r="D8422" s="208" t="s">
        <v>7977</v>
      </c>
      <c r="F8422" s="57">
        <v>230</v>
      </c>
      <c r="G8422" s="57" t="s">
        <v>15169</v>
      </c>
      <c r="H8422" s="76" t="s">
        <v>15049</v>
      </c>
    </row>
    <row r="8423" spans="2:8" ht="13.5" customHeight="1">
      <c r="B8423" s="209" t="s">
        <v>14396</v>
      </c>
      <c r="D8423" s="208" t="s">
        <v>3669</v>
      </c>
      <c r="F8423" s="57">
        <v>184</v>
      </c>
      <c r="G8423" s="57" t="s">
        <v>15169</v>
      </c>
      <c r="H8423" s="76" t="s">
        <v>15049</v>
      </c>
    </row>
    <row r="8424" spans="2:8" ht="13.5" customHeight="1">
      <c r="B8424" s="209" t="s">
        <v>14397</v>
      </c>
      <c r="D8424" s="211" t="s">
        <v>3179</v>
      </c>
      <c r="F8424" s="57">
        <v>190</v>
      </c>
      <c r="G8424" s="57" t="s">
        <v>15169</v>
      </c>
      <c r="H8424" s="76" t="s">
        <v>15056</v>
      </c>
    </row>
    <row r="8425" spans="2:8" ht="13.5" customHeight="1">
      <c r="B8425" s="209" t="s">
        <v>14398</v>
      </c>
      <c r="D8425" s="208" t="s">
        <v>3674</v>
      </c>
      <c r="F8425" s="57">
        <v>40</v>
      </c>
      <c r="G8425" s="57" t="s">
        <v>15169</v>
      </c>
      <c r="H8425" s="76" t="s">
        <v>15056</v>
      </c>
    </row>
    <row r="8426" spans="2:8" ht="13.5" customHeight="1">
      <c r="B8426" s="216" t="s">
        <v>14399</v>
      </c>
      <c r="D8426" s="230" t="s">
        <v>3797</v>
      </c>
      <c r="F8426" s="57">
        <v>54</v>
      </c>
      <c r="G8426" s="57" t="s">
        <v>15169</v>
      </c>
      <c r="H8426" s="76" t="s">
        <v>15049</v>
      </c>
    </row>
    <row r="8427" spans="2:8" ht="13.5" customHeight="1">
      <c r="B8427" s="210" t="s">
        <v>14400</v>
      </c>
      <c r="D8427" s="226" t="s">
        <v>15016</v>
      </c>
      <c r="F8427" s="57">
        <v>10</v>
      </c>
      <c r="G8427" s="57" t="s">
        <v>15169</v>
      </c>
      <c r="H8427" s="76" t="s">
        <v>15056</v>
      </c>
    </row>
    <row r="8428" spans="2:8" ht="13.5" customHeight="1">
      <c r="B8428" s="209" t="s">
        <v>14401</v>
      </c>
      <c r="D8428" s="208" t="s">
        <v>7120</v>
      </c>
      <c r="F8428" s="57">
        <v>10</v>
      </c>
      <c r="G8428" s="57" t="s">
        <v>15169</v>
      </c>
      <c r="H8428" s="76" t="s">
        <v>15056</v>
      </c>
    </row>
    <row r="8429" spans="2:8" ht="13.5" customHeight="1">
      <c r="B8429" s="209" t="s">
        <v>14402</v>
      </c>
      <c r="D8429" s="235" t="s">
        <v>15017</v>
      </c>
      <c r="F8429" s="57">
        <v>18</v>
      </c>
      <c r="G8429" s="57" t="s">
        <v>15169</v>
      </c>
      <c r="H8429" s="76" t="s">
        <v>15056</v>
      </c>
    </row>
    <row r="8430" spans="2:8" ht="13.5" customHeight="1">
      <c r="B8430" s="216" t="s">
        <v>14403</v>
      </c>
      <c r="D8430" s="230" t="s">
        <v>15018</v>
      </c>
      <c r="F8430" s="57">
        <v>5</v>
      </c>
      <c r="G8430" s="57" t="s">
        <v>15169</v>
      </c>
      <c r="H8430" s="76" t="s">
        <v>15115</v>
      </c>
    </row>
    <row r="8431" spans="2:8" ht="13.5" customHeight="1">
      <c r="B8431" s="217" t="s">
        <v>14404</v>
      </c>
      <c r="D8431" s="226" t="s">
        <v>15019</v>
      </c>
      <c r="F8431" s="57">
        <v>10</v>
      </c>
      <c r="G8431" s="57" t="s">
        <v>15169</v>
      </c>
      <c r="H8431" s="76" t="s">
        <v>15056</v>
      </c>
    </row>
    <row r="8432" spans="2:8" ht="13.5" customHeight="1">
      <c r="B8432" s="208" t="s">
        <v>14405</v>
      </c>
      <c r="D8432" s="236" t="s">
        <v>15020</v>
      </c>
      <c r="F8432" s="57">
        <v>25</v>
      </c>
      <c r="G8432" s="57" t="s">
        <v>15169</v>
      </c>
      <c r="H8432" s="76" t="s">
        <v>15056</v>
      </c>
    </row>
    <row r="8433" spans="2:8" ht="13.5" customHeight="1">
      <c r="B8433" s="208" t="s">
        <v>14406</v>
      </c>
      <c r="D8433" s="236" t="s">
        <v>15021</v>
      </c>
      <c r="F8433" s="57">
        <v>23</v>
      </c>
      <c r="G8433" s="57" t="s">
        <v>15169</v>
      </c>
      <c r="H8433" s="76" t="s">
        <v>15056</v>
      </c>
    </row>
    <row r="8434" spans="2:8" ht="13.5" customHeight="1">
      <c r="B8434" s="218" t="s">
        <v>14407</v>
      </c>
      <c r="D8434" s="237" t="s">
        <v>15022</v>
      </c>
      <c r="F8434" s="57">
        <v>98</v>
      </c>
      <c r="G8434" s="57" t="s">
        <v>15169</v>
      </c>
      <c r="H8434" s="76" t="s">
        <v>15049</v>
      </c>
    </row>
    <row r="8435" spans="2:8" ht="13.5" customHeight="1">
      <c r="B8435" s="216" t="s">
        <v>14408</v>
      </c>
      <c r="D8435" s="230" t="s">
        <v>15023</v>
      </c>
      <c r="F8435" s="57">
        <v>5</v>
      </c>
      <c r="G8435" s="57" t="s">
        <v>15169</v>
      </c>
      <c r="H8435" s="76" t="s">
        <v>15056</v>
      </c>
    </row>
    <row r="8436" spans="2:8" ht="13.5" customHeight="1">
      <c r="B8436" s="219" t="s">
        <v>14409</v>
      </c>
      <c r="D8436" s="238" t="s">
        <v>15024</v>
      </c>
      <c r="F8436" s="57">
        <v>183</v>
      </c>
      <c r="G8436" s="57" t="s">
        <v>15169</v>
      </c>
      <c r="H8436" s="76" t="s">
        <v>15131</v>
      </c>
    </row>
    <row r="8437" spans="2:8" ht="13.5" customHeight="1">
      <c r="B8437" s="209" t="s">
        <v>5744</v>
      </c>
      <c r="D8437" s="208" t="s">
        <v>15025</v>
      </c>
      <c r="F8437" s="57">
        <v>400</v>
      </c>
      <c r="G8437" s="57" t="s">
        <v>15169</v>
      </c>
      <c r="H8437" s="76" t="s">
        <v>15051</v>
      </c>
    </row>
    <row r="8438" spans="2:8" ht="13.5" customHeight="1">
      <c r="B8438" s="220" t="s">
        <v>14410</v>
      </c>
      <c r="D8438" s="220" t="s">
        <v>15026</v>
      </c>
      <c r="F8438" s="57">
        <v>1</v>
      </c>
      <c r="G8438" s="57" t="s">
        <v>15169</v>
      </c>
      <c r="H8438" s="76" t="s">
        <v>15131</v>
      </c>
    </row>
    <row r="8439" spans="2:8" ht="13.5" customHeight="1">
      <c r="B8439" s="220" t="s">
        <v>14411</v>
      </c>
      <c r="D8439" s="220" t="s">
        <v>15027</v>
      </c>
      <c r="F8439" s="57">
        <v>1</v>
      </c>
      <c r="G8439" s="57" t="s">
        <v>15169</v>
      </c>
      <c r="H8439" s="76" t="s">
        <v>15131</v>
      </c>
    </row>
    <row r="8440" spans="2:8" ht="13.5" customHeight="1">
      <c r="B8440" s="209" t="s">
        <v>14412</v>
      </c>
      <c r="D8440" s="208" t="s">
        <v>7843</v>
      </c>
      <c r="F8440" s="57">
        <v>5583</v>
      </c>
      <c r="G8440" s="57" t="s">
        <v>15169</v>
      </c>
      <c r="H8440" s="76" t="s">
        <v>15058</v>
      </c>
    </row>
    <row r="8441" spans="2:8" ht="13.5" customHeight="1">
      <c r="B8441" s="28" t="s">
        <v>14413</v>
      </c>
      <c r="D8441" s="28" t="s">
        <v>15028</v>
      </c>
      <c r="F8441" s="57">
        <v>4</v>
      </c>
      <c r="G8441" s="57" t="s">
        <v>15169</v>
      </c>
      <c r="H8441" s="76"/>
    </row>
    <row r="8442" spans="2:8" ht="13.5" customHeight="1">
      <c r="B8442" s="208" t="s">
        <v>14414</v>
      </c>
      <c r="D8442" s="208" t="s">
        <v>15029</v>
      </c>
      <c r="F8442" s="57">
        <v>117</v>
      </c>
      <c r="G8442" s="57" t="s">
        <v>15169</v>
      </c>
      <c r="H8442" s="76"/>
    </row>
    <row r="8443" spans="2:8" ht="13.5" customHeight="1">
      <c r="B8443" s="208" t="s">
        <v>14415</v>
      </c>
      <c r="D8443" s="208" t="s">
        <v>15030</v>
      </c>
      <c r="F8443" s="57">
        <v>677</v>
      </c>
      <c r="G8443" s="57" t="s">
        <v>15169</v>
      </c>
      <c r="H8443" s="76"/>
    </row>
    <row r="8444" spans="2:8" ht="13.5" customHeight="1">
      <c r="B8444" s="208" t="s">
        <v>14416</v>
      </c>
      <c r="D8444" s="208" t="s">
        <v>15031</v>
      </c>
      <c r="F8444" s="57">
        <v>100</v>
      </c>
      <c r="G8444" s="57" t="s">
        <v>15169</v>
      </c>
      <c r="H8444" s="76"/>
    </row>
    <row r="8445" spans="2:8" ht="13.5" customHeight="1">
      <c r="B8445" s="209" t="s">
        <v>14417</v>
      </c>
      <c r="D8445" s="208" t="s">
        <v>14417</v>
      </c>
      <c r="F8445" s="57">
        <v>2</v>
      </c>
      <c r="G8445" s="57" t="s">
        <v>15169</v>
      </c>
      <c r="H8445" s="76" t="s">
        <v>15167</v>
      </c>
    </row>
    <row r="8446" spans="2:8" ht="13.5" customHeight="1">
      <c r="B8446" s="209" t="s">
        <v>14418</v>
      </c>
      <c r="D8446" s="208" t="s">
        <v>15032</v>
      </c>
      <c r="F8446" s="57">
        <v>24</v>
      </c>
      <c r="G8446" s="57" t="s">
        <v>15169</v>
      </c>
      <c r="H8446" s="76" t="s">
        <v>15056</v>
      </c>
    </row>
    <row r="8447" spans="2:8" ht="13.5" customHeight="1">
      <c r="B8447" s="221" t="s">
        <v>13296</v>
      </c>
      <c r="D8447" s="221" t="s">
        <v>15033</v>
      </c>
      <c r="F8447" s="57">
        <v>10</v>
      </c>
      <c r="G8447" s="57" t="s">
        <v>15169</v>
      </c>
      <c r="H8447" s="76" t="s">
        <v>15049</v>
      </c>
    </row>
    <row r="8448" spans="2:8" ht="13.5" customHeight="1">
      <c r="B8448" s="209" t="s">
        <v>5738</v>
      </c>
      <c r="D8448" s="208" t="s">
        <v>15034</v>
      </c>
      <c r="F8448" s="57">
        <v>20</v>
      </c>
      <c r="G8448" s="57" t="s">
        <v>15169</v>
      </c>
      <c r="H8448" s="76" t="s">
        <v>15056</v>
      </c>
    </row>
    <row r="8449" spans="2:8" ht="13.5" customHeight="1">
      <c r="B8449" s="222" t="s">
        <v>14419</v>
      </c>
      <c r="D8449" s="239" t="s">
        <v>15035</v>
      </c>
      <c r="F8449" s="57">
        <v>4</v>
      </c>
      <c r="G8449" s="57" t="s">
        <v>15169</v>
      </c>
      <c r="H8449" s="76" t="s">
        <v>15168</v>
      </c>
    </row>
    <row r="8450" spans="2:8" ht="13.5" customHeight="1">
      <c r="B8450" s="222" t="s">
        <v>14420</v>
      </c>
      <c r="D8450" s="239" t="s">
        <v>15036</v>
      </c>
      <c r="F8450" s="57">
        <v>3</v>
      </c>
      <c r="G8450" s="57" t="s">
        <v>15169</v>
      </c>
      <c r="H8450" s="76" t="s">
        <v>15168</v>
      </c>
    </row>
    <row r="8451" spans="2:8" ht="13.5" customHeight="1">
      <c r="B8451" s="209"/>
      <c r="D8451" s="208" t="s">
        <v>15037</v>
      </c>
      <c r="F8451" s="57">
        <v>9</v>
      </c>
      <c r="G8451" s="57" t="s">
        <v>15169</v>
      </c>
      <c r="H8451" s="76" t="s">
        <v>15168</v>
      </c>
    </row>
    <row r="8452" spans="2:8" ht="13.5" customHeight="1">
      <c r="B8452" s="223" t="s">
        <v>14421</v>
      </c>
      <c r="D8452" s="223" t="s">
        <v>14421</v>
      </c>
      <c r="F8452" s="57">
        <v>15</v>
      </c>
      <c r="G8452" s="57" t="s">
        <v>15169</v>
      </c>
      <c r="H8452" s="76" t="s">
        <v>15116</v>
      </c>
    </row>
    <row r="8453" spans="2:8" ht="13.5" customHeight="1">
      <c r="B8453" s="221" t="s">
        <v>14422</v>
      </c>
      <c r="D8453" s="223" t="s">
        <v>15038</v>
      </c>
      <c r="F8453" s="57">
        <v>14</v>
      </c>
      <c r="G8453" s="57" t="s">
        <v>15169</v>
      </c>
      <c r="H8453" s="76" t="s">
        <v>15056</v>
      </c>
    </row>
    <row r="8454" spans="2:8" ht="13.5" customHeight="1">
      <c r="B8454" s="224" t="s">
        <v>14423</v>
      </c>
      <c r="D8454" s="231" t="s">
        <v>14423</v>
      </c>
      <c r="F8454" s="57">
        <v>46</v>
      </c>
      <c r="G8454" s="57" t="s">
        <v>15169</v>
      </c>
      <c r="H8454" s="76" t="s">
        <v>15056</v>
      </c>
    </row>
    <row r="8455" spans="2:8" ht="13.5" customHeight="1">
      <c r="B8455" s="221" t="s">
        <v>8538</v>
      </c>
      <c r="D8455" s="221" t="s">
        <v>8539</v>
      </c>
      <c r="F8455" s="57">
        <v>30</v>
      </c>
      <c r="G8455" s="57" t="s">
        <v>15169</v>
      </c>
      <c r="H8455" s="76" t="s">
        <v>15056</v>
      </c>
    </row>
  </sheetData>
  <autoFilter ref="A2:J5022" xr:uid="{00000000-0001-0000-0000-000000000000}"/>
  <sortState xmlns:xlrd2="http://schemas.microsoft.com/office/spreadsheetml/2017/richdata2" ref="A3:J5022">
    <sortCondition ref="G3:G5022"/>
  </sortState>
  <phoneticPr fontId="39" type="noConversion"/>
  <conditionalFormatting sqref="B391">
    <cfRule type="duplicateValues" dxfId="238" priority="141"/>
  </conditionalFormatting>
  <conditionalFormatting sqref="B461">
    <cfRule type="duplicateValues" dxfId="237" priority="142"/>
    <cfRule type="duplicateValues" dxfId="236" priority="143"/>
  </conditionalFormatting>
  <conditionalFormatting sqref="B523">
    <cfRule type="duplicateValues" dxfId="235" priority="295"/>
  </conditionalFormatting>
  <conditionalFormatting sqref="B2360">
    <cfRule type="duplicateValues" dxfId="234" priority="166"/>
  </conditionalFormatting>
  <conditionalFormatting sqref="B2645">
    <cfRule type="duplicateValues" dxfId="233" priority="154"/>
  </conditionalFormatting>
  <conditionalFormatting sqref="B4331">
    <cfRule type="duplicateValues" dxfId="232" priority="158" stopIfTrue="1"/>
    <cfRule type="duplicateValues" dxfId="231" priority="159" stopIfTrue="1"/>
  </conditionalFormatting>
  <conditionalFormatting sqref="B4352:B4354">
    <cfRule type="duplicateValues" dxfId="230" priority="217"/>
    <cfRule type="duplicateValues" dxfId="229" priority="218"/>
    <cfRule type="duplicateValues" dxfId="228" priority="219"/>
    <cfRule type="duplicateValues" dxfId="227" priority="220"/>
    <cfRule type="duplicateValues" dxfId="226" priority="221"/>
    <cfRule type="duplicateValues" dxfId="225" priority="222"/>
    <cfRule type="duplicateValues" dxfId="224" priority="223"/>
  </conditionalFormatting>
  <conditionalFormatting sqref="B4378 B4335:B4351 B4355:B4360">
    <cfRule type="duplicateValues" dxfId="223" priority="229"/>
  </conditionalFormatting>
  <conditionalFormatting sqref="B4494:B4498">
    <cfRule type="duplicateValues" dxfId="222" priority="148"/>
    <cfRule type="duplicateValues" dxfId="221" priority="149"/>
  </conditionalFormatting>
  <conditionalFormatting sqref="B4526">
    <cfRule type="duplicateValues" dxfId="220" priority="114" stopIfTrue="1"/>
    <cfRule type="duplicateValues" dxfId="219" priority="115" stopIfTrue="1"/>
  </conditionalFormatting>
  <conditionalFormatting sqref="B4604">
    <cfRule type="duplicateValues" dxfId="218" priority="109"/>
  </conditionalFormatting>
  <conditionalFormatting sqref="B4611">
    <cfRule type="duplicateValues" dxfId="217" priority="107"/>
    <cfRule type="duplicateValues" dxfId="216" priority="108"/>
  </conditionalFormatting>
  <conditionalFormatting sqref="B4628">
    <cfRule type="duplicateValues" dxfId="215" priority="105"/>
    <cfRule type="duplicateValues" dxfId="214" priority="106"/>
  </conditionalFormatting>
  <conditionalFormatting sqref="B4630">
    <cfRule type="duplicateValues" dxfId="213" priority="103"/>
    <cfRule type="duplicateValues" dxfId="212" priority="104"/>
  </conditionalFormatting>
  <conditionalFormatting sqref="B4638">
    <cfRule type="duplicateValues" dxfId="211" priority="100"/>
    <cfRule type="duplicateValues" dxfId="210" priority="101"/>
    <cfRule type="duplicateValues" dxfId="209" priority="102"/>
  </conditionalFormatting>
  <conditionalFormatting sqref="B4664">
    <cfRule type="duplicateValues" dxfId="208" priority="77"/>
  </conditionalFormatting>
  <conditionalFormatting sqref="B4778">
    <cfRule type="duplicateValues" dxfId="207" priority="72"/>
  </conditionalFormatting>
  <conditionalFormatting sqref="B4779">
    <cfRule type="duplicateValues" dxfId="206" priority="71"/>
  </conditionalFormatting>
  <conditionalFormatting sqref="B4819">
    <cfRule type="duplicateValues" dxfId="205" priority="66"/>
  </conditionalFormatting>
  <conditionalFormatting sqref="B4888">
    <cfRule type="duplicateValues" dxfId="204" priority="61" stopIfTrue="1"/>
    <cfRule type="duplicateValues" dxfId="203" priority="62" stopIfTrue="1"/>
  </conditionalFormatting>
  <conditionalFormatting sqref="B4889">
    <cfRule type="duplicateValues" dxfId="202" priority="57" stopIfTrue="1"/>
    <cfRule type="duplicateValues" dxfId="201" priority="58" stopIfTrue="1"/>
  </conditionalFormatting>
  <conditionalFormatting sqref="B4899">
    <cfRule type="duplicateValues" dxfId="200" priority="51" stopIfTrue="1"/>
  </conditionalFormatting>
  <conditionalFormatting sqref="B484:C484">
    <cfRule type="duplicateValues" dxfId="199" priority="300"/>
  </conditionalFormatting>
  <conditionalFormatting sqref="B499:C499">
    <cfRule type="duplicateValues" dxfId="198" priority="299"/>
  </conditionalFormatting>
  <conditionalFormatting sqref="B500:C500">
    <cfRule type="duplicateValues" dxfId="197" priority="298"/>
  </conditionalFormatting>
  <conditionalFormatting sqref="B610:C610">
    <cfRule type="duplicateValues" dxfId="196" priority="296"/>
    <cfRule type="duplicateValues" dxfId="195" priority="297"/>
  </conditionalFormatting>
  <conditionalFormatting sqref="C4934">
    <cfRule type="duplicateValues" dxfId="194" priority="46"/>
    <cfRule type="duplicateValues" dxfId="193" priority="47"/>
  </conditionalFormatting>
  <conditionalFormatting sqref="D4526">
    <cfRule type="duplicateValues" dxfId="192" priority="112" stopIfTrue="1"/>
    <cfRule type="duplicateValues" dxfId="191" priority="113" stopIfTrue="1"/>
  </conditionalFormatting>
  <conditionalFormatting sqref="D4541">
    <cfRule type="duplicateValues" dxfId="190" priority="110"/>
    <cfRule type="duplicateValues" dxfId="189" priority="111"/>
  </conditionalFormatting>
  <conditionalFormatting sqref="D4633:D4636 D4542:D4631 D4638:D4639">
    <cfRule type="duplicateValues" dxfId="188" priority="99"/>
  </conditionalFormatting>
  <conditionalFormatting sqref="D4632">
    <cfRule type="duplicateValues" dxfId="187" priority="78"/>
    <cfRule type="duplicateValues" dxfId="186" priority="79"/>
    <cfRule type="duplicateValues" dxfId="185" priority="80"/>
    <cfRule type="duplicateValues" dxfId="184" priority="81"/>
    <cfRule type="duplicateValues" dxfId="183" priority="82"/>
    <cfRule type="duplicateValues" dxfId="182" priority="83"/>
    <cfRule type="duplicateValues" dxfId="181" priority="84"/>
    <cfRule type="duplicateValues" dxfId="180" priority="85"/>
    <cfRule type="duplicateValues" dxfId="179" priority="86"/>
    <cfRule type="duplicateValues" dxfId="178" priority="87"/>
    <cfRule type="duplicateValues" dxfId="177" priority="88"/>
    <cfRule type="duplicateValues" dxfId="176" priority="89"/>
    <cfRule type="duplicateValues" dxfId="175" priority="90"/>
    <cfRule type="duplicateValues" dxfId="174" priority="91"/>
    <cfRule type="duplicateValues" dxfId="173" priority="92"/>
    <cfRule type="duplicateValues" dxfId="172" priority="93"/>
    <cfRule type="duplicateValues" dxfId="171" priority="94"/>
    <cfRule type="duplicateValues" dxfId="170" priority="95"/>
    <cfRule type="duplicateValues" dxfId="169" priority="96"/>
  </conditionalFormatting>
  <conditionalFormatting sqref="D4693:D4721">
    <cfRule type="duplicateValues" dxfId="168" priority="76"/>
  </conditionalFormatting>
  <conditionalFormatting sqref="D4776:D4779 D4765:D4774 D4727:D4763">
    <cfRule type="duplicateValues" dxfId="167" priority="75"/>
  </conditionalFormatting>
  <conditionalFormatting sqref="D4775">
    <cfRule type="duplicateValues" dxfId="166" priority="73" stopIfTrue="1"/>
    <cfRule type="duplicateValues" dxfId="165" priority="74" stopIfTrue="1"/>
  </conditionalFormatting>
  <conditionalFormatting sqref="D4819">
    <cfRule type="duplicateValues" dxfId="164" priority="67"/>
  </conditionalFormatting>
  <conditionalFormatting sqref="D4868">
    <cfRule type="expression" dxfId="163" priority="65">
      <formula>#REF!&lt;&gt;""</formula>
    </cfRule>
  </conditionalFormatting>
  <conditionalFormatting sqref="D4888">
    <cfRule type="duplicateValues" dxfId="162" priority="63" stopIfTrue="1"/>
    <cfRule type="duplicateValues" dxfId="161" priority="64" stopIfTrue="1"/>
  </conditionalFormatting>
  <conditionalFormatting sqref="D4889">
    <cfRule type="duplicateValues" dxfId="160" priority="59" stopIfTrue="1"/>
    <cfRule type="duplicateValues" dxfId="159" priority="60" stopIfTrue="1"/>
  </conditionalFormatting>
  <conditionalFormatting sqref="D4899">
    <cfRule type="duplicateValues" dxfId="158" priority="52" stopIfTrue="1"/>
    <cfRule type="duplicateValues" dxfId="157" priority="53" stopIfTrue="1"/>
  </conditionalFormatting>
  <conditionalFormatting sqref="D4941:D5008">
    <cfRule type="duplicateValues" dxfId="156" priority="50"/>
  </conditionalFormatting>
  <conditionalFormatting sqref="D4813:E4813">
    <cfRule type="duplicateValues" dxfId="155" priority="68"/>
    <cfRule type="duplicateValues" dxfId="154" priority="69"/>
    <cfRule type="duplicateValues" dxfId="153" priority="70"/>
  </conditionalFormatting>
  <conditionalFormatting sqref="E647">
    <cfRule type="duplicateValues" dxfId="152" priority="204"/>
  </conditionalFormatting>
  <conditionalFormatting sqref="E652">
    <cfRule type="duplicateValues" dxfId="151" priority="206"/>
  </conditionalFormatting>
  <conditionalFormatting sqref="E653">
    <cfRule type="duplicateValues" dxfId="150" priority="205"/>
  </conditionalFormatting>
  <conditionalFormatting sqref="E799">
    <cfRule type="duplicateValues" dxfId="149" priority="280"/>
  </conditionalFormatting>
  <conditionalFormatting sqref="E811">
    <cfRule type="duplicateValues" dxfId="148" priority="281"/>
  </conditionalFormatting>
  <conditionalFormatting sqref="E824">
    <cfRule type="duplicateValues" dxfId="147" priority="278"/>
  </conditionalFormatting>
  <conditionalFormatting sqref="E863">
    <cfRule type="duplicateValues" dxfId="146" priority="279"/>
  </conditionalFormatting>
  <conditionalFormatting sqref="E1199">
    <cfRule type="duplicateValues" dxfId="145" priority="288"/>
  </conditionalFormatting>
  <conditionalFormatting sqref="E1207">
    <cfRule type="duplicateValues" dxfId="144" priority="283"/>
  </conditionalFormatting>
  <conditionalFormatting sqref="E1210">
    <cfRule type="duplicateValues" dxfId="143" priority="284"/>
  </conditionalFormatting>
  <conditionalFormatting sqref="E1213">
    <cfRule type="duplicateValues" dxfId="142" priority="289"/>
  </conditionalFormatting>
  <conditionalFormatting sqref="E1215">
    <cfRule type="duplicateValues" dxfId="141" priority="290"/>
  </conditionalFormatting>
  <conditionalFormatting sqref="E1216">
    <cfRule type="duplicateValues" dxfId="140" priority="287"/>
  </conditionalFormatting>
  <conditionalFormatting sqref="E1220">
    <cfRule type="duplicateValues" dxfId="139" priority="285"/>
  </conditionalFormatting>
  <conditionalFormatting sqref="E1221">
    <cfRule type="duplicateValues" dxfId="138" priority="286"/>
  </conditionalFormatting>
  <conditionalFormatting sqref="E1298">
    <cfRule type="duplicateValues" dxfId="137" priority="198"/>
  </conditionalFormatting>
  <conditionalFormatting sqref="E1299">
    <cfRule type="duplicateValues" dxfId="136" priority="193"/>
  </conditionalFormatting>
  <conditionalFormatting sqref="E1305">
    <cfRule type="duplicateValues" dxfId="135" priority="192"/>
  </conditionalFormatting>
  <conditionalFormatting sqref="E1306">
    <cfRule type="duplicateValues" dxfId="134" priority="195"/>
  </conditionalFormatting>
  <conditionalFormatting sqref="E1307">
    <cfRule type="duplicateValues" dxfId="133" priority="196"/>
  </conditionalFormatting>
  <conditionalFormatting sqref="E1308">
    <cfRule type="duplicateValues" dxfId="132" priority="197"/>
  </conditionalFormatting>
  <conditionalFormatting sqref="E1309">
    <cfRule type="duplicateValues" dxfId="131" priority="191"/>
  </conditionalFormatting>
  <conditionalFormatting sqref="E1310">
    <cfRule type="duplicateValues" dxfId="130" priority="190"/>
  </conditionalFormatting>
  <conditionalFormatting sqref="E1311">
    <cfRule type="duplicateValues" dxfId="129" priority="194"/>
  </conditionalFormatting>
  <conditionalFormatting sqref="E1312">
    <cfRule type="duplicateValues" dxfId="128" priority="200"/>
  </conditionalFormatting>
  <conditionalFormatting sqref="E1584">
    <cfRule type="duplicateValues" dxfId="127" priority="185"/>
  </conditionalFormatting>
  <conditionalFormatting sqref="E1827">
    <cfRule type="duplicateValues" dxfId="126" priority="171"/>
    <cfRule type="duplicateValues" dxfId="125" priority="172"/>
  </conditionalFormatting>
  <conditionalFormatting sqref="E2253">
    <cfRule type="duplicateValues" dxfId="124" priority="163"/>
  </conditionalFormatting>
  <conditionalFormatting sqref="E2257">
    <cfRule type="duplicateValues" dxfId="123" priority="162"/>
  </conditionalFormatting>
  <conditionalFormatting sqref="E4445:E4456 E4458:E4469 E4471:E4483 E4485:E4498">
    <cfRule type="duplicateValues" dxfId="122" priority="150"/>
    <cfRule type="duplicateValues" dxfId="121" priority="151"/>
  </conditionalFormatting>
  <conditionalFormatting sqref="E4484">
    <cfRule type="duplicateValues" dxfId="120" priority="146"/>
  </conditionalFormatting>
  <conditionalFormatting sqref="I727">
    <cfRule type="duplicateValues" dxfId="119" priority="207"/>
  </conditionalFormatting>
  <conditionalFormatting sqref="I2047">
    <cfRule type="duplicateValues" dxfId="118" priority="164"/>
  </conditionalFormatting>
  <conditionalFormatting sqref="I2648">
    <cfRule type="duplicateValues" dxfId="117" priority="152"/>
  </conditionalFormatting>
  <conditionalFormatting sqref="I3850">
    <cfRule type="duplicateValues" dxfId="116" priority="139"/>
  </conditionalFormatting>
  <conditionalFormatting sqref="D4900:D4940">
    <cfRule type="duplicateValues" dxfId="115" priority="304"/>
  </conditionalFormatting>
  <conditionalFormatting sqref="D4900:D5008">
    <cfRule type="duplicateValues" dxfId="114" priority="305"/>
  </conditionalFormatting>
  <conditionalFormatting sqref="E4335:E4360">
    <cfRule type="duplicateValues" dxfId="113" priority="313"/>
  </conditionalFormatting>
  <conditionalFormatting sqref="E1610:E1646 E1648:E1745">
    <cfRule type="duplicateValues" dxfId="112" priority="359"/>
  </conditionalFormatting>
  <conditionalFormatting sqref="B7736">
    <cfRule type="duplicateValues" dxfId="111" priority="44" stopIfTrue="1"/>
    <cfRule type="duplicateValues" dxfId="110" priority="45" stopIfTrue="1"/>
  </conditionalFormatting>
  <conditionalFormatting sqref="D7715">
    <cfRule type="duplicateValues" dxfId="109" priority="42" stopIfTrue="1"/>
    <cfRule type="duplicateValues" dxfId="108" priority="43" stopIfTrue="1"/>
  </conditionalFormatting>
  <conditionalFormatting sqref="D7719">
    <cfRule type="duplicateValues" dxfId="107" priority="40" stopIfTrue="1"/>
    <cfRule type="duplicateValues" dxfId="106" priority="41" stopIfTrue="1"/>
  </conditionalFormatting>
  <conditionalFormatting sqref="D7734">
    <cfRule type="duplicateValues" dxfId="105" priority="38" stopIfTrue="1"/>
    <cfRule type="duplicateValues" dxfId="104" priority="39" stopIfTrue="1"/>
  </conditionalFormatting>
  <conditionalFormatting sqref="D7736">
    <cfRule type="duplicateValues" dxfId="103" priority="36" stopIfTrue="1"/>
    <cfRule type="duplicateValues" dxfId="102" priority="37" stopIfTrue="1"/>
  </conditionalFormatting>
  <conditionalFormatting sqref="B8000">
    <cfRule type="duplicateValues" dxfId="101" priority="33"/>
    <cfRule type="duplicateValues" dxfId="100" priority="34"/>
    <cfRule type="duplicateValues" dxfId="99" priority="35"/>
  </conditionalFormatting>
  <conditionalFormatting sqref="B8011">
    <cfRule type="duplicateValues" dxfId="98" priority="30"/>
    <cfRule type="duplicateValues" dxfId="97" priority="31"/>
    <cfRule type="duplicateValues" dxfId="96" priority="32"/>
  </conditionalFormatting>
  <conditionalFormatting sqref="B8124">
    <cfRule type="duplicateValues" dxfId="95" priority="27"/>
    <cfRule type="duplicateValues" dxfId="94" priority="28"/>
    <cfRule type="duplicateValues" dxfId="93" priority="29"/>
  </conditionalFormatting>
  <conditionalFormatting sqref="B8389">
    <cfRule type="duplicateValues" dxfId="92" priority="24"/>
    <cfRule type="duplicateValues" dxfId="91" priority="25"/>
    <cfRule type="duplicateValues" dxfId="90" priority="26"/>
  </conditionalFormatting>
  <conditionalFormatting sqref="B8413">
    <cfRule type="duplicateValues" dxfId="89" priority="21"/>
    <cfRule type="duplicateValues" dxfId="88" priority="22"/>
    <cfRule type="duplicateValues" dxfId="87" priority="23"/>
  </conditionalFormatting>
  <conditionalFormatting sqref="B8442">
    <cfRule type="duplicateValues" dxfId="86" priority="19" stopIfTrue="1"/>
    <cfRule type="duplicateValues" dxfId="85" priority="20" stopIfTrue="1"/>
  </conditionalFormatting>
  <conditionalFormatting sqref="B8443:B8444">
    <cfRule type="duplicateValues" dxfId="84" priority="17" stopIfTrue="1"/>
    <cfRule type="duplicateValues" dxfId="83" priority="18" stopIfTrue="1"/>
  </conditionalFormatting>
  <conditionalFormatting sqref="B8447">
    <cfRule type="duplicateValues" dxfId="82" priority="15" stopIfTrue="1"/>
    <cfRule type="duplicateValues" dxfId="81" priority="16" stopIfTrue="1"/>
  </conditionalFormatting>
  <conditionalFormatting sqref="B8453">
    <cfRule type="duplicateValues" dxfId="80" priority="13" stopIfTrue="1"/>
    <cfRule type="duplicateValues" dxfId="79" priority="14" stopIfTrue="1"/>
  </conditionalFormatting>
  <conditionalFormatting sqref="B8455">
    <cfRule type="duplicateValues" dxfId="78" priority="11" stopIfTrue="1"/>
    <cfRule type="duplicateValues" dxfId="77" priority="12" stopIfTrue="1"/>
  </conditionalFormatting>
  <conditionalFormatting sqref="D8442">
    <cfRule type="duplicateValues" dxfId="76" priority="9" stopIfTrue="1"/>
    <cfRule type="duplicateValues" dxfId="75" priority="10" stopIfTrue="1"/>
  </conditionalFormatting>
  <conditionalFormatting sqref="D8443:D8444">
    <cfRule type="duplicateValues" dxfId="74" priority="7" stopIfTrue="1"/>
    <cfRule type="duplicateValues" dxfId="73" priority="8" stopIfTrue="1"/>
  </conditionalFormatting>
  <conditionalFormatting sqref="D8447">
    <cfRule type="duplicateValues" dxfId="72" priority="5" stopIfTrue="1"/>
    <cfRule type="duplicateValues" dxfId="71" priority="6" stopIfTrue="1"/>
  </conditionalFormatting>
  <conditionalFormatting sqref="D8453">
    <cfRule type="duplicateValues" dxfId="70" priority="3" stopIfTrue="1"/>
    <cfRule type="duplicateValues" dxfId="69" priority="4" stopIfTrue="1"/>
  </conditionalFormatting>
  <conditionalFormatting sqref="D8455">
    <cfRule type="duplicateValues" dxfId="68" priority="1" stopIfTrue="1"/>
    <cfRule type="duplicateValues" dxfId="67" priority="2" stopIfTrue="1"/>
  </conditionalFormatting>
  <hyperlinks>
    <hyperlink ref="E498" r:id="rId1" display="https://www.lcsc.com/product-detail/Multilayer-Ceramic-Capacitors-MLCC-SMD-SMT_YAGEO-CC0603JRNPO9BN330_C107047.html" xr:uid="{090A8451-BB28-44D5-AB57-E22AA6F0DD5E}"/>
    <hyperlink ref="D6252" tooltip="Component" display="'Taiyo Yuden" xr:uid="{FC047151-A02F-474E-98CC-09590E7BD98C}"/>
    <hyperlink ref="D6577" tooltip="Component" display="'Murata Electronics" xr:uid="{3DAE5055-FE6D-41B3-A435-A9FCAEFCB7F1}"/>
    <hyperlink ref="D7420" tooltip="Component" display="'Samsung Electro-Mechanics" xr:uid="{E80A10E5-7D20-447C-AAA0-884350B5663A}"/>
    <hyperlink ref="D7425" tooltip="Component" display="'Yageo" xr:uid="{4B83CF6B-87DC-41B4-8BDB-D66979D8F4F3}"/>
    <hyperlink ref="D7417" tooltip="Component" display="'Alpha &amp; Omega Semiconductor Inc." xr:uid="{6B72DB65-EC77-4886-A309-CFCDEE82086D}"/>
    <hyperlink ref="D7434" tooltip="Component" display="'Taiyo Yuden" xr:uid="{B0003A3B-936E-4FD7-8514-718C152F1A02}"/>
  </hyperlinks>
  <pageMargins left="0.18" right="0.21" top="0.75" bottom="0.75" header="0.3" footer="0.3"/>
  <pageSetup paperSize="9" orientation="landscape" horizontalDpi="300" verticalDpi="300"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0"/>
  <sheetViews>
    <sheetView workbookViewId="0">
      <selection activeCell="E9" sqref="E9"/>
    </sheetView>
  </sheetViews>
  <sheetFormatPr defaultRowHeight="15"/>
  <cols>
    <col min="1" max="1" width="5.28515625" customWidth="1"/>
    <col min="2" max="2" width="33" hidden="1" customWidth="1"/>
    <col min="3" max="3" width="19.42578125" customWidth="1"/>
    <col min="4" max="4" width="28.85546875" customWidth="1"/>
    <col min="5" max="5" width="20.42578125" customWidth="1"/>
    <col min="6" max="6" width="20.5703125" hidden="1" customWidth="1"/>
    <col min="7" max="7" width="8.42578125" customWidth="1"/>
    <col min="8" max="8" width="7.140625" customWidth="1"/>
    <col min="9" max="9" width="6.5703125" customWidth="1"/>
    <col min="10" max="10" width="10.140625" customWidth="1"/>
    <col min="11" max="11" width="12.7109375" style="26" customWidth="1"/>
    <col min="12" max="12" width="8" customWidth="1"/>
  </cols>
  <sheetData>
    <row r="1" spans="1:13" ht="25.5">
      <c r="A1" s="199" t="s">
        <v>334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</row>
    <row r="3" spans="1:13">
      <c r="G3" s="21">
        <v>5</v>
      </c>
      <c r="H3" s="21">
        <v>5</v>
      </c>
      <c r="I3" s="21">
        <v>5</v>
      </c>
    </row>
    <row r="4" spans="1:13" ht="29.25" customHeight="1">
      <c r="A4" s="9"/>
      <c r="B4" s="6" t="s">
        <v>0</v>
      </c>
      <c r="C4" s="4" t="s">
        <v>1</v>
      </c>
      <c r="D4" s="16" t="s">
        <v>218</v>
      </c>
      <c r="E4" s="4" t="s">
        <v>216</v>
      </c>
      <c r="F4" s="3" t="s">
        <v>2</v>
      </c>
      <c r="G4" s="5" t="s">
        <v>336</v>
      </c>
      <c r="H4" s="5" t="s">
        <v>145</v>
      </c>
      <c r="I4" s="17" t="s">
        <v>146</v>
      </c>
      <c r="J4" s="22" t="s">
        <v>223</v>
      </c>
      <c r="K4" s="23" t="s">
        <v>335</v>
      </c>
      <c r="L4" s="25" t="s">
        <v>224</v>
      </c>
    </row>
    <row r="5" spans="1:13">
      <c r="A5" s="15">
        <v>1</v>
      </c>
      <c r="B5" s="7" t="s">
        <v>3</v>
      </c>
      <c r="C5" s="2" t="s">
        <v>4</v>
      </c>
      <c r="D5" s="44" t="s">
        <v>219</v>
      </c>
      <c r="E5" s="45" t="s">
        <v>217</v>
      </c>
      <c r="F5" s="1" t="s">
        <v>5</v>
      </c>
      <c r="G5" s="10">
        <v>1</v>
      </c>
      <c r="H5" s="10"/>
      <c r="I5" s="18"/>
      <c r="J5" s="15">
        <f>(G5*$G$3)+(H5*$H$3)+(I5*$I$3)</f>
        <v>5</v>
      </c>
      <c r="K5" s="15">
        <v>20</v>
      </c>
      <c r="L5" s="24" t="str">
        <f>IF(K5-J5&gt;0,"",ABS(K5-J5))</f>
        <v/>
      </c>
    </row>
    <row r="6" spans="1:13">
      <c r="A6" s="15">
        <v>2</v>
      </c>
      <c r="B6" s="7" t="s">
        <v>6</v>
      </c>
      <c r="C6" s="2" t="s">
        <v>7</v>
      </c>
      <c r="D6" s="44" t="s">
        <v>226</v>
      </c>
      <c r="E6" s="45" t="s">
        <v>225</v>
      </c>
      <c r="F6" s="1" t="s">
        <v>8</v>
      </c>
      <c r="G6" s="10">
        <v>1</v>
      </c>
      <c r="H6" s="10"/>
      <c r="I6" s="18"/>
      <c r="J6" s="15">
        <f t="shared" ref="J6:J69" si="0">(G6*$G$3)+(H6*$H$3)+(I6*$I$3)</f>
        <v>5</v>
      </c>
      <c r="K6" s="15">
        <v>15</v>
      </c>
      <c r="L6" s="24" t="str">
        <f t="shared" ref="L6:L69" si="1">IF(K6-J6&gt;0,"",ABS(K6-J6))</f>
        <v/>
      </c>
    </row>
    <row r="7" spans="1:13">
      <c r="A7" s="15">
        <v>3</v>
      </c>
      <c r="B7" s="7" t="s">
        <v>9</v>
      </c>
      <c r="C7" s="2" t="s">
        <v>10</v>
      </c>
      <c r="D7" s="44" t="s">
        <v>227</v>
      </c>
      <c r="E7" s="45" t="s">
        <v>228</v>
      </c>
      <c r="F7" s="1" t="s">
        <v>8</v>
      </c>
      <c r="G7" s="10">
        <v>1</v>
      </c>
      <c r="H7" s="10"/>
      <c r="I7" s="18"/>
      <c r="J7" s="15">
        <f t="shared" si="0"/>
        <v>5</v>
      </c>
      <c r="K7" s="15">
        <v>15</v>
      </c>
      <c r="L7" s="24" t="str">
        <f t="shared" si="1"/>
        <v/>
      </c>
    </row>
    <row r="8" spans="1:13">
      <c r="A8" s="15">
        <v>4</v>
      </c>
      <c r="B8" s="7" t="s">
        <v>11</v>
      </c>
      <c r="C8" s="2" t="s">
        <v>12</v>
      </c>
      <c r="D8" s="44" t="s">
        <v>229</v>
      </c>
      <c r="E8" s="45" t="s">
        <v>230</v>
      </c>
      <c r="F8" s="1" t="s">
        <v>5</v>
      </c>
      <c r="G8" s="10">
        <v>5</v>
      </c>
      <c r="H8" s="10"/>
      <c r="I8" s="18"/>
      <c r="J8" s="15">
        <f t="shared" si="0"/>
        <v>25</v>
      </c>
      <c r="K8" s="15">
        <v>35</v>
      </c>
      <c r="L8" s="24" t="str">
        <f t="shared" si="1"/>
        <v/>
      </c>
    </row>
    <row r="9" spans="1:13">
      <c r="A9" s="15">
        <v>5</v>
      </c>
      <c r="B9" s="8" t="s">
        <v>13</v>
      </c>
      <c r="C9" s="2" t="s">
        <v>14</v>
      </c>
      <c r="D9" s="44" t="s">
        <v>231</v>
      </c>
      <c r="E9" s="45" t="s">
        <v>232</v>
      </c>
      <c r="F9" s="1" t="s">
        <v>5</v>
      </c>
      <c r="G9" s="10">
        <v>12</v>
      </c>
      <c r="H9" s="10">
        <v>9</v>
      </c>
      <c r="I9" s="18">
        <v>5</v>
      </c>
      <c r="J9" s="15">
        <f t="shared" si="0"/>
        <v>130</v>
      </c>
      <c r="K9" s="15">
        <v>130</v>
      </c>
      <c r="L9" s="24">
        <f t="shared" si="1"/>
        <v>0</v>
      </c>
    </row>
    <row r="10" spans="1:13">
      <c r="A10" s="15">
        <v>6</v>
      </c>
      <c r="B10" s="7" t="s">
        <v>15</v>
      </c>
      <c r="C10" s="2" t="s">
        <v>16</v>
      </c>
      <c r="D10" s="44" t="s">
        <v>233</v>
      </c>
      <c r="E10" s="45" t="s">
        <v>234</v>
      </c>
      <c r="F10" s="1" t="s">
        <v>5</v>
      </c>
      <c r="G10" s="10">
        <v>2</v>
      </c>
      <c r="H10" s="10"/>
      <c r="I10" s="18"/>
      <c r="J10" s="15">
        <f t="shared" si="0"/>
        <v>10</v>
      </c>
      <c r="K10" s="15">
        <v>20</v>
      </c>
      <c r="L10" s="24" t="str">
        <f t="shared" si="1"/>
        <v/>
      </c>
    </row>
    <row r="11" spans="1:13">
      <c r="A11" s="15">
        <v>7</v>
      </c>
      <c r="B11" s="7" t="s">
        <v>17</v>
      </c>
      <c r="C11" s="2" t="s">
        <v>18</v>
      </c>
      <c r="D11" s="44" t="s">
        <v>235</v>
      </c>
      <c r="E11" s="45" t="s">
        <v>236</v>
      </c>
      <c r="F11" s="1" t="s">
        <v>5</v>
      </c>
      <c r="G11" s="10">
        <v>2</v>
      </c>
      <c r="H11" s="10"/>
      <c r="I11" s="18"/>
      <c r="J11" s="15">
        <f t="shared" si="0"/>
        <v>10</v>
      </c>
      <c r="K11" s="15">
        <v>20</v>
      </c>
      <c r="L11" s="24" t="str">
        <f t="shared" si="1"/>
        <v/>
      </c>
    </row>
    <row r="12" spans="1:13">
      <c r="A12" s="15">
        <v>8</v>
      </c>
      <c r="B12" s="7" t="s">
        <v>19</v>
      </c>
      <c r="C12" s="2" t="s">
        <v>20</v>
      </c>
      <c r="D12" s="44" t="s">
        <v>304</v>
      </c>
      <c r="E12" s="45" t="s">
        <v>305</v>
      </c>
      <c r="F12" s="1" t="s">
        <v>5</v>
      </c>
      <c r="G12" s="10">
        <v>1</v>
      </c>
      <c r="H12" s="10">
        <v>1</v>
      </c>
      <c r="I12" s="18"/>
      <c r="J12" s="15">
        <f t="shared" si="0"/>
        <v>10</v>
      </c>
      <c r="K12" s="15">
        <v>15</v>
      </c>
      <c r="L12" s="24" t="str">
        <f t="shared" si="1"/>
        <v/>
      </c>
    </row>
    <row r="13" spans="1:13">
      <c r="A13" s="15">
        <v>9</v>
      </c>
      <c r="B13" s="27" t="s">
        <v>21</v>
      </c>
      <c r="C13" s="2" t="s">
        <v>22</v>
      </c>
      <c r="D13" s="44" t="s">
        <v>237</v>
      </c>
      <c r="E13" s="45" t="s">
        <v>238</v>
      </c>
      <c r="F13" s="1" t="s">
        <v>5</v>
      </c>
      <c r="G13" s="10">
        <v>6</v>
      </c>
      <c r="H13" s="10">
        <v>6</v>
      </c>
      <c r="I13" s="18">
        <v>9</v>
      </c>
      <c r="J13" s="15">
        <f t="shared" si="0"/>
        <v>105</v>
      </c>
      <c r="K13" s="15">
        <v>135</v>
      </c>
      <c r="L13" s="24" t="str">
        <f t="shared" si="1"/>
        <v/>
      </c>
    </row>
    <row r="14" spans="1:13">
      <c r="A14" s="15">
        <v>10</v>
      </c>
      <c r="B14" s="7" t="s">
        <v>23</v>
      </c>
      <c r="C14" s="2" t="s">
        <v>24</v>
      </c>
      <c r="D14" s="44" t="s">
        <v>239</v>
      </c>
      <c r="E14" s="45" t="s">
        <v>240</v>
      </c>
      <c r="F14" s="1" t="s">
        <v>25</v>
      </c>
      <c r="G14" s="10">
        <v>4</v>
      </c>
      <c r="H14" s="10">
        <v>3</v>
      </c>
      <c r="I14" s="18"/>
      <c r="J14" s="15">
        <f t="shared" si="0"/>
        <v>35</v>
      </c>
      <c r="K14" s="15">
        <v>55</v>
      </c>
      <c r="L14" s="24" t="str">
        <f t="shared" si="1"/>
        <v/>
      </c>
    </row>
    <row r="15" spans="1:13">
      <c r="A15" s="15">
        <v>11</v>
      </c>
      <c r="B15" s="7" t="s">
        <v>26</v>
      </c>
      <c r="C15" s="2" t="s">
        <v>27</v>
      </c>
      <c r="D15" s="44" t="s">
        <v>241</v>
      </c>
      <c r="E15" s="45" t="s">
        <v>242</v>
      </c>
      <c r="F15" s="1" t="s">
        <v>25</v>
      </c>
      <c r="G15" s="10">
        <v>1</v>
      </c>
      <c r="H15" s="10">
        <v>1</v>
      </c>
      <c r="I15" s="18"/>
      <c r="J15" s="15">
        <f t="shared" si="0"/>
        <v>10</v>
      </c>
      <c r="K15" s="15">
        <v>30</v>
      </c>
      <c r="L15" s="24" t="str">
        <f t="shared" si="1"/>
        <v/>
      </c>
    </row>
    <row r="16" spans="1:13">
      <c r="A16" s="15">
        <v>12</v>
      </c>
      <c r="B16" s="7" t="s">
        <v>28</v>
      </c>
      <c r="C16" s="2" t="s">
        <v>29</v>
      </c>
      <c r="D16" s="44" t="s">
        <v>243</v>
      </c>
      <c r="E16" s="45" t="s">
        <v>244</v>
      </c>
      <c r="F16" s="1" t="s">
        <v>8</v>
      </c>
      <c r="G16" s="10">
        <v>4</v>
      </c>
      <c r="H16" s="10">
        <v>3</v>
      </c>
      <c r="I16" s="18"/>
      <c r="J16" s="15">
        <f t="shared" si="0"/>
        <v>35</v>
      </c>
      <c r="K16" s="15">
        <v>60</v>
      </c>
      <c r="L16" s="24" t="str">
        <f t="shared" si="1"/>
        <v/>
      </c>
    </row>
    <row r="17" spans="1:12">
      <c r="A17" s="15">
        <v>13</v>
      </c>
      <c r="B17" s="1" t="s">
        <v>147</v>
      </c>
      <c r="C17" s="1" t="s">
        <v>148</v>
      </c>
      <c r="D17" s="44" t="s">
        <v>298</v>
      </c>
      <c r="E17" s="45" t="s">
        <v>299</v>
      </c>
      <c r="F17" s="1" t="s">
        <v>5</v>
      </c>
      <c r="G17" s="10"/>
      <c r="H17" s="10">
        <v>3</v>
      </c>
      <c r="I17" s="18"/>
      <c r="J17" s="15">
        <f t="shared" si="0"/>
        <v>15</v>
      </c>
      <c r="K17" s="15">
        <v>25</v>
      </c>
      <c r="L17" s="24" t="str">
        <f t="shared" si="1"/>
        <v/>
      </c>
    </row>
    <row r="18" spans="1:12">
      <c r="A18" s="15">
        <v>14</v>
      </c>
      <c r="B18" s="1" t="s">
        <v>149</v>
      </c>
      <c r="C18" s="1" t="s">
        <v>150</v>
      </c>
      <c r="D18" s="44" t="s">
        <v>300</v>
      </c>
      <c r="E18" s="45" t="s">
        <v>301</v>
      </c>
      <c r="F18" s="1" t="s">
        <v>151</v>
      </c>
      <c r="G18" s="10"/>
      <c r="H18" s="10">
        <v>1</v>
      </c>
      <c r="I18" s="18"/>
      <c r="J18" s="15">
        <f t="shared" si="0"/>
        <v>5</v>
      </c>
      <c r="K18" s="15">
        <v>15</v>
      </c>
      <c r="L18" s="24" t="str">
        <f t="shared" si="1"/>
        <v/>
      </c>
    </row>
    <row r="19" spans="1:12">
      <c r="A19" s="15">
        <v>15</v>
      </c>
      <c r="B19" s="1" t="s">
        <v>152</v>
      </c>
      <c r="C19" s="1" t="s">
        <v>153</v>
      </c>
      <c r="D19" s="44" t="s">
        <v>302</v>
      </c>
      <c r="E19" s="45" t="s">
        <v>303</v>
      </c>
      <c r="F19" s="1" t="s">
        <v>5</v>
      </c>
      <c r="G19" s="10"/>
      <c r="H19" s="10">
        <v>1</v>
      </c>
      <c r="I19" s="18"/>
      <c r="J19" s="15">
        <f t="shared" si="0"/>
        <v>5</v>
      </c>
      <c r="K19" s="15">
        <v>15</v>
      </c>
      <c r="L19" s="24" t="str">
        <f t="shared" si="1"/>
        <v/>
      </c>
    </row>
    <row r="20" spans="1:12">
      <c r="A20" s="15">
        <v>16</v>
      </c>
      <c r="B20" s="1" t="s">
        <v>154</v>
      </c>
      <c r="C20" s="1" t="s">
        <v>155</v>
      </c>
      <c r="D20" s="44" t="s">
        <v>306</v>
      </c>
      <c r="E20" s="45" t="s">
        <v>307</v>
      </c>
      <c r="F20" s="1" t="s">
        <v>5</v>
      </c>
      <c r="G20" s="10"/>
      <c r="H20" s="10">
        <v>2</v>
      </c>
      <c r="I20" s="18"/>
      <c r="J20" s="15">
        <f t="shared" si="0"/>
        <v>10</v>
      </c>
      <c r="K20" s="15">
        <v>20</v>
      </c>
      <c r="L20" s="24" t="str">
        <f t="shared" si="1"/>
        <v/>
      </c>
    </row>
    <row r="21" spans="1:12">
      <c r="A21" s="15">
        <v>17</v>
      </c>
      <c r="B21" s="1" t="s">
        <v>156</v>
      </c>
      <c r="C21" s="1" t="s">
        <v>157</v>
      </c>
      <c r="D21" s="44" t="s">
        <v>308</v>
      </c>
      <c r="E21" s="45" t="s">
        <v>309</v>
      </c>
      <c r="F21" s="1" t="s">
        <v>8</v>
      </c>
      <c r="G21" s="10"/>
      <c r="H21" s="10">
        <v>4</v>
      </c>
      <c r="I21" s="18"/>
      <c r="J21" s="15">
        <f t="shared" si="0"/>
        <v>20</v>
      </c>
      <c r="K21" s="15">
        <v>30</v>
      </c>
      <c r="L21" s="24" t="str">
        <f t="shared" si="1"/>
        <v/>
      </c>
    </row>
    <row r="22" spans="1:12">
      <c r="A22" s="15">
        <v>18</v>
      </c>
      <c r="B22" s="7" t="s">
        <v>30</v>
      </c>
      <c r="C22" s="2" t="s">
        <v>31</v>
      </c>
      <c r="D22" s="44" t="s">
        <v>245</v>
      </c>
      <c r="E22" s="45" t="s">
        <v>31</v>
      </c>
      <c r="F22" s="1" t="s">
        <v>32</v>
      </c>
      <c r="G22" s="10">
        <v>1</v>
      </c>
      <c r="H22" s="10"/>
      <c r="I22" s="18"/>
      <c r="J22" s="15">
        <f t="shared" si="0"/>
        <v>5</v>
      </c>
      <c r="K22" s="15">
        <v>15</v>
      </c>
      <c r="L22" s="24" t="str">
        <f t="shared" si="1"/>
        <v/>
      </c>
    </row>
    <row r="23" spans="1:12">
      <c r="A23" s="15">
        <v>19</v>
      </c>
      <c r="B23" s="7" t="s">
        <v>33</v>
      </c>
      <c r="C23" s="2" t="s">
        <v>34</v>
      </c>
      <c r="D23" s="44" t="s">
        <v>246</v>
      </c>
      <c r="E23" s="45" t="s">
        <v>247</v>
      </c>
      <c r="F23" s="1" t="s">
        <v>35</v>
      </c>
      <c r="G23" s="10">
        <v>1</v>
      </c>
      <c r="H23" s="10">
        <v>1</v>
      </c>
      <c r="I23" s="18"/>
      <c r="J23" s="15">
        <f t="shared" si="0"/>
        <v>10</v>
      </c>
      <c r="K23" s="15">
        <v>30</v>
      </c>
      <c r="L23" s="24" t="str">
        <f t="shared" si="1"/>
        <v/>
      </c>
    </row>
    <row r="24" spans="1:12">
      <c r="A24" s="15">
        <v>20</v>
      </c>
      <c r="B24" s="7" t="s">
        <v>36</v>
      </c>
      <c r="C24" s="2">
        <v>805</v>
      </c>
      <c r="D24" s="44" t="s">
        <v>248</v>
      </c>
      <c r="E24" s="45" t="s">
        <v>249</v>
      </c>
      <c r="F24" s="1" t="s">
        <v>37</v>
      </c>
      <c r="G24" s="10">
        <v>1</v>
      </c>
      <c r="H24" s="10"/>
      <c r="I24" s="18"/>
      <c r="J24" s="15">
        <f t="shared" si="0"/>
        <v>5</v>
      </c>
      <c r="K24" s="15">
        <v>15</v>
      </c>
      <c r="L24" s="24" t="str">
        <f t="shared" si="1"/>
        <v/>
      </c>
    </row>
    <row r="25" spans="1:12">
      <c r="A25" s="15">
        <v>21</v>
      </c>
      <c r="B25" s="7" t="s">
        <v>38</v>
      </c>
      <c r="C25" s="2" t="s">
        <v>39</v>
      </c>
      <c r="D25" s="44" t="s">
        <v>250</v>
      </c>
      <c r="E25" s="45" t="s">
        <v>39</v>
      </c>
      <c r="F25" s="1" t="s">
        <v>40</v>
      </c>
      <c r="G25" s="10">
        <v>4</v>
      </c>
      <c r="H25" s="10">
        <v>1</v>
      </c>
      <c r="I25" s="18">
        <v>1</v>
      </c>
      <c r="J25" s="15">
        <f t="shared" si="0"/>
        <v>30</v>
      </c>
      <c r="K25" s="15">
        <v>60</v>
      </c>
      <c r="L25" s="24" t="str">
        <f t="shared" si="1"/>
        <v/>
      </c>
    </row>
    <row r="26" spans="1:12">
      <c r="A26" s="15">
        <v>22</v>
      </c>
      <c r="B26" s="7" t="s">
        <v>41</v>
      </c>
      <c r="C26" s="2" t="s">
        <v>42</v>
      </c>
      <c r="D26" s="44" t="s">
        <v>251</v>
      </c>
      <c r="E26" s="45" t="s">
        <v>42</v>
      </c>
      <c r="F26" s="1" t="s">
        <v>43</v>
      </c>
      <c r="G26" s="10">
        <v>2</v>
      </c>
      <c r="H26" s="10"/>
      <c r="I26" s="18"/>
      <c r="J26" s="15">
        <f t="shared" si="0"/>
        <v>10</v>
      </c>
      <c r="K26" s="15">
        <v>20</v>
      </c>
      <c r="L26" s="24" t="str">
        <f t="shared" si="1"/>
        <v/>
      </c>
    </row>
    <row r="27" spans="1:12">
      <c r="A27" s="15">
        <v>23</v>
      </c>
      <c r="B27" s="7" t="s">
        <v>44</v>
      </c>
      <c r="C27" s="2" t="s">
        <v>45</v>
      </c>
      <c r="D27" s="44" t="s">
        <v>252</v>
      </c>
      <c r="E27" s="45" t="s">
        <v>45</v>
      </c>
      <c r="F27" s="1" t="s">
        <v>46</v>
      </c>
      <c r="G27" s="10">
        <v>2</v>
      </c>
      <c r="H27" s="10"/>
      <c r="I27" s="18"/>
      <c r="J27" s="15">
        <f t="shared" si="0"/>
        <v>10</v>
      </c>
      <c r="K27" s="15">
        <v>20</v>
      </c>
      <c r="L27" s="24" t="str">
        <f t="shared" si="1"/>
        <v/>
      </c>
    </row>
    <row r="28" spans="1:12">
      <c r="A28" s="15">
        <v>24</v>
      </c>
      <c r="B28" s="7" t="s">
        <v>47</v>
      </c>
      <c r="C28" s="2" t="s">
        <v>48</v>
      </c>
      <c r="D28" s="44" t="s">
        <v>255</v>
      </c>
      <c r="E28" s="45" t="s">
        <v>256</v>
      </c>
      <c r="F28" s="1" t="s">
        <v>49</v>
      </c>
      <c r="G28" s="10">
        <v>1</v>
      </c>
      <c r="H28" s="10">
        <v>1</v>
      </c>
      <c r="I28" s="18"/>
      <c r="J28" s="15">
        <f t="shared" si="0"/>
        <v>10</v>
      </c>
      <c r="K28" s="15">
        <v>30</v>
      </c>
      <c r="L28" s="24" t="str">
        <f t="shared" si="1"/>
        <v/>
      </c>
    </row>
    <row r="29" spans="1:12">
      <c r="A29" s="15">
        <v>25</v>
      </c>
      <c r="B29" s="7" t="s">
        <v>50</v>
      </c>
      <c r="C29" s="2" t="s">
        <v>51</v>
      </c>
      <c r="D29" s="44" t="s">
        <v>253</v>
      </c>
      <c r="E29" s="45" t="s">
        <v>254</v>
      </c>
      <c r="F29" s="1" t="s">
        <v>52</v>
      </c>
      <c r="G29" s="10">
        <v>1</v>
      </c>
      <c r="H29" s="10">
        <v>1</v>
      </c>
      <c r="I29" s="18"/>
      <c r="J29" s="15">
        <f t="shared" si="0"/>
        <v>10</v>
      </c>
      <c r="K29" s="15">
        <v>30</v>
      </c>
      <c r="L29" s="24" t="str">
        <f t="shared" si="1"/>
        <v/>
      </c>
    </row>
    <row r="30" spans="1:12">
      <c r="A30" s="15">
        <v>26</v>
      </c>
      <c r="B30" s="7" t="s">
        <v>53</v>
      </c>
      <c r="C30" s="2" t="s">
        <v>54</v>
      </c>
      <c r="D30" s="44" t="s">
        <v>257</v>
      </c>
      <c r="E30" s="45" t="s">
        <v>54</v>
      </c>
      <c r="F30" s="1" t="s">
        <v>55</v>
      </c>
      <c r="G30" s="10">
        <v>1</v>
      </c>
      <c r="H30" s="10"/>
      <c r="I30" s="18"/>
      <c r="J30" s="15">
        <f t="shared" si="0"/>
        <v>5</v>
      </c>
      <c r="K30" s="15">
        <v>15</v>
      </c>
      <c r="L30" s="24" t="str">
        <f t="shared" si="1"/>
        <v/>
      </c>
    </row>
    <row r="31" spans="1:12">
      <c r="A31" s="15">
        <v>27</v>
      </c>
      <c r="B31" s="7" t="s">
        <v>56</v>
      </c>
      <c r="C31" s="2" t="s">
        <v>57</v>
      </c>
      <c r="D31" s="28" t="s">
        <v>329</v>
      </c>
      <c r="E31" s="28" t="s">
        <v>57</v>
      </c>
      <c r="F31" s="1" t="s">
        <v>58</v>
      </c>
      <c r="G31" s="10">
        <v>1</v>
      </c>
      <c r="H31" s="10"/>
      <c r="I31" s="18"/>
      <c r="J31" s="15">
        <f t="shared" si="0"/>
        <v>5</v>
      </c>
      <c r="K31" s="15">
        <v>7</v>
      </c>
      <c r="L31" s="24" t="str">
        <f t="shared" si="1"/>
        <v/>
      </c>
    </row>
    <row r="32" spans="1:12">
      <c r="A32" s="15">
        <v>28</v>
      </c>
      <c r="B32" s="7" t="s">
        <v>59</v>
      </c>
      <c r="C32" s="2" t="s">
        <v>60</v>
      </c>
      <c r="D32" s="46"/>
      <c r="E32" s="46"/>
      <c r="F32" s="1" t="s">
        <v>61</v>
      </c>
      <c r="G32" s="10">
        <v>1</v>
      </c>
      <c r="H32" s="10"/>
      <c r="I32" s="18"/>
      <c r="J32" s="15">
        <f t="shared" si="0"/>
        <v>5</v>
      </c>
      <c r="K32" s="15">
        <v>15</v>
      </c>
      <c r="L32" s="24" t="str">
        <f t="shared" si="1"/>
        <v/>
      </c>
    </row>
    <row r="33" spans="1:13">
      <c r="A33" s="15">
        <v>29</v>
      </c>
      <c r="B33" s="8" t="s">
        <v>62</v>
      </c>
      <c r="C33" s="29" t="s">
        <v>63</v>
      </c>
      <c r="D33" s="46"/>
      <c r="E33" s="46"/>
      <c r="F33" s="1" t="s">
        <v>63</v>
      </c>
      <c r="G33" s="10">
        <v>1</v>
      </c>
      <c r="H33" s="10"/>
      <c r="I33" s="18">
        <v>1</v>
      </c>
      <c r="J33" s="15">
        <f t="shared" si="0"/>
        <v>10</v>
      </c>
      <c r="K33" s="15"/>
      <c r="L33" s="24">
        <f t="shared" si="1"/>
        <v>10</v>
      </c>
      <c r="M33" t="s">
        <v>330</v>
      </c>
    </row>
    <row r="34" spans="1:13">
      <c r="A34" s="15">
        <v>30</v>
      </c>
      <c r="B34" s="8" t="s">
        <v>64</v>
      </c>
      <c r="C34" s="29" t="s">
        <v>65</v>
      </c>
      <c r="D34" s="46"/>
      <c r="E34" s="46"/>
      <c r="F34" s="1" t="s">
        <v>65</v>
      </c>
      <c r="G34" s="10">
        <v>1</v>
      </c>
      <c r="H34" s="10"/>
      <c r="I34" s="18"/>
      <c r="J34" s="15">
        <f t="shared" si="0"/>
        <v>5</v>
      </c>
      <c r="K34" s="15"/>
      <c r="L34" s="24">
        <f t="shared" si="1"/>
        <v>5</v>
      </c>
      <c r="M34" t="s">
        <v>330</v>
      </c>
    </row>
    <row r="35" spans="1:13">
      <c r="A35" s="15">
        <v>31</v>
      </c>
      <c r="B35" s="7" t="s">
        <v>66</v>
      </c>
      <c r="C35" s="2" t="s">
        <v>67</v>
      </c>
      <c r="D35" s="46"/>
      <c r="E35" s="46"/>
      <c r="F35" s="1" t="s">
        <v>68</v>
      </c>
      <c r="G35" s="10">
        <v>1</v>
      </c>
      <c r="H35" s="10">
        <v>1</v>
      </c>
      <c r="I35" s="18"/>
      <c r="J35" s="15">
        <f t="shared" si="0"/>
        <v>10</v>
      </c>
      <c r="K35" s="15">
        <v>15</v>
      </c>
      <c r="L35" s="24" t="str">
        <f t="shared" si="1"/>
        <v/>
      </c>
    </row>
    <row r="36" spans="1:13">
      <c r="A36" s="15">
        <v>32</v>
      </c>
      <c r="B36" s="7" t="s">
        <v>69</v>
      </c>
      <c r="C36" s="2" t="s">
        <v>70</v>
      </c>
      <c r="D36" s="46"/>
      <c r="E36" s="46"/>
      <c r="F36" s="1" t="s">
        <v>70</v>
      </c>
      <c r="G36" s="10">
        <v>1</v>
      </c>
      <c r="H36" s="10"/>
      <c r="I36" s="18"/>
      <c r="J36" s="15">
        <f t="shared" si="0"/>
        <v>5</v>
      </c>
      <c r="K36" s="15"/>
      <c r="L36" s="24">
        <f t="shared" si="1"/>
        <v>5</v>
      </c>
      <c r="M36" t="s">
        <v>331</v>
      </c>
    </row>
    <row r="37" spans="1:13">
      <c r="A37" s="15">
        <v>33</v>
      </c>
      <c r="B37" s="7" t="s">
        <v>71</v>
      </c>
      <c r="C37" s="2" t="s">
        <v>72</v>
      </c>
      <c r="D37" s="44" t="s">
        <v>258</v>
      </c>
      <c r="E37" s="45" t="s">
        <v>72</v>
      </c>
      <c r="F37" s="1" t="s">
        <v>73</v>
      </c>
      <c r="G37" s="10">
        <v>4</v>
      </c>
      <c r="H37" s="10">
        <v>3</v>
      </c>
      <c r="I37" s="18"/>
      <c r="J37" s="15">
        <f t="shared" si="0"/>
        <v>35</v>
      </c>
      <c r="K37" s="15">
        <v>55</v>
      </c>
      <c r="L37" s="24" t="str">
        <f t="shared" si="1"/>
        <v/>
      </c>
    </row>
    <row r="38" spans="1:13">
      <c r="A38" s="30">
        <v>34</v>
      </c>
      <c r="B38" s="8" t="s">
        <v>74</v>
      </c>
      <c r="C38" s="29" t="s">
        <v>75</v>
      </c>
      <c r="D38" s="47"/>
      <c r="E38" s="48"/>
      <c r="F38" s="31" t="s">
        <v>76</v>
      </c>
      <c r="G38" s="32">
        <v>1</v>
      </c>
      <c r="H38" s="32"/>
      <c r="I38" s="33"/>
      <c r="J38" s="30">
        <f t="shared" si="0"/>
        <v>5</v>
      </c>
      <c r="K38" s="30"/>
      <c r="L38" s="34">
        <f t="shared" si="1"/>
        <v>5</v>
      </c>
    </row>
    <row r="39" spans="1:13">
      <c r="A39" s="30">
        <v>35</v>
      </c>
      <c r="B39" s="8" t="s">
        <v>77</v>
      </c>
      <c r="C39" s="29" t="s">
        <v>78</v>
      </c>
      <c r="D39" s="49"/>
      <c r="E39" s="49"/>
      <c r="F39" s="31" t="s">
        <v>79</v>
      </c>
      <c r="G39" s="32">
        <v>1</v>
      </c>
      <c r="H39" s="32"/>
      <c r="I39" s="33"/>
      <c r="J39" s="30">
        <f t="shared" si="0"/>
        <v>5</v>
      </c>
      <c r="K39" s="30"/>
      <c r="L39" s="34">
        <f t="shared" si="1"/>
        <v>5</v>
      </c>
    </row>
    <row r="40" spans="1:13">
      <c r="A40" s="15">
        <v>36</v>
      </c>
      <c r="B40" s="7" t="s">
        <v>80</v>
      </c>
      <c r="C40" s="2" t="s">
        <v>81</v>
      </c>
      <c r="D40" s="46"/>
      <c r="E40" s="46"/>
      <c r="F40" s="1" t="s">
        <v>79</v>
      </c>
      <c r="G40" s="10">
        <v>1</v>
      </c>
      <c r="H40" s="10">
        <v>1</v>
      </c>
      <c r="I40" s="18"/>
      <c r="J40" s="15">
        <f t="shared" si="0"/>
        <v>10</v>
      </c>
      <c r="K40" s="15">
        <v>20</v>
      </c>
      <c r="L40" s="24" t="str">
        <f t="shared" si="1"/>
        <v/>
      </c>
    </row>
    <row r="41" spans="1:13">
      <c r="A41" s="30">
        <v>37</v>
      </c>
      <c r="B41" s="8" t="s">
        <v>82</v>
      </c>
      <c r="C41" s="29" t="s">
        <v>83</v>
      </c>
      <c r="D41" s="49"/>
      <c r="E41" s="49"/>
      <c r="F41" s="31" t="s">
        <v>79</v>
      </c>
      <c r="G41" s="32">
        <v>1</v>
      </c>
      <c r="H41" s="32"/>
      <c r="I41" s="33"/>
      <c r="J41" s="30">
        <f t="shared" si="0"/>
        <v>5</v>
      </c>
      <c r="K41" s="30"/>
      <c r="L41" s="34">
        <f t="shared" si="1"/>
        <v>5</v>
      </c>
    </row>
    <row r="42" spans="1:13">
      <c r="A42" s="15">
        <v>38</v>
      </c>
      <c r="B42" s="7" t="s">
        <v>84</v>
      </c>
      <c r="C42" s="2" t="s">
        <v>85</v>
      </c>
      <c r="D42" s="44" t="s">
        <v>311</v>
      </c>
      <c r="E42" s="45" t="s">
        <v>312</v>
      </c>
      <c r="F42" s="1" t="s">
        <v>86</v>
      </c>
      <c r="G42" s="10">
        <v>1</v>
      </c>
      <c r="H42" s="10">
        <v>2</v>
      </c>
      <c r="I42" s="18"/>
      <c r="J42" s="15">
        <f t="shared" si="0"/>
        <v>15</v>
      </c>
      <c r="K42" s="15">
        <v>20</v>
      </c>
      <c r="L42" s="24" t="str">
        <f t="shared" si="1"/>
        <v/>
      </c>
    </row>
    <row r="43" spans="1:13">
      <c r="A43" s="15">
        <v>39</v>
      </c>
      <c r="B43" s="7" t="s">
        <v>87</v>
      </c>
      <c r="C43" s="2" t="s">
        <v>88</v>
      </c>
      <c r="D43" s="44" t="s">
        <v>261</v>
      </c>
      <c r="E43" s="45" t="s">
        <v>88</v>
      </c>
      <c r="F43" s="1" t="s">
        <v>86</v>
      </c>
      <c r="G43" s="10">
        <v>1</v>
      </c>
      <c r="H43" s="10"/>
      <c r="I43" s="18"/>
      <c r="J43" s="15">
        <f t="shared" si="0"/>
        <v>5</v>
      </c>
      <c r="K43" s="15">
        <v>20</v>
      </c>
      <c r="L43" s="24" t="str">
        <f t="shared" si="1"/>
        <v/>
      </c>
    </row>
    <row r="44" spans="1:13">
      <c r="A44" s="15">
        <v>40</v>
      </c>
      <c r="B44" s="7" t="s">
        <v>89</v>
      </c>
      <c r="C44" s="2" t="s">
        <v>90</v>
      </c>
      <c r="D44" s="44" t="s">
        <v>262</v>
      </c>
      <c r="E44" s="45" t="s">
        <v>90</v>
      </c>
      <c r="F44" s="1" t="s">
        <v>86</v>
      </c>
      <c r="G44" s="10">
        <v>1</v>
      </c>
      <c r="H44" s="10"/>
      <c r="I44" s="18"/>
      <c r="J44" s="15">
        <f t="shared" si="0"/>
        <v>5</v>
      </c>
      <c r="K44" s="15">
        <v>20</v>
      </c>
      <c r="L44" s="24" t="str">
        <f t="shared" si="1"/>
        <v/>
      </c>
    </row>
    <row r="45" spans="1:13">
      <c r="A45" s="15">
        <v>41</v>
      </c>
      <c r="B45" s="7" t="s">
        <v>92</v>
      </c>
      <c r="C45" s="2" t="s">
        <v>93</v>
      </c>
      <c r="D45" s="44" t="s">
        <v>263</v>
      </c>
      <c r="E45" s="45" t="s">
        <v>264</v>
      </c>
      <c r="F45" s="1" t="s">
        <v>91</v>
      </c>
      <c r="G45" s="10">
        <v>1</v>
      </c>
      <c r="H45" s="10"/>
      <c r="I45" s="18"/>
      <c r="J45" s="15">
        <f t="shared" si="0"/>
        <v>5</v>
      </c>
      <c r="K45" s="15">
        <v>20</v>
      </c>
      <c r="L45" s="24" t="str">
        <f t="shared" si="1"/>
        <v/>
      </c>
    </row>
    <row r="46" spans="1:13">
      <c r="A46" s="15">
        <v>42</v>
      </c>
      <c r="B46" s="7" t="s">
        <v>94</v>
      </c>
      <c r="C46" s="2">
        <v>330</v>
      </c>
      <c r="D46" s="44" t="s">
        <v>265</v>
      </c>
      <c r="E46" s="45" t="s">
        <v>266</v>
      </c>
      <c r="F46" s="1" t="s">
        <v>91</v>
      </c>
      <c r="G46" s="10">
        <v>2</v>
      </c>
      <c r="H46" s="10"/>
      <c r="I46" s="18">
        <v>2</v>
      </c>
      <c r="J46" s="15">
        <f t="shared" si="0"/>
        <v>20</v>
      </c>
      <c r="K46" s="15">
        <v>35</v>
      </c>
      <c r="L46" s="24" t="str">
        <f t="shared" si="1"/>
        <v/>
      </c>
    </row>
    <row r="47" spans="1:13">
      <c r="A47" s="15">
        <v>43</v>
      </c>
      <c r="B47" s="7" t="s">
        <v>95</v>
      </c>
      <c r="C47" s="2" t="s">
        <v>96</v>
      </c>
      <c r="D47" s="44" t="s">
        <v>326</v>
      </c>
      <c r="E47" s="45" t="s">
        <v>327</v>
      </c>
      <c r="F47" s="1" t="s">
        <v>91</v>
      </c>
      <c r="G47" s="10">
        <v>8</v>
      </c>
      <c r="H47" s="10">
        <v>1</v>
      </c>
      <c r="I47" s="18"/>
      <c r="J47" s="15">
        <f t="shared" si="0"/>
        <v>45</v>
      </c>
      <c r="K47" s="15">
        <v>15</v>
      </c>
      <c r="L47" s="24">
        <f t="shared" si="1"/>
        <v>30</v>
      </c>
      <c r="M47" t="s">
        <v>330</v>
      </c>
    </row>
    <row r="48" spans="1:13">
      <c r="A48" s="15">
        <v>44</v>
      </c>
      <c r="B48" s="8" t="s">
        <v>97</v>
      </c>
      <c r="C48" s="2">
        <v>0</v>
      </c>
      <c r="D48" s="44" t="s">
        <v>269</v>
      </c>
      <c r="E48" s="45" t="s">
        <v>270</v>
      </c>
      <c r="F48" s="1" t="s">
        <v>91</v>
      </c>
      <c r="G48" s="10">
        <v>12</v>
      </c>
      <c r="H48" s="10">
        <v>3</v>
      </c>
      <c r="I48" s="18">
        <v>1</v>
      </c>
      <c r="J48" s="15">
        <f t="shared" si="0"/>
        <v>80</v>
      </c>
      <c r="K48" s="15">
        <v>100</v>
      </c>
      <c r="L48" s="24" t="str">
        <f t="shared" si="1"/>
        <v/>
      </c>
    </row>
    <row r="49" spans="1:13">
      <c r="A49" s="15">
        <v>45</v>
      </c>
      <c r="B49" s="7" t="s">
        <v>98</v>
      </c>
      <c r="C49" s="2" t="s">
        <v>99</v>
      </c>
      <c r="D49" s="44" t="s">
        <v>271</v>
      </c>
      <c r="E49" s="45" t="s">
        <v>272</v>
      </c>
      <c r="F49" s="1" t="s">
        <v>91</v>
      </c>
      <c r="G49" s="10">
        <v>1</v>
      </c>
      <c r="H49" s="10"/>
      <c r="I49" s="18"/>
      <c r="J49" s="15">
        <f t="shared" si="0"/>
        <v>5</v>
      </c>
      <c r="K49" s="15">
        <v>30</v>
      </c>
      <c r="L49" s="24" t="str">
        <f t="shared" si="1"/>
        <v/>
      </c>
    </row>
    <row r="50" spans="1:13">
      <c r="A50" s="15">
        <v>46</v>
      </c>
      <c r="B50" s="7" t="s">
        <v>100</v>
      </c>
      <c r="C50" s="2" t="s">
        <v>101</v>
      </c>
      <c r="D50" s="44" t="s">
        <v>273</v>
      </c>
      <c r="E50" s="45" t="s">
        <v>274</v>
      </c>
      <c r="F50" s="1" t="s">
        <v>91</v>
      </c>
      <c r="G50" s="10">
        <v>1</v>
      </c>
      <c r="H50" s="10"/>
      <c r="I50" s="18"/>
      <c r="J50" s="15">
        <f t="shared" si="0"/>
        <v>5</v>
      </c>
      <c r="K50" s="15">
        <v>20</v>
      </c>
      <c r="L50" s="24" t="str">
        <f t="shared" si="1"/>
        <v/>
      </c>
    </row>
    <row r="51" spans="1:13">
      <c r="A51" s="15">
        <v>47</v>
      </c>
      <c r="B51" s="7" t="s">
        <v>102</v>
      </c>
      <c r="C51" s="2" t="s">
        <v>103</v>
      </c>
      <c r="D51" s="44" t="s">
        <v>267</v>
      </c>
      <c r="E51" s="45" t="s">
        <v>268</v>
      </c>
      <c r="F51" s="1" t="s">
        <v>91</v>
      </c>
      <c r="G51" s="10">
        <v>1</v>
      </c>
      <c r="H51" s="10">
        <v>1</v>
      </c>
      <c r="I51" s="18"/>
      <c r="J51" s="15">
        <f t="shared" si="0"/>
        <v>10</v>
      </c>
      <c r="K51" s="15">
        <v>75</v>
      </c>
      <c r="L51" s="24" t="str">
        <f t="shared" si="1"/>
        <v/>
      </c>
    </row>
    <row r="52" spans="1:13">
      <c r="A52" s="15">
        <v>48</v>
      </c>
      <c r="B52" s="7" t="s">
        <v>104</v>
      </c>
      <c r="C52" s="2">
        <v>33</v>
      </c>
      <c r="D52" s="44" t="s">
        <v>275</v>
      </c>
      <c r="E52" s="45" t="s">
        <v>276</v>
      </c>
      <c r="F52" s="1" t="s">
        <v>91</v>
      </c>
      <c r="G52" s="10">
        <v>3</v>
      </c>
      <c r="H52" s="10"/>
      <c r="I52" s="18"/>
      <c r="J52" s="15">
        <f t="shared" si="0"/>
        <v>15</v>
      </c>
      <c r="K52" s="15">
        <v>50</v>
      </c>
      <c r="L52" s="24" t="str">
        <f t="shared" si="1"/>
        <v/>
      </c>
    </row>
    <row r="53" spans="1:13">
      <c r="A53" s="15">
        <v>49</v>
      </c>
      <c r="B53" s="7" t="s">
        <v>105</v>
      </c>
      <c r="C53" s="2">
        <v>10</v>
      </c>
      <c r="D53" s="44" t="s">
        <v>277</v>
      </c>
      <c r="E53" s="45" t="s">
        <v>278</v>
      </c>
      <c r="F53" s="1" t="s">
        <v>91</v>
      </c>
      <c r="G53" s="10">
        <v>1</v>
      </c>
      <c r="H53" s="10"/>
      <c r="I53" s="18"/>
      <c r="J53" s="15">
        <f t="shared" si="0"/>
        <v>5</v>
      </c>
      <c r="K53" s="15">
        <v>15</v>
      </c>
      <c r="L53" s="24" t="str">
        <f t="shared" si="1"/>
        <v/>
      </c>
    </row>
    <row r="54" spans="1:13">
      <c r="A54" s="15">
        <v>50</v>
      </c>
      <c r="B54" s="7" t="s">
        <v>106</v>
      </c>
      <c r="C54" s="2">
        <v>47</v>
      </c>
      <c r="D54" s="44" t="s">
        <v>279</v>
      </c>
      <c r="E54" s="45" t="s">
        <v>280</v>
      </c>
      <c r="F54" s="1" t="s">
        <v>91</v>
      </c>
      <c r="G54" s="10">
        <v>1</v>
      </c>
      <c r="H54" s="10"/>
      <c r="I54" s="18"/>
      <c r="J54" s="15">
        <f t="shared" si="0"/>
        <v>5</v>
      </c>
      <c r="K54" s="15">
        <v>15</v>
      </c>
      <c r="L54" s="24" t="str">
        <f t="shared" si="1"/>
        <v/>
      </c>
    </row>
    <row r="55" spans="1:13">
      <c r="A55" s="15">
        <v>51</v>
      </c>
      <c r="B55" s="7" t="s">
        <v>107</v>
      </c>
      <c r="C55" s="2" t="s">
        <v>108</v>
      </c>
      <c r="D55" s="44" t="s">
        <v>281</v>
      </c>
      <c r="E55" s="45" t="s">
        <v>282</v>
      </c>
      <c r="F55" s="1" t="s">
        <v>91</v>
      </c>
      <c r="G55" s="10">
        <v>3</v>
      </c>
      <c r="H55" s="10">
        <v>3</v>
      </c>
      <c r="I55" s="18"/>
      <c r="J55" s="15">
        <f t="shared" si="0"/>
        <v>30</v>
      </c>
      <c r="K55" s="15">
        <v>65</v>
      </c>
      <c r="L55" s="24" t="str">
        <f t="shared" si="1"/>
        <v/>
      </c>
    </row>
    <row r="56" spans="1:13">
      <c r="A56" s="15">
        <v>52</v>
      </c>
      <c r="B56" s="7" t="s">
        <v>109</v>
      </c>
      <c r="C56" s="2" t="s">
        <v>110</v>
      </c>
      <c r="D56" s="44" t="s">
        <v>283</v>
      </c>
      <c r="E56" s="45" t="s">
        <v>284</v>
      </c>
      <c r="F56" s="1" t="s">
        <v>91</v>
      </c>
      <c r="G56" s="10">
        <v>2</v>
      </c>
      <c r="H56" s="10"/>
      <c r="I56" s="18"/>
      <c r="J56" s="15">
        <f t="shared" si="0"/>
        <v>10</v>
      </c>
      <c r="K56" s="15">
        <v>20</v>
      </c>
      <c r="L56" s="24" t="str">
        <f t="shared" si="1"/>
        <v/>
      </c>
    </row>
    <row r="57" spans="1:13">
      <c r="A57" s="15">
        <v>53</v>
      </c>
      <c r="B57" s="7" t="s">
        <v>111</v>
      </c>
      <c r="C57" s="2" t="s">
        <v>112</v>
      </c>
      <c r="D57" s="44" t="s">
        <v>273</v>
      </c>
      <c r="E57" s="45" t="s">
        <v>274</v>
      </c>
      <c r="F57" s="1" t="s">
        <v>91</v>
      </c>
      <c r="G57" s="10">
        <v>1</v>
      </c>
      <c r="H57" s="10"/>
      <c r="I57" s="18"/>
      <c r="J57" s="15">
        <f t="shared" si="0"/>
        <v>5</v>
      </c>
      <c r="K57" s="15"/>
      <c r="L57" s="24">
        <f t="shared" si="1"/>
        <v>5</v>
      </c>
      <c r="M57" t="s">
        <v>330</v>
      </c>
    </row>
    <row r="58" spans="1:13">
      <c r="A58" s="30">
        <v>54</v>
      </c>
      <c r="B58" s="8" t="s">
        <v>113</v>
      </c>
      <c r="C58" s="29" t="s">
        <v>114</v>
      </c>
      <c r="D58" s="50" t="s">
        <v>113</v>
      </c>
      <c r="E58" s="49"/>
      <c r="F58" s="31" t="s">
        <v>91</v>
      </c>
      <c r="G58" s="32">
        <v>1</v>
      </c>
      <c r="H58" s="32"/>
      <c r="I58" s="33"/>
      <c r="J58" s="30">
        <f t="shared" si="0"/>
        <v>5</v>
      </c>
      <c r="K58" s="30"/>
      <c r="L58" s="34">
        <f t="shared" si="1"/>
        <v>5</v>
      </c>
    </row>
    <row r="59" spans="1:13">
      <c r="A59" s="15">
        <v>55</v>
      </c>
      <c r="B59" s="7" t="s">
        <v>115</v>
      </c>
      <c r="C59" s="2">
        <v>100</v>
      </c>
      <c r="D59" s="44" t="s">
        <v>285</v>
      </c>
      <c r="E59" s="45" t="s">
        <v>286</v>
      </c>
      <c r="F59" s="1" t="s">
        <v>91</v>
      </c>
      <c r="G59" s="10">
        <v>1</v>
      </c>
      <c r="H59" s="10"/>
      <c r="I59" s="18"/>
      <c r="J59" s="15">
        <f t="shared" si="0"/>
        <v>5</v>
      </c>
      <c r="K59" s="15">
        <v>15</v>
      </c>
      <c r="L59" s="24" t="str">
        <f t="shared" si="1"/>
        <v/>
      </c>
    </row>
    <row r="60" spans="1:13">
      <c r="A60" s="15">
        <v>56</v>
      </c>
      <c r="B60" s="1" t="s">
        <v>175</v>
      </c>
      <c r="C60" s="1" t="s">
        <v>176</v>
      </c>
      <c r="D60" s="44" t="s">
        <v>275</v>
      </c>
      <c r="E60" s="45" t="s">
        <v>276</v>
      </c>
      <c r="F60" s="1" t="s">
        <v>91</v>
      </c>
      <c r="G60" s="10"/>
      <c r="H60" s="10">
        <v>3</v>
      </c>
      <c r="I60" s="18"/>
      <c r="J60" s="15">
        <f t="shared" si="0"/>
        <v>15</v>
      </c>
      <c r="K60" s="15"/>
      <c r="L60" s="24">
        <f t="shared" si="1"/>
        <v>15</v>
      </c>
      <c r="M60" t="s">
        <v>330</v>
      </c>
    </row>
    <row r="61" spans="1:13">
      <c r="A61" s="15">
        <v>57</v>
      </c>
      <c r="B61" s="1" t="s">
        <v>177</v>
      </c>
      <c r="C61" s="1" t="s">
        <v>178</v>
      </c>
      <c r="D61" s="44" t="s">
        <v>313</v>
      </c>
      <c r="E61" s="45" t="s">
        <v>314</v>
      </c>
      <c r="F61" s="1" t="s">
        <v>91</v>
      </c>
      <c r="G61" s="10"/>
      <c r="H61" s="10">
        <v>2</v>
      </c>
      <c r="I61" s="18">
        <v>4</v>
      </c>
      <c r="J61" s="15">
        <f t="shared" si="0"/>
        <v>30</v>
      </c>
      <c r="K61" s="15">
        <v>50</v>
      </c>
      <c r="L61" s="24" t="str">
        <f t="shared" si="1"/>
        <v/>
      </c>
    </row>
    <row r="62" spans="1:13">
      <c r="A62" s="15">
        <v>58</v>
      </c>
      <c r="B62" s="1" t="s">
        <v>179</v>
      </c>
      <c r="C62" s="1" t="s">
        <v>180</v>
      </c>
      <c r="D62" s="44" t="s">
        <v>315</v>
      </c>
      <c r="E62" s="45" t="s">
        <v>316</v>
      </c>
      <c r="F62" s="1" t="s">
        <v>91</v>
      </c>
      <c r="G62" s="10"/>
      <c r="H62" s="10">
        <v>1</v>
      </c>
      <c r="I62" s="18"/>
      <c r="J62" s="15">
        <f t="shared" si="0"/>
        <v>5</v>
      </c>
      <c r="K62" s="15">
        <v>20</v>
      </c>
      <c r="L62" s="24" t="str">
        <f t="shared" si="1"/>
        <v/>
      </c>
    </row>
    <row r="63" spans="1:13">
      <c r="A63" s="15">
        <v>59</v>
      </c>
      <c r="B63" s="1" t="s">
        <v>181</v>
      </c>
      <c r="C63" s="1" t="s">
        <v>182</v>
      </c>
      <c r="D63" s="44" t="s">
        <v>317</v>
      </c>
      <c r="E63" s="45" t="s">
        <v>318</v>
      </c>
      <c r="F63" s="1" t="s">
        <v>91</v>
      </c>
      <c r="G63" s="10"/>
      <c r="H63" s="10">
        <v>1</v>
      </c>
      <c r="I63" s="18"/>
      <c r="J63" s="15">
        <f t="shared" si="0"/>
        <v>5</v>
      </c>
      <c r="K63" s="15">
        <v>15</v>
      </c>
      <c r="L63" s="24" t="str">
        <f t="shared" si="1"/>
        <v/>
      </c>
    </row>
    <row r="64" spans="1:13">
      <c r="A64" s="30">
        <v>60</v>
      </c>
      <c r="B64" s="31" t="s">
        <v>183</v>
      </c>
      <c r="C64" s="31" t="s">
        <v>184</v>
      </c>
      <c r="D64" s="51"/>
      <c r="E64" s="51"/>
      <c r="F64" s="31" t="s">
        <v>91</v>
      </c>
      <c r="G64" s="32"/>
      <c r="H64" s="32">
        <v>1</v>
      </c>
      <c r="I64" s="33"/>
      <c r="J64" s="30">
        <f t="shared" si="0"/>
        <v>5</v>
      </c>
      <c r="K64" s="30"/>
      <c r="L64" s="34">
        <f t="shared" si="1"/>
        <v>5</v>
      </c>
    </row>
    <row r="65" spans="1:13">
      <c r="A65" s="15">
        <v>61</v>
      </c>
      <c r="B65" s="1" t="s">
        <v>185</v>
      </c>
      <c r="C65" s="1" t="s">
        <v>186</v>
      </c>
      <c r="D65" s="47" t="s">
        <v>332</v>
      </c>
      <c r="E65" s="48" t="s">
        <v>333</v>
      </c>
      <c r="F65" s="1" t="s">
        <v>187</v>
      </c>
      <c r="G65" s="10"/>
      <c r="H65" s="10">
        <v>1</v>
      </c>
      <c r="I65" s="18"/>
      <c r="J65" s="15">
        <f t="shared" si="0"/>
        <v>5</v>
      </c>
      <c r="K65" s="15">
        <v>15</v>
      </c>
      <c r="L65" s="24" t="str">
        <f t="shared" si="1"/>
        <v/>
      </c>
    </row>
    <row r="66" spans="1:13">
      <c r="A66" s="15">
        <v>62</v>
      </c>
      <c r="B66" s="1" t="s">
        <v>188</v>
      </c>
      <c r="C66" s="1" t="s">
        <v>189</v>
      </c>
      <c r="D66" s="44" t="s">
        <v>319</v>
      </c>
      <c r="E66" s="45" t="s">
        <v>320</v>
      </c>
      <c r="F66" s="1" t="s">
        <v>91</v>
      </c>
      <c r="G66" s="10"/>
      <c r="H66" s="10">
        <v>4</v>
      </c>
      <c r="I66" s="18"/>
      <c r="J66" s="15">
        <f t="shared" si="0"/>
        <v>20</v>
      </c>
      <c r="K66" s="15">
        <v>30</v>
      </c>
      <c r="L66" s="24" t="str">
        <f t="shared" si="1"/>
        <v/>
      </c>
    </row>
    <row r="67" spans="1:13">
      <c r="A67" s="15">
        <v>63</v>
      </c>
      <c r="B67" s="1" t="s">
        <v>190</v>
      </c>
      <c r="C67" s="1" t="s">
        <v>191</v>
      </c>
      <c r="D67" s="44" t="s">
        <v>321</v>
      </c>
      <c r="E67" s="45" t="s">
        <v>322</v>
      </c>
      <c r="F67" s="1" t="s">
        <v>91</v>
      </c>
      <c r="G67" s="10"/>
      <c r="H67" s="10">
        <v>2</v>
      </c>
      <c r="I67" s="18"/>
      <c r="J67" s="15">
        <f t="shared" si="0"/>
        <v>10</v>
      </c>
      <c r="K67" s="15">
        <v>20</v>
      </c>
      <c r="L67" s="24" t="str">
        <f t="shared" si="1"/>
        <v/>
      </c>
    </row>
    <row r="68" spans="1:13">
      <c r="A68" s="35">
        <v>64</v>
      </c>
      <c r="B68" s="36" t="s">
        <v>207</v>
      </c>
      <c r="C68" s="36" t="s">
        <v>108</v>
      </c>
      <c r="D68" s="52" t="s">
        <v>207</v>
      </c>
      <c r="E68" s="52"/>
      <c r="F68" s="36" t="s">
        <v>187</v>
      </c>
      <c r="G68" s="37"/>
      <c r="H68" s="37"/>
      <c r="I68" s="38">
        <v>1</v>
      </c>
      <c r="J68" s="35">
        <f t="shared" si="0"/>
        <v>5</v>
      </c>
      <c r="K68" s="35"/>
      <c r="L68" s="39">
        <f t="shared" si="1"/>
        <v>5</v>
      </c>
      <c r="M68" t="s">
        <v>330</v>
      </c>
    </row>
    <row r="69" spans="1:13">
      <c r="A69" s="35">
        <v>65</v>
      </c>
      <c r="B69" s="36" t="s">
        <v>208</v>
      </c>
      <c r="C69" s="36" t="s">
        <v>96</v>
      </c>
      <c r="D69" s="52" t="s">
        <v>208</v>
      </c>
      <c r="E69" s="52"/>
      <c r="F69" s="36" t="s">
        <v>187</v>
      </c>
      <c r="G69" s="37"/>
      <c r="H69" s="37"/>
      <c r="I69" s="38">
        <v>1</v>
      </c>
      <c r="J69" s="35">
        <f t="shared" si="0"/>
        <v>5</v>
      </c>
      <c r="K69" s="35"/>
      <c r="L69" s="39">
        <f t="shared" si="1"/>
        <v>5</v>
      </c>
      <c r="M69" t="s">
        <v>330</v>
      </c>
    </row>
    <row r="70" spans="1:13">
      <c r="A70" s="30">
        <v>66</v>
      </c>
      <c r="B70" s="31" t="s">
        <v>192</v>
      </c>
      <c r="C70" s="31" t="s">
        <v>193</v>
      </c>
      <c r="D70" s="51"/>
      <c r="E70" s="51"/>
      <c r="F70" s="31" t="s">
        <v>193</v>
      </c>
      <c r="G70" s="32"/>
      <c r="H70" s="32">
        <v>1</v>
      </c>
      <c r="I70" s="33"/>
      <c r="J70" s="30">
        <f t="shared" ref="J70:J98" si="2">(G70*$G$3)+(H70*$H$3)+(I70*$I$3)</f>
        <v>5</v>
      </c>
      <c r="K70" s="30"/>
      <c r="L70" s="34">
        <f t="shared" ref="L70:L98" si="3">IF(K70-J70&gt;0,"",ABS(K70-J70))</f>
        <v>5</v>
      </c>
    </row>
    <row r="71" spans="1:13">
      <c r="A71" s="30">
        <v>67</v>
      </c>
      <c r="B71" s="31" t="s">
        <v>194</v>
      </c>
      <c r="C71" s="31" t="s">
        <v>195</v>
      </c>
      <c r="D71" s="51"/>
      <c r="E71" s="51"/>
      <c r="F71" s="31" t="s">
        <v>196</v>
      </c>
      <c r="G71" s="32"/>
      <c r="H71" s="32">
        <v>1</v>
      </c>
      <c r="I71" s="33"/>
      <c r="J71" s="30">
        <f t="shared" si="2"/>
        <v>5</v>
      </c>
      <c r="K71" s="30"/>
      <c r="L71" s="34">
        <f t="shared" si="3"/>
        <v>5</v>
      </c>
    </row>
    <row r="72" spans="1:13">
      <c r="A72" s="15">
        <v>68</v>
      </c>
      <c r="B72" s="1" t="s">
        <v>197</v>
      </c>
      <c r="C72" s="1" t="s">
        <v>198</v>
      </c>
      <c r="D72" s="44" t="s">
        <v>323</v>
      </c>
      <c r="E72" s="45" t="s">
        <v>198</v>
      </c>
      <c r="F72" s="1" t="s">
        <v>86</v>
      </c>
      <c r="G72" s="10"/>
      <c r="H72" s="10">
        <v>2</v>
      </c>
      <c r="I72" s="18"/>
      <c r="J72" s="15">
        <f t="shared" si="2"/>
        <v>10</v>
      </c>
      <c r="K72" s="15">
        <v>20</v>
      </c>
      <c r="L72" s="24" t="str">
        <f t="shared" si="3"/>
        <v/>
      </c>
    </row>
    <row r="73" spans="1:13">
      <c r="A73" s="15">
        <v>69</v>
      </c>
      <c r="B73" s="1" t="s">
        <v>199</v>
      </c>
      <c r="C73" s="1" t="s">
        <v>200</v>
      </c>
      <c r="D73" s="44" t="s">
        <v>324</v>
      </c>
      <c r="E73" s="45" t="s">
        <v>200</v>
      </c>
      <c r="F73" s="1" t="s">
        <v>201</v>
      </c>
      <c r="G73" s="10"/>
      <c r="H73" s="10">
        <v>1</v>
      </c>
      <c r="I73" s="18"/>
      <c r="J73" s="15">
        <f t="shared" si="2"/>
        <v>5</v>
      </c>
      <c r="K73" s="15">
        <v>15</v>
      </c>
      <c r="L73" s="24" t="str">
        <f t="shared" si="3"/>
        <v/>
      </c>
    </row>
    <row r="74" spans="1:13">
      <c r="A74" s="15">
        <v>70</v>
      </c>
      <c r="B74" s="7" t="s">
        <v>116</v>
      </c>
      <c r="C74" s="2" t="s">
        <v>117</v>
      </c>
      <c r="D74" s="44" t="s">
        <v>287</v>
      </c>
      <c r="E74" s="45" t="s">
        <v>117</v>
      </c>
      <c r="F74" s="1" t="s">
        <v>118</v>
      </c>
      <c r="G74" s="10">
        <v>1</v>
      </c>
      <c r="H74" s="10"/>
      <c r="I74" s="18"/>
      <c r="J74" s="15">
        <f t="shared" si="2"/>
        <v>5</v>
      </c>
      <c r="K74" s="15">
        <v>7</v>
      </c>
      <c r="L74" s="24" t="str">
        <f t="shared" si="3"/>
        <v/>
      </c>
    </row>
    <row r="75" spans="1:13">
      <c r="A75" s="15">
        <v>71</v>
      </c>
      <c r="B75" s="7" t="s">
        <v>119</v>
      </c>
      <c r="C75" s="2" t="s">
        <v>120</v>
      </c>
      <c r="D75" s="44" t="s">
        <v>288</v>
      </c>
      <c r="E75" s="45" t="s">
        <v>120</v>
      </c>
      <c r="F75" s="1" t="s">
        <v>121</v>
      </c>
      <c r="G75" s="10">
        <v>1</v>
      </c>
      <c r="H75" s="10">
        <v>1</v>
      </c>
      <c r="I75" s="18"/>
      <c r="J75" s="15">
        <f t="shared" si="2"/>
        <v>10</v>
      </c>
      <c r="K75" s="15">
        <v>30</v>
      </c>
      <c r="L75" s="24" t="str">
        <f t="shared" si="3"/>
        <v/>
      </c>
    </row>
    <row r="76" spans="1:13">
      <c r="A76" s="15">
        <v>72</v>
      </c>
      <c r="B76" s="7" t="s">
        <v>122</v>
      </c>
      <c r="C76" s="2" t="s">
        <v>123</v>
      </c>
      <c r="D76" s="44" t="s">
        <v>289</v>
      </c>
      <c r="E76" s="45" t="s">
        <v>123</v>
      </c>
      <c r="F76" s="1" t="s">
        <v>124</v>
      </c>
      <c r="G76" s="10">
        <v>1</v>
      </c>
      <c r="H76" s="10"/>
      <c r="I76" s="18"/>
      <c r="J76" s="15">
        <f t="shared" si="2"/>
        <v>5</v>
      </c>
      <c r="K76" s="15">
        <v>10</v>
      </c>
      <c r="L76" s="24" t="str">
        <f t="shared" si="3"/>
        <v/>
      </c>
    </row>
    <row r="77" spans="1:13">
      <c r="A77" s="15">
        <v>73</v>
      </c>
      <c r="B77" s="7" t="s">
        <v>125</v>
      </c>
      <c r="C77" s="2" t="s">
        <v>126</v>
      </c>
      <c r="D77" s="44" t="s">
        <v>290</v>
      </c>
      <c r="E77" s="45" t="s">
        <v>126</v>
      </c>
      <c r="F77" s="1" t="s">
        <v>40</v>
      </c>
      <c r="G77" s="10">
        <v>1</v>
      </c>
      <c r="H77" s="10">
        <v>1</v>
      </c>
      <c r="I77" s="18"/>
      <c r="J77" s="15">
        <f t="shared" si="2"/>
        <v>10</v>
      </c>
      <c r="K77" s="15">
        <v>25</v>
      </c>
      <c r="L77" s="24" t="str">
        <f t="shared" si="3"/>
        <v/>
      </c>
    </row>
    <row r="78" spans="1:13">
      <c r="A78" s="15">
        <v>74</v>
      </c>
      <c r="B78" s="7" t="s">
        <v>127</v>
      </c>
      <c r="C78" s="2" t="s">
        <v>128</v>
      </c>
      <c r="D78" s="44" t="s">
        <v>291</v>
      </c>
      <c r="E78" s="45" t="s">
        <v>292</v>
      </c>
      <c r="F78" s="1" t="s">
        <v>129</v>
      </c>
      <c r="G78" s="10">
        <v>1</v>
      </c>
      <c r="H78" s="10">
        <v>1</v>
      </c>
      <c r="I78" s="18"/>
      <c r="J78" s="15">
        <f t="shared" si="2"/>
        <v>10</v>
      </c>
      <c r="K78" s="15">
        <v>22</v>
      </c>
      <c r="L78" s="24" t="str">
        <f t="shared" si="3"/>
        <v/>
      </c>
    </row>
    <row r="79" spans="1:13">
      <c r="A79" s="30">
        <v>75</v>
      </c>
      <c r="B79" s="8" t="s">
        <v>130</v>
      </c>
      <c r="C79" s="29" t="s">
        <v>131</v>
      </c>
      <c r="D79" s="49"/>
      <c r="E79" s="49"/>
      <c r="F79" s="31" t="s">
        <v>132</v>
      </c>
      <c r="G79" s="32">
        <v>1</v>
      </c>
      <c r="H79" s="32"/>
      <c r="I79" s="33"/>
      <c r="J79" s="30">
        <f t="shared" si="2"/>
        <v>5</v>
      </c>
      <c r="K79" s="30"/>
      <c r="L79" s="34">
        <f t="shared" si="3"/>
        <v>5</v>
      </c>
    </row>
    <row r="80" spans="1:13">
      <c r="A80" s="15">
        <v>76</v>
      </c>
      <c r="B80" s="7" t="s">
        <v>133</v>
      </c>
      <c r="C80" s="2" t="s">
        <v>134</v>
      </c>
      <c r="D80" s="44" t="s">
        <v>293</v>
      </c>
      <c r="E80" s="45" t="s">
        <v>294</v>
      </c>
      <c r="F80" s="1" t="s">
        <v>135</v>
      </c>
      <c r="G80" s="10">
        <v>1</v>
      </c>
      <c r="H80" s="10"/>
      <c r="I80" s="18"/>
      <c r="J80" s="15">
        <f t="shared" si="2"/>
        <v>5</v>
      </c>
      <c r="K80" s="15">
        <v>15</v>
      </c>
      <c r="L80" s="24" t="str">
        <f t="shared" si="3"/>
        <v/>
      </c>
    </row>
    <row r="81" spans="1:12">
      <c r="A81" s="30">
        <v>77</v>
      </c>
      <c r="B81" s="8" t="s">
        <v>136</v>
      </c>
      <c r="C81" s="29" t="s">
        <v>137</v>
      </c>
      <c r="D81" s="49"/>
      <c r="E81" s="49"/>
      <c r="F81" s="31" t="s">
        <v>138</v>
      </c>
      <c r="G81" s="32">
        <v>1</v>
      </c>
      <c r="H81" s="32"/>
      <c r="I81" s="33"/>
      <c r="J81" s="30">
        <f t="shared" si="2"/>
        <v>5</v>
      </c>
      <c r="K81" s="30"/>
      <c r="L81" s="34">
        <f t="shared" si="3"/>
        <v>5</v>
      </c>
    </row>
    <row r="82" spans="1:12">
      <c r="A82" s="15">
        <v>78</v>
      </c>
      <c r="B82" s="7" t="s">
        <v>139</v>
      </c>
      <c r="C82" s="2" t="s">
        <v>140</v>
      </c>
      <c r="D82" s="44" t="s">
        <v>295</v>
      </c>
      <c r="E82" s="45" t="s">
        <v>140</v>
      </c>
      <c r="F82" s="1" t="s">
        <v>141</v>
      </c>
      <c r="G82" s="10">
        <v>1</v>
      </c>
      <c r="H82" s="10"/>
      <c r="I82" s="18"/>
      <c r="J82" s="15">
        <f t="shared" si="2"/>
        <v>5</v>
      </c>
      <c r="K82" s="15">
        <v>10</v>
      </c>
      <c r="L82" s="24" t="str">
        <f t="shared" si="3"/>
        <v/>
      </c>
    </row>
    <row r="83" spans="1:12">
      <c r="A83" s="15">
        <v>79</v>
      </c>
      <c r="B83" s="11" t="s">
        <v>142</v>
      </c>
      <c r="C83" s="12" t="s">
        <v>143</v>
      </c>
      <c r="D83" s="44" t="s">
        <v>296</v>
      </c>
      <c r="E83" s="45" t="s">
        <v>297</v>
      </c>
      <c r="F83" s="13" t="s">
        <v>144</v>
      </c>
      <c r="G83" s="14">
        <v>1</v>
      </c>
      <c r="H83" s="14"/>
      <c r="I83" s="19"/>
      <c r="J83" s="15">
        <f t="shared" si="2"/>
        <v>5</v>
      </c>
      <c r="K83" s="15">
        <v>10</v>
      </c>
      <c r="L83" s="24" t="str">
        <f t="shared" si="3"/>
        <v/>
      </c>
    </row>
    <row r="84" spans="1:12">
      <c r="A84" s="15">
        <v>80</v>
      </c>
      <c r="B84" s="9" t="s">
        <v>158</v>
      </c>
      <c r="C84" s="9" t="s">
        <v>159</v>
      </c>
      <c r="D84" s="53"/>
      <c r="E84" s="53"/>
      <c r="F84" s="9" t="s">
        <v>160</v>
      </c>
      <c r="G84" s="15"/>
      <c r="H84" s="15">
        <v>1</v>
      </c>
      <c r="I84" s="20"/>
      <c r="J84" s="15">
        <f t="shared" si="2"/>
        <v>5</v>
      </c>
      <c r="K84" s="15">
        <v>30</v>
      </c>
      <c r="L84" s="24" t="str">
        <f t="shared" si="3"/>
        <v/>
      </c>
    </row>
    <row r="85" spans="1:12">
      <c r="A85" s="15">
        <v>81</v>
      </c>
      <c r="B85" s="9" t="s">
        <v>161</v>
      </c>
      <c r="C85" s="9" t="s">
        <v>162</v>
      </c>
      <c r="D85" s="53"/>
      <c r="E85" s="53"/>
      <c r="F85" s="9" t="s">
        <v>160</v>
      </c>
      <c r="G85" s="15"/>
      <c r="H85" s="15">
        <v>1</v>
      </c>
      <c r="I85" s="20"/>
      <c r="J85" s="15">
        <f t="shared" si="2"/>
        <v>5</v>
      </c>
      <c r="K85" s="15">
        <v>30</v>
      </c>
      <c r="L85" s="24" t="str">
        <f t="shared" si="3"/>
        <v/>
      </c>
    </row>
    <row r="86" spans="1:12">
      <c r="A86" s="15">
        <v>82</v>
      </c>
      <c r="B86" s="9" t="s">
        <v>163</v>
      </c>
      <c r="C86" s="9" t="s">
        <v>164</v>
      </c>
      <c r="D86" s="44" t="s">
        <v>310</v>
      </c>
      <c r="E86" s="45" t="s">
        <v>164</v>
      </c>
      <c r="F86" s="9" t="s">
        <v>165</v>
      </c>
      <c r="G86" s="15"/>
      <c r="H86" s="15">
        <v>1</v>
      </c>
      <c r="I86" s="20">
        <v>4</v>
      </c>
      <c r="J86" s="15">
        <f t="shared" si="2"/>
        <v>25</v>
      </c>
      <c r="K86" s="15">
        <v>45</v>
      </c>
      <c r="L86" s="24" t="str">
        <f t="shared" si="3"/>
        <v/>
      </c>
    </row>
    <row r="87" spans="1:12">
      <c r="A87" s="15">
        <v>83</v>
      </c>
      <c r="B87" s="9" t="s">
        <v>166</v>
      </c>
      <c r="C87" s="9" t="s">
        <v>167</v>
      </c>
      <c r="D87" s="53" t="s">
        <v>166</v>
      </c>
      <c r="E87" s="53"/>
      <c r="F87" s="9" t="s">
        <v>167</v>
      </c>
      <c r="G87" s="15"/>
      <c r="H87" s="15">
        <v>1</v>
      </c>
      <c r="I87" s="20"/>
      <c r="J87" s="15">
        <f t="shared" si="2"/>
        <v>5</v>
      </c>
      <c r="K87" s="15">
        <v>5</v>
      </c>
      <c r="L87" s="24">
        <f t="shared" si="3"/>
        <v>0</v>
      </c>
    </row>
    <row r="88" spans="1:12">
      <c r="A88" s="15">
        <v>84</v>
      </c>
      <c r="B88" s="9" t="s">
        <v>168</v>
      </c>
      <c r="C88" s="9" t="s">
        <v>169</v>
      </c>
      <c r="D88" s="53" t="s">
        <v>168</v>
      </c>
      <c r="E88" s="53"/>
      <c r="F88" s="9" t="s">
        <v>170</v>
      </c>
      <c r="G88" s="15"/>
      <c r="H88" s="15">
        <v>1</v>
      </c>
      <c r="I88" s="20"/>
      <c r="J88" s="15">
        <f t="shared" si="2"/>
        <v>5</v>
      </c>
      <c r="K88" s="15">
        <v>7</v>
      </c>
      <c r="L88" s="24" t="str">
        <f t="shared" si="3"/>
        <v/>
      </c>
    </row>
    <row r="89" spans="1:12">
      <c r="A89" s="30">
        <v>85</v>
      </c>
      <c r="B89" s="40" t="s">
        <v>171</v>
      </c>
      <c r="C89" s="40" t="s">
        <v>172</v>
      </c>
      <c r="D89" s="54"/>
      <c r="E89" s="54"/>
      <c r="F89" s="40" t="s">
        <v>173</v>
      </c>
      <c r="G89" s="30"/>
      <c r="H89" s="30">
        <v>1</v>
      </c>
      <c r="I89" s="41"/>
      <c r="J89" s="30">
        <f t="shared" si="2"/>
        <v>5</v>
      </c>
      <c r="K89" s="30"/>
      <c r="L89" s="34">
        <f t="shared" si="3"/>
        <v>5</v>
      </c>
    </row>
    <row r="90" spans="1:12">
      <c r="A90" s="15">
        <v>86</v>
      </c>
      <c r="B90" s="9" t="s">
        <v>74</v>
      </c>
      <c r="C90" s="9" t="s">
        <v>174</v>
      </c>
      <c r="D90" s="44" t="s">
        <v>259</v>
      </c>
      <c r="E90" s="45" t="s">
        <v>260</v>
      </c>
      <c r="F90" s="9" t="s">
        <v>76</v>
      </c>
      <c r="G90" s="15"/>
      <c r="H90" s="15">
        <v>1</v>
      </c>
      <c r="I90" s="20"/>
      <c r="J90" s="15">
        <f t="shared" si="2"/>
        <v>5</v>
      </c>
      <c r="K90" s="15">
        <v>30</v>
      </c>
      <c r="L90" s="24" t="str">
        <f t="shared" si="3"/>
        <v/>
      </c>
    </row>
    <row r="91" spans="1:12">
      <c r="A91" s="30">
        <v>87</v>
      </c>
      <c r="B91" s="40" t="s">
        <v>202</v>
      </c>
      <c r="C91" s="40" t="s">
        <v>203</v>
      </c>
      <c r="D91" s="54" t="s">
        <v>202</v>
      </c>
      <c r="E91" s="54"/>
      <c r="F91" s="40" t="s">
        <v>160</v>
      </c>
      <c r="G91" s="30"/>
      <c r="H91" s="30"/>
      <c r="I91" s="41">
        <v>2</v>
      </c>
      <c r="J91" s="30">
        <f t="shared" si="2"/>
        <v>10</v>
      </c>
      <c r="K91" s="30"/>
      <c r="L91" s="34">
        <f t="shared" si="3"/>
        <v>10</v>
      </c>
    </row>
    <row r="92" spans="1:12">
      <c r="A92" s="15">
        <v>88</v>
      </c>
      <c r="B92" s="9" t="s">
        <v>204</v>
      </c>
      <c r="C92" s="9" t="s">
        <v>205</v>
      </c>
      <c r="D92" s="44" t="s">
        <v>325</v>
      </c>
      <c r="E92" s="45" t="s">
        <v>205</v>
      </c>
      <c r="F92" s="9" t="s">
        <v>206</v>
      </c>
      <c r="G92" s="15"/>
      <c r="H92" s="15"/>
      <c r="I92" s="20">
        <v>1</v>
      </c>
      <c r="J92" s="15">
        <f t="shared" si="2"/>
        <v>5</v>
      </c>
      <c r="K92" s="15">
        <v>6</v>
      </c>
      <c r="L92" s="24" t="str">
        <f t="shared" si="3"/>
        <v/>
      </c>
    </row>
    <row r="93" spans="1:12">
      <c r="A93" s="15">
        <v>89</v>
      </c>
      <c r="B93" s="9" t="s">
        <v>209</v>
      </c>
      <c r="C93" s="9" t="s">
        <v>210</v>
      </c>
      <c r="D93" s="53"/>
      <c r="E93" s="53"/>
      <c r="F93" s="9" t="s">
        <v>211</v>
      </c>
      <c r="G93" s="15"/>
      <c r="H93" s="15"/>
      <c r="I93" s="20">
        <v>4</v>
      </c>
      <c r="J93" s="15">
        <f t="shared" si="2"/>
        <v>20</v>
      </c>
      <c r="K93" s="15">
        <v>29</v>
      </c>
      <c r="L93" s="24" t="str">
        <f t="shared" si="3"/>
        <v/>
      </c>
    </row>
    <row r="94" spans="1:12">
      <c r="A94" s="15">
        <v>90</v>
      </c>
      <c r="B94" s="9" t="s">
        <v>212</v>
      </c>
      <c r="C94" s="9" t="s">
        <v>213</v>
      </c>
      <c r="D94" s="44" t="s">
        <v>328</v>
      </c>
      <c r="E94" s="45" t="s">
        <v>213</v>
      </c>
      <c r="F94" s="9" t="s">
        <v>86</v>
      </c>
      <c r="G94" s="15"/>
      <c r="H94" s="15"/>
      <c r="I94" s="20">
        <v>1</v>
      </c>
      <c r="J94" s="15">
        <f t="shared" si="2"/>
        <v>5</v>
      </c>
      <c r="K94" s="15">
        <v>20</v>
      </c>
      <c r="L94" s="24" t="str">
        <f t="shared" si="3"/>
        <v/>
      </c>
    </row>
    <row r="95" spans="1:12">
      <c r="A95" s="30">
        <v>91</v>
      </c>
      <c r="B95" s="40" t="s">
        <v>214</v>
      </c>
      <c r="C95" s="40" t="s">
        <v>215</v>
      </c>
      <c r="D95" s="54" t="s">
        <v>214</v>
      </c>
      <c r="E95" s="54"/>
      <c r="F95" s="40" t="s">
        <v>86</v>
      </c>
      <c r="G95" s="30"/>
      <c r="H95" s="30"/>
      <c r="I95" s="41">
        <v>1</v>
      </c>
      <c r="J95" s="30">
        <f t="shared" si="2"/>
        <v>5</v>
      </c>
      <c r="K95" s="30"/>
      <c r="L95" s="34">
        <f t="shared" si="3"/>
        <v>5</v>
      </c>
    </row>
    <row r="96" spans="1:12">
      <c r="A96" s="35">
        <v>92</v>
      </c>
      <c r="B96" s="42"/>
      <c r="C96" s="42"/>
      <c r="D96" s="55"/>
      <c r="E96" s="55" t="s">
        <v>220</v>
      </c>
      <c r="F96" s="42"/>
      <c r="G96" s="42">
        <v>1</v>
      </c>
      <c r="H96" s="42"/>
      <c r="I96" s="43"/>
      <c r="J96" s="35">
        <f t="shared" si="2"/>
        <v>5</v>
      </c>
      <c r="K96" s="35">
        <v>5</v>
      </c>
      <c r="L96" s="39">
        <f t="shared" si="3"/>
        <v>0</v>
      </c>
    </row>
    <row r="97" spans="1:12">
      <c r="A97" s="35">
        <v>93</v>
      </c>
      <c r="B97" s="42"/>
      <c r="C97" s="42"/>
      <c r="D97" s="55"/>
      <c r="E97" s="55" t="s">
        <v>221</v>
      </c>
      <c r="F97" s="42"/>
      <c r="G97" s="42"/>
      <c r="H97" s="42">
        <v>1</v>
      </c>
      <c r="I97" s="43"/>
      <c r="J97" s="35">
        <f t="shared" si="2"/>
        <v>5</v>
      </c>
      <c r="K97" s="35">
        <v>5</v>
      </c>
      <c r="L97" s="39">
        <f t="shared" si="3"/>
        <v>0</v>
      </c>
    </row>
    <row r="98" spans="1:12">
      <c r="A98" s="35">
        <v>94</v>
      </c>
      <c r="B98" s="42"/>
      <c r="C98" s="42"/>
      <c r="D98" s="55"/>
      <c r="E98" s="55" t="s">
        <v>222</v>
      </c>
      <c r="F98" s="42"/>
      <c r="G98" s="42"/>
      <c r="H98" s="42"/>
      <c r="I98" s="42">
        <v>1</v>
      </c>
      <c r="J98" s="35">
        <f t="shared" si="2"/>
        <v>5</v>
      </c>
      <c r="K98" s="35">
        <v>5</v>
      </c>
      <c r="L98" s="39">
        <f t="shared" si="3"/>
        <v>0</v>
      </c>
    </row>
    <row r="100" spans="1:12">
      <c r="C100" t="s">
        <v>337</v>
      </c>
      <c r="E100" s="56" t="s">
        <v>338</v>
      </c>
      <c r="K100" s="26" t="s">
        <v>339</v>
      </c>
    </row>
  </sheetData>
  <mergeCells count="1">
    <mergeCell ref="A1:M1"/>
  </mergeCells>
  <conditionalFormatting sqref="E5">
    <cfRule type="duplicateValues" dxfId="66" priority="67"/>
  </conditionalFormatting>
  <conditionalFormatting sqref="E6">
    <cfRule type="duplicateValues" dxfId="65" priority="66"/>
  </conditionalFormatting>
  <conditionalFormatting sqref="E7">
    <cfRule type="duplicateValues" dxfId="64" priority="65"/>
  </conditionalFormatting>
  <conditionalFormatting sqref="E8">
    <cfRule type="duplicateValues" dxfId="63" priority="64"/>
  </conditionalFormatting>
  <conditionalFormatting sqref="E9">
    <cfRule type="duplicateValues" dxfId="62" priority="63"/>
  </conditionalFormatting>
  <conditionalFormatting sqref="E10">
    <cfRule type="duplicateValues" dxfId="61" priority="62"/>
  </conditionalFormatting>
  <conditionalFormatting sqref="E11">
    <cfRule type="duplicateValues" dxfId="60" priority="61"/>
  </conditionalFormatting>
  <conditionalFormatting sqref="E12">
    <cfRule type="duplicateValues" dxfId="59" priority="20"/>
  </conditionalFormatting>
  <conditionalFormatting sqref="E13">
    <cfRule type="duplicateValues" dxfId="58" priority="60"/>
  </conditionalFormatting>
  <conditionalFormatting sqref="E14">
    <cfRule type="duplicateValues" dxfId="57" priority="59"/>
  </conditionalFormatting>
  <conditionalFormatting sqref="E15">
    <cfRule type="duplicateValues" dxfId="56" priority="58"/>
  </conditionalFormatting>
  <conditionalFormatting sqref="E16">
    <cfRule type="duplicateValues" dxfId="55" priority="57"/>
  </conditionalFormatting>
  <conditionalFormatting sqref="E17">
    <cfRule type="duplicateValues" dxfId="54" priority="23"/>
  </conditionalFormatting>
  <conditionalFormatting sqref="E18">
    <cfRule type="duplicateValues" dxfId="53" priority="22"/>
  </conditionalFormatting>
  <conditionalFormatting sqref="E19">
    <cfRule type="duplicateValues" dxfId="52" priority="21"/>
  </conditionalFormatting>
  <conditionalFormatting sqref="E20">
    <cfRule type="duplicateValues" dxfId="51" priority="19"/>
  </conditionalFormatting>
  <conditionalFormatting sqref="E21">
    <cfRule type="duplicateValues" dxfId="50" priority="18"/>
  </conditionalFormatting>
  <conditionalFormatting sqref="E22">
    <cfRule type="duplicateValues" dxfId="49" priority="56"/>
  </conditionalFormatting>
  <conditionalFormatting sqref="E23">
    <cfRule type="duplicateValues" dxfId="48" priority="55"/>
  </conditionalFormatting>
  <conditionalFormatting sqref="E24">
    <cfRule type="duplicateValues" dxfId="47" priority="54"/>
  </conditionalFormatting>
  <conditionalFormatting sqref="E25">
    <cfRule type="duplicateValues" dxfId="46" priority="53"/>
  </conditionalFormatting>
  <conditionalFormatting sqref="E26">
    <cfRule type="duplicateValues" dxfId="45" priority="52"/>
  </conditionalFormatting>
  <conditionalFormatting sqref="E27">
    <cfRule type="duplicateValues" dxfId="44" priority="51"/>
  </conditionalFormatting>
  <conditionalFormatting sqref="E28">
    <cfRule type="duplicateValues" dxfId="43" priority="49"/>
  </conditionalFormatting>
  <conditionalFormatting sqref="E29">
    <cfRule type="duplicateValues" dxfId="42" priority="50"/>
  </conditionalFormatting>
  <conditionalFormatting sqref="E30">
    <cfRule type="duplicateValues" dxfId="41" priority="48"/>
  </conditionalFormatting>
  <conditionalFormatting sqref="E31">
    <cfRule type="duplicateValues" dxfId="40" priority="5"/>
  </conditionalFormatting>
  <conditionalFormatting sqref="E37">
    <cfRule type="duplicateValues" dxfId="39" priority="47"/>
  </conditionalFormatting>
  <conditionalFormatting sqref="E38">
    <cfRule type="duplicateValues" dxfId="38" priority="46"/>
  </conditionalFormatting>
  <conditionalFormatting sqref="E42">
    <cfRule type="duplicateValues" dxfId="37" priority="16"/>
  </conditionalFormatting>
  <conditionalFormatting sqref="E43">
    <cfRule type="duplicateValues" dxfId="36" priority="45"/>
  </conditionalFormatting>
  <conditionalFormatting sqref="E44">
    <cfRule type="duplicateValues" dxfId="35" priority="44"/>
  </conditionalFormatting>
  <conditionalFormatting sqref="E45">
    <cfRule type="duplicateValues" dxfId="34" priority="43"/>
  </conditionalFormatting>
  <conditionalFormatting sqref="E46">
    <cfRule type="duplicateValues" dxfId="33" priority="42"/>
  </conditionalFormatting>
  <conditionalFormatting sqref="E47">
    <cfRule type="duplicateValues" dxfId="32" priority="41"/>
  </conditionalFormatting>
  <conditionalFormatting sqref="E48">
    <cfRule type="duplicateValues" dxfId="31" priority="40"/>
  </conditionalFormatting>
  <conditionalFormatting sqref="E49">
    <cfRule type="duplicateValues" dxfId="30" priority="39"/>
  </conditionalFormatting>
  <conditionalFormatting sqref="E50">
    <cfRule type="duplicateValues" dxfId="29" priority="38"/>
  </conditionalFormatting>
  <conditionalFormatting sqref="E51">
    <cfRule type="duplicateValues" dxfId="28" priority="7"/>
  </conditionalFormatting>
  <conditionalFormatting sqref="E52">
    <cfRule type="duplicateValues" dxfId="27" priority="37"/>
  </conditionalFormatting>
  <conditionalFormatting sqref="E53">
    <cfRule type="duplicateValues" dxfId="26" priority="36"/>
  </conditionalFormatting>
  <conditionalFormatting sqref="E54">
    <cfRule type="duplicateValues" dxfId="25" priority="35"/>
  </conditionalFormatting>
  <conditionalFormatting sqref="E55">
    <cfRule type="duplicateValues" dxfId="24" priority="34"/>
  </conditionalFormatting>
  <conditionalFormatting sqref="E56">
    <cfRule type="duplicateValues" dxfId="23" priority="33"/>
  </conditionalFormatting>
  <conditionalFormatting sqref="E57">
    <cfRule type="duplicateValues" dxfId="22" priority="3"/>
  </conditionalFormatting>
  <conditionalFormatting sqref="E59">
    <cfRule type="duplicateValues" dxfId="21" priority="32"/>
  </conditionalFormatting>
  <conditionalFormatting sqref="E60">
    <cfRule type="duplicateValues" dxfId="20" priority="2"/>
  </conditionalFormatting>
  <conditionalFormatting sqref="E61">
    <cfRule type="duplicateValues" dxfId="19" priority="15"/>
  </conditionalFormatting>
  <conditionalFormatting sqref="E62">
    <cfRule type="duplicateValues" dxfId="18" priority="14"/>
  </conditionalFormatting>
  <conditionalFormatting sqref="E63">
    <cfRule type="duplicateValues" dxfId="17" priority="13"/>
  </conditionalFormatting>
  <conditionalFormatting sqref="E65">
    <cfRule type="duplicateValues" dxfId="16" priority="1"/>
  </conditionalFormatting>
  <conditionalFormatting sqref="E66">
    <cfRule type="duplicateValues" dxfId="15" priority="12"/>
  </conditionalFormatting>
  <conditionalFormatting sqref="E67">
    <cfRule type="duplicateValues" dxfId="14" priority="11"/>
  </conditionalFormatting>
  <conditionalFormatting sqref="E72">
    <cfRule type="duplicateValues" dxfId="13" priority="10"/>
  </conditionalFormatting>
  <conditionalFormatting sqref="E73">
    <cfRule type="duplicateValues" dxfId="12" priority="9"/>
  </conditionalFormatting>
  <conditionalFormatting sqref="E74">
    <cfRule type="duplicateValues" dxfId="11" priority="31"/>
  </conditionalFormatting>
  <conditionalFormatting sqref="E75">
    <cfRule type="duplicateValues" dxfId="10" priority="30"/>
  </conditionalFormatting>
  <conditionalFormatting sqref="E76">
    <cfRule type="duplicateValues" dxfId="9" priority="29"/>
  </conditionalFormatting>
  <conditionalFormatting sqref="E77">
    <cfRule type="duplicateValues" dxfId="8" priority="28"/>
  </conditionalFormatting>
  <conditionalFormatting sqref="E78">
    <cfRule type="duplicateValues" dxfId="7" priority="27"/>
  </conditionalFormatting>
  <conditionalFormatting sqref="E80">
    <cfRule type="duplicateValues" dxfId="6" priority="26"/>
  </conditionalFormatting>
  <conditionalFormatting sqref="E82">
    <cfRule type="duplicateValues" dxfId="5" priority="25"/>
  </conditionalFormatting>
  <conditionalFormatting sqref="E83">
    <cfRule type="duplicateValues" dxfId="4" priority="24"/>
  </conditionalFormatting>
  <conditionalFormatting sqref="E86">
    <cfRule type="duplicateValues" dxfId="3" priority="17"/>
  </conditionalFormatting>
  <conditionalFormatting sqref="E90">
    <cfRule type="duplicateValues" dxfId="2" priority="4"/>
  </conditionalFormatting>
  <conditionalFormatting sqref="E92">
    <cfRule type="duplicateValues" dxfId="1" priority="8"/>
  </conditionalFormatting>
  <conditionalFormatting sqref="E94">
    <cfRule type="duplicateValues" dxfId="0" priority="6"/>
  </conditionalFormatting>
  <pageMargins left="0.2" right="0.2" top="0.5" bottom="0.5" header="0.3" footer="0.3"/>
  <pageSetup orientation="landscape" horizontalDpi="300" verticalDpi="300" r:id="rId1"/>
  <headerFooter>
    <oddFooter>&amp;LSX-KHO/XuatPROD&amp;C&amp;TNgày xuất &amp;D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TỒN KHO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Component Report</dc:title>
  <dc:creator>Phan Hoàng Đại Vệ</dc:creator>
  <cp:lastModifiedBy>SThuat</cp:lastModifiedBy>
  <cp:lastPrinted>2025-03-20T02:42:36Z</cp:lastPrinted>
  <dcterms:created xsi:type="dcterms:W3CDTF">2019-12-26T14:38:25Z</dcterms:created>
  <dcterms:modified xsi:type="dcterms:W3CDTF">2025-08-04T01:45:51Z</dcterms:modified>
</cp:coreProperties>
</file>